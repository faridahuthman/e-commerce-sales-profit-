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https://d.docs.live.net/9edd27793a8a6ed6/Documents/Data Analysis/"/>
    </mc:Choice>
  </mc:AlternateContent>
  <xr:revisionPtr revIDLastSave="1" documentId="13_ncr:1_{F25B5D54-2C1C-4C65-9B43-FC168C59C8CA}" xr6:coauthVersionLast="47" xr6:coauthVersionMax="47" xr10:uidLastSave="{1626A05B-2D0D-43A0-8E50-ED00D28EE939}"/>
  <bookViews>
    <workbookView xWindow="-120" yWindow="-120" windowWidth="20730" windowHeight="11160" firstSheet="1" activeTab="4" xr2:uid="{00000000-000D-0000-FFFF-FFFF00000000}"/>
  </bookViews>
  <sheets>
    <sheet name="DASHBOARD" sheetId="5" r:id="rId1"/>
    <sheet name="RAWDATA" sheetId="1" r:id="rId2"/>
    <sheet name="HANDS_ON SHEET" sheetId="2" r:id="rId3"/>
    <sheet name="KPIs" sheetId="3" r:id="rId4"/>
    <sheet name="CHARTS" sheetId="4" r:id="rId5"/>
  </sheets>
  <definedNames>
    <definedName name="Slicer_category">#N/A</definedName>
    <definedName name="Slicer_payment_mode">#N/A</definedName>
  </definedNames>
  <calcPr calcId="191029"/>
  <pivotCaches>
    <pivotCache cacheId="4"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2" i="2" l="1"/>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J2" i="2" a="1"/>
  <c r="J2" i="2" s="1"/>
  <c r="J3" i="2" a="1"/>
  <c r="J3" i="2" s="1"/>
  <c r="J4" i="2" a="1"/>
  <c r="J4" i="2" s="1"/>
  <c r="J5" i="2" a="1"/>
  <c r="J5" i="2" s="1"/>
  <c r="J6" i="2" a="1"/>
  <c r="J6" i="2"/>
  <c r="J7" i="2" a="1"/>
  <c r="J7" i="2" s="1"/>
  <c r="J8" i="2" a="1"/>
  <c r="J8" i="2" s="1"/>
  <c r="J9" i="2" a="1"/>
  <c r="J9" i="2" s="1"/>
  <c r="J10" i="2" a="1"/>
  <c r="J10" i="2" s="1"/>
  <c r="J11" i="2" a="1"/>
  <c r="J11" i="2" s="1"/>
  <c r="J12" i="2" a="1"/>
  <c r="J12" i="2" s="1"/>
  <c r="J13" i="2" a="1"/>
  <c r="J13" i="2" s="1"/>
  <c r="J14" i="2" a="1"/>
  <c r="J14" i="2"/>
  <c r="J15" i="2" a="1"/>
  <c r="J15" i="2" s="1"/>
  <c r="J16" i="2" a="1"/>
  <c r="J16" i="2" s="1"/>
  <c r="J17" i="2" a="1"/>
  <c r="J17" i="2" s="1"/>
  <c r="J18" i="2" a="1"/>
  <c r="J18" i="2" s="1"/>
  <c r="J19" i="2" a="1"/>
  <c r="J19" i="2" s="1"/>
  <c r="J20" i="2" a="1"/>
  <c r="J20" i="2" s="1"/>
  <c r="J21" i="2" a="1"/>
  <c r="J21" i="2" s="1"/>
  <c r="J22" i="2" a="1"/>
  <c r="J22" i="2"/>
  <c r="J23" i="2" a="1"/>
  <c r="J23" i="2" s="1"/>
  <c r="J24" i="2" a="1"/>
  <c r="J24" i="2" s="1"/>
  <c r="J25" i="2" a="1"/>
  <c r="J25" i="2" s="1"/>
  <c r="J26" i="2" a="1"/>
  <c r="J26" i="2" s="1"/>
  <c r="J27" i="2" a="1"/>
  <c r="J27" i="2" s="1"/>
  <c r="J28" i="2" a="1"/>
  <c r="J28" i="2" s="1"/>
  <c r="J29" i="2" a="1"/>
  <c r="J29" i="2" s="1"/>
  <c r="J30" i="2" a="1"/>
  <c r="J30" i="2" s="1"/>
  <c r="J31" i="2" a="1"/>
  <c r="J31" i="2" s="1"/>
  <c r="J32" i="2" a="1"/>
  <c r="J32" i="2" s="1"/>
  <c r="J33" i="2" a="1"/>
  <c r="J33" i="2" s="1"/>
  <c r="J34" i="2" a="1"/>
  <c r="J34" i="2" s="1"/>
  <c r="J35" i="2" a="1"/>
  <c r="J35" i="2" s="1"/>
  <c r="J36" i="2" a="1"/>
  <c r="J36" i="2" s="1"/>
  <c r="J37" i="2" a="1"/>
  <c r="J37" i="2" s="1"/>
  <c r="J38" i="2" a="1"/>
  <c r="J38" i="2"/>
  <c r="J39" i="2" a="1"/>
  <c r="J39" i="2" s="1"/>
  <c r="J40" i="2" a="1"/>
  <c r="J40" i="2" s="1"/>
  <c r="J41" i="2" a="1"/>
  <c r="J41" i="2" s="1"/>
  <c r="J42" i="2" a="1"/>
  <c r="J42" i="2" s="1"/>
  <c r="J43" i="2" a="1"/>
  <c r="J43" i="2" s="1"/>
  <c r="J44" i="2" a="1"/>
  <c r="J44" i="2" s="1"/>
  <c r="J45" i="2" a="1"/>
  <c r="J45" i="2" s="1"/>
  <c r="J46" i="2" a="1"/>
  <c r="J46" i="2" s="1"/>
  <c r="J47" i="2" a="1"/>
  <c r="J47" i="2" s="1"/>
  <c r="J48" i="2" a="1"/>
  <c r="J48" i="2" s="1"/>
  <c r="J49" i="2" a="1"/>
  <c r="J49" i="2" s="1"/>
  <c r="J50" i="2" a="1"/>
  <c r="J50" i="2" s="1"/>
  <c r="J51" i="2" a="1"/>
  <c r="J51" i="2" s="1"/>
  <c r="J52" i="2" a="1"/>
  <c r="J52" i="2" s="1"/>
  <c r="J53" i="2" a="1"/>
  <c r="J53" i="2" s="1"/>
  <c r="J54" i="2" a="1"/>
  <c r="J54" i="2"/>
  <c r="J55" i="2" a="1"/>
  <c r="J55" i="2" s="1"/>
  <c r="J56" i="2" a="1"/>
  <c r="J56" i="2" s="1"/>
  <c r="J57" i="2" a="1"/>
  <c r="J57" i="2" s="1"/>
  <c r="J58" i="2" a="1"/>
  <c r="J58" i="2" s="1"/>
  <c r="J59" i="2" a="1"/>
  <c r="J59" i="2" s="1"/>
  <c r="J60" i="2" a="1"/>
  <c r="J60" i="2" s="1"/>
  <c r="J61" i="2" a="1"/>
  <c r="J61" i="2" s="1"/>
  <c r="J62" i="2" a="1"/>
  <c r="J62" i="2" s="1"/>
  <c r="J63" i="2" a="1"/>
  <c r="J63" i="2" s="1"/>
  <c r="J64" i="2" a="1"/>
  <c r="J64" i="2" s="1"/>
  <c r="J65" i="2" a="1"/>
  <c r="J65" i="2" s="1"/>
  <c r="J66" i="2" a="1"/>
  <c r="J66" i="2" s="1"/>
  <c r="J67" i="2" a="1"/>
  <c r="J67" i="2" s="1"/>
  <c r="J68" i="2" a="1"/>
  <c r="J68" i="2" s="1"/>
  <c r="J69" i="2" a="1"/>
  <c r="J69" i="2" s="1"/>
  <c r="J70" i="2" a="1"/>
  <c r="J70" i="2"/>
  <c r="J71" i="2" a="1"/>
  <c r="J71" i="2" s="1"/>
  <c r="J72" i="2" a="1"/>
  <c r="J72" i="2" s="1"/>
  <c r="J73" i="2" a="1"/>
  <c r="J73" i="2" s="1"/>
  <c r="J74" i="2" a="1"/>
  <c r="J74" i="2" s="1"/>
  <c r="J75" i="2" a="1"/>
  <c r="J75" i="2" s="1"/>
  <c r="J76" i="2" a="1"/>
  <c r="J76" i="2" s="1"/>
  <c r="J77" i="2" a="1"/>
  <c r="J77" i="2" s="1"/>
  <c r="J78" i="2" a="1"/>
  <c r="J78" i="2" s="1"/>
  <c r="J79" i="2" a="1"/>
  <c r="J79" i="2" s="1"/>
  <c r="J80" i="2" a="1"/>
  <c r="J80" i="2" s="1"/>
  <c r="J81" i="2" a="1"/>
  <c r="J81" i="2" s="1"/>
  <c r="J82" i="2" a="1"/>
  <c r="J82" i="2" s="1"/>
  <c r="J83" i="2" a="1"/>
  <c r="J83" i="2" s="1"/>
  <c r="J84" i="2" a="1"/>
  <c r="J84" i="2" s="1"/>
  <c r="J85" i="2" a="1"/>
  <c r="J85" i="2" s="1"/>
  <c r="J86" i="2" a="1"/>
  <c r="J86" i="2"/>
  <c r="J87" i="2" a="1"/>
  <c r="J87" i="2" s="1"/>
  <c r="J88" i="2" a="1"/>
  <c r="J88" i="2" s="1"/>
  <c r="J89" i="2" a="1"/>
  <c r="J89" i="2" s="1"/>
  <c r="J90" i="2" a="1"/>
  <c r="J90" i="2" s="1"/>
  <c r="J91" i="2" a="1"/>
  <c r="J91" i="2" s="1"/>
  <c r="J92" i="2" a="1"/>
  <c r="J92" i="2" s="1"/>
  <c r="J93" i="2" a="1"/>
  <c r="J93" i="2" s="1"/>
  <c r="J94" i="2" a="1"/>
  <c r="J94" i="2" s="1"/>
  <c r="J95" i="2" a="1"/>
  <c r="J95" i="2" s="1"/>
  <c r="J96" i="2" a="1"/>
  <c r="J96" i="2" s="1"/>
  <c r="J97" i="2" a="1"/>
  <c r="J97" i="2" s="1"/>
  <c r="J98" i="2" a="1"/>
  <c r="J98" i="2" s="1"/>
  <c r="J99" i="2" a="1"/>
  <c r="J99" i="2" s="1"/>
  <c r="J100" i="2" a="1"/>
  <c r="J100" i="2" s="1"/>
  <c r="J101" i="2" a="1"/>
  <c r="J101" i="2" s="1"/>
  <c r="J102" i="2" a="1"/>
  <c r="J102" i="2"/>
  <c r="J103" i="2" a="1"/>
  <c r="J103" i="2" s="1"/>
  <c r="J104" i="2" a="1"/>
  <c r="J104" i="2" s="1"/>
  <c r="J105" i="2" a="1"/>
  <c r="J105" i="2" s="1"/>
  <c r="J106" i="2" a="1"/>
  <c r="J106" i="2" s="1"/>
  <c r="J107" i="2" a="1"/>
  <c r="J107" i="2" s="1"/>
  <c r="J108" i="2" a="1"/>
  <c r="J108" i="2" s="1"/>
  <c r="J109" i="2" a="1"/>
  <c r="J109" i="2" s="1"/>
  <c r="J110" i="2" a="1"/>
  <c r="J110" i="2" s="1"/>
  <c r="J111" i="2" a="1"/>
  <c r="J111" i="2" s="1"/>
  <c r="J112" i="2" a="1"/>
  <c r="J112" i="2" s="1"/>
  <c r="J113" i="2" a="1"/>
  <c r="J113" i="2" s="1"/>
  <c r="J114" i="2" a="1"/>
  <c r="J114" i="2" s="1"/>
  <c r="J115" i="2" a="1"/>
  <c r="J115" i="2" s="1"/>
  <c r="J116" i="2" a="1"/>
  <c r="J116" i="2" s="1"/>
  <c r="J117" i="2" a="1"/>
  <c r="J117" i="2" s="1"/>
  <c r="J118" i="2" a="1"/>
  <c r="J118" i="2"/>
  <c r="J119" i="2" a="1"/>
  <c r="J119" i="2" s="1"/>
  <c r="J120" i="2" a="1"/>
  <c r="J120" i="2" s="1"/>
  <c r="J121" i="2" a="1"/>
  <c r="J121" i="2" s="1"/>
  <c r="J122" i="2" a="1"/>
  <c r="J122" i="2" s="1"/>
  <c r="J123" i="2" a="1"/>
  <c r="J123" i="2" s="1"/>
  <c r="J124" i="2" a="1"/>
  <c r="J124" i="2" s="1"/>
  <c r="J125" i="2" a="1"/>
  <c r="J125" i="2" s="1"/>
  <c r="J126" i="2" a="1"/>
  <c r="J126" i="2" s="1"/>
  <c r="J127" i="2" a="1"/>
  <c r="J127" i="2" s="1"/>
  <c r="J128" i="2" a="1"/>
  <c r="J128" i="2" s="1"/>
  <c r="J129" i="2" a="1"/>
  <c r="J129" i="2" s="1"/>
  <c r="J130" i="2" a="1"/>
  <c r="J130" i="2" s="1"/>
  <c r="J131" i="2" a="1"/>
  <c r="J131" i="2" s="1"/>
  <c r="J132" i="2" a="1"/>
  <c r="J132" i="2" s="1"/>
  <c r="J133" i="2" a="1"/>
  <c r="J133" i="2" s="1"/>
  <c r="J134" i="2" a="1"/>
  <c r="J134" i="2"/>
  <c r="J135" i="2" a="1"/>
  <c r="J135" i="2" s="1"/>
  <c r="J136" i="2" a="1"/>
  <c r="J136" i="2" s="1"/>
  <c r="J137" i="2" a="1"/>
  <c r="J137" i="2" s="1"/>
  <c r="J138" i="2" a="1"/>
  <c r="J138" i="2" s="1"/>
  <c r="J139" i="2" a="1"/>
  <c r="J139" i="2" s="1"/>
  <c r="J140" i="2" a="1"/>
  <c r="J140" i="2" s="1"/>
  <c r="J141" i="2" a="1"/>
  <c r="J141" i="2" s="1"/>
  <c r="J142" i="2" a="1"/>
  <c r="J142" i="2" s="1"/>
  <c r="J143" i="2" a="1"/>
  <c r="J143" i="2" s="1"/>
  <c r="J144" i="2" a="1"/>
  <c r="J144" i="2" s="1"/>
  <c r="J145" i="2" a="1"/>
  <c r="J145" i="2" s="1"/>
  <c r="J146" i="2" a="1"/>
  <c r="J146" i="2" s="1"/>
  <c r="J147" i="2" a="1"/>
  <c r="J147" i="2" s="1"/>
  <c r="J148" i="2" a="1"/>
  <c r="J148" i="2" s="1"/>
  <c r="J149" i="2" a="1"/>
  <c r="J149" i="2" s="1"/>
  <c r="J150" i="2" a="1"/>
  <c r="J150" i="2"/>
  <c r="J151" i="2" a="1"/>
  <c r="J151" i="2" s="1"/>
  <c r="J152" i="2" a="1"/>
  <c r="J152" i="2" s="1"/>
  <c r="J153" i="2" a="1"/>
  <c r="J153" i="2" s="1"/>
  <c r="J154" i="2" a="1"/>
  <c r="J154" i="2" s="1"/>
  <c r="J155" i="2" a="1"/>
  <c r="J155" i="2" s="1"/>
  <c r="J156" i="2" a="1"/>
  <c r="J156" i="2" s="1"/>
  <c r="J157" i="2" a="1"/>
  <c r="J157" i="2" s="1"/>
  <c r="J158" i="2" a="1"/>
  <c r="J158" i="2" s="1"/>
  <c r="J159" i="2" a="1"/>
  <c r="J159" i="2" s="1"/>
  <c r="J160" i="2" a="1"/>
  <c r="J160" i="2" s="1"/>
  <c r="J161" i="2" a="1"/>
  <c r="J161" i="2" s="1"/>
  <c r="J162" i="2" a="1"/>
  <c r="J162" i="2" s="1"/>
  <c r="J163" i="2" a="1"/>
  <c r="J163" i="2" s="1"/>
  <c r="J164" i="2" a="1"/>
  <c r="J164" i="2" s="1"/>
  <c r="J165" i="2" a="1"/>
  <c r="J165" i="2" s="1"/>
  <c r="J166" i="2" a="1"/>
  <c r="J166" i="2"/>
  <c r="J167" i="2" a="1"/>
  <c r="J167" i="2" s="1"/>
  <c r="J168" i="2" a="1"/>
  <c r="J168" i="2" s="1"/>
  <c r="J169" i="2" a="1"/>
  <c r="J169" i="2" s="1"/>
  <c r="J170" i="2" a="1"/>
  <c r="J170" i="2" s="1"/>
  <c r="J171" i="2" a="1"/>
  <c r="J171" i="2" s="1"/>
  <c r="J172" i="2" a="1"/>
  <c r="J172" i="2" s="1"/>
  <c r="J173" i="2" a="1"/>
  <c r="J173" i="2" s="1"/>
  <c r="J174" i="2" a="1"/>
  <c r="J174" i="2" s="1"/>
  <c r="J175" i="2" a="1"/>
  <c r="J175" i="2" s="1"/>
  <c r="J176" i="2" a="1"/>
  <c r="J176" i="2" s="1"/>
  <c r="J177" i="2" a="1"/>
  <c r="J177" i="2" s="1"/>
  <c r="J178" i="2" a="1"/>
  <c r="J178" i="2" s="1"/>
  <c r="J179" i="2" a="1"/>
  <c r="J179" i="2" s="1"/>
  <c r="J180" i="2" a="1"/>
  <c r="J180" i="2" s="1"/>
  <c r="J181" i="2" a="1"/>
  <c r="J181" i="2" s="1"/>
  <c r="J182" i="2" a="1"/>
  <c r="J182" i="2" s="1"/>
  <c r="J183" i="2" a="1"/>
  <c r="J183" i="2" s="1"/>
  <c r="J184" i="2" a="1"/>
  <c r="J184" i="2" s="1"/>
  <c r="J185" i="2" a="1"/>
  <c r="J185" i="2"/>
  <c r="J186" i="2" a="1"/>
  <c r="J186" i="2" s="1"/>
  <c r="J187" i="2" a="1"/>
  <c r="J187" i="2" s="1"/>
  <c r="J188" i="2" a="1"/>
  <c r="J188" i="2" s="1"/>
  <c r="J189" i="2" a="1"/>
  <c r="J189" i="2" s="1"/>
  <c r="J190" i="2" a="1"/>
  <c r="J190" i="2" s="1"/>
  <c r="J191" i="2" a="1"/>
  <c r="J191" i="2" s="1"/>
  <c r="J192" i="2" a="1"/>
  <c r="J192" i="2" s="1"/>
  <c r="J193" i="2" a="1"/>
  <c r="J193" i="2" s="1"/>
  <c r="J194" i="2" a="1"/>
  <c r="J194" i="2" s="1"/>
  <c r="J195" i="2" a="1"/>
  <c r="J195" i="2" s="1"/>
  <c r="J196" i="2" a="1"/>
  <c r="J196" i="2" s="1"/>
  <c r="J197" i="2" a="1"/>
  <c r="J197" i="2" s="1"/>
  <c r="J198" i="2" a="1"/>
  <c r="J198" i="2" s="1"/>
  <c r="J199" i="2" a="1"/>
  <c r="J199" i="2" s="1"/>
  <c r="J200" i="2" a="1"/>
  <c r="J200" i="2" s="1"/>
  <c r="J201" i="2" a="1"/>
  <c r="J201" i="2" s="1"/>
  <c r="J202" i="2" a="1"/>
  <c r="J202" i="2" s="1"/>
  <c r="J203" i="2" a="1"/>
  <c r="J203" i="2" s="1"/>
  <c r="J204" i="2" a="1"/>
  <c r="J204" i="2" s="1"/>
  <c r="J205" i="2" a="1"/>
  <c r="J205" i="2" s="1"/>
  <c r="J206" i="2" a="1"/>
  <c r="J206" i="2" s="1"/>
  <c r="J207" i="2" a="1"/>
  <c r="J207" i="2" s="1"/>
  <c r="J208" i="2" a="1"/>
  <c r="J208" i="2" s="1"/>
  <c r="J209" i="2" a="1"/>
  <c r="J209" i="2" s="1"/>
  <c r="J210" i="2" a="1"/>
  <c r="J210" i="2" s="1"/>
  <c r="J211" i="2" a="1"/>
  <c r="J211" i="2" s="1"/>
  <c r="J212" i="2" a="1"/>
  <c r="J212" i="2" s="1"/>
  <c r="J213" i="2" a="1"/>
  <c r="J213" i="2" s="1"/>
  <c r="J214" i="2" a="1"/>
  <c r="J214" i="2" s="1"/>
  <c r="J215" i="2" a="1"/>
  <c r="J215" i="2" s="1"/>
  <c r="J216" i="2" a="1"/>
  <c r="J216" i="2" s="1"/>
  <c r="J217" i="2" a="1"/>
  <c r="J217" i="2" s="1"/>
  <c r="J218" i="2" a="1"/>
  <c r="J218" i="2" s="1"/>
  <c r="J219" i="2" a="1"/>
  <c r="J219" i="2" s="1"/>
  <c r="J220" i="2" a="1"/>
  <c r="J220" i="2" s="1"/>
  <c r="J221" i="2" a="1"/>
  <c r="J221" i="2" s="1"/>
  <c r="J222" i="2" a="1"/>
  <c r="J222" i="2" s="1"/>
  <c r="J223" i="2" a="1"/>
  <c r="J223" i="2" s="1"/>
  <c r="J224" i="2" a="1"/>
  <c r="J224" i="2" s="1"/>
  <c r="J225" i="2" a="1"/>
  <c r="J225" i="2" s="1"/>
  <c r="J226" i="2" a="1"/>
  <c r="J226" i="2" s="1"/>
  <c r="J227" i="2" a="1"/>
  <c r="J227" i="2" s="1"/>
  <c r="J228" i="2" a="1"/>
  <c r="J228" i="2" s="1"/>
  <c r="J229" i="2" a="1"/>
  <c r="J229" i="2" s="1"/>
  <c r="J230" i="2" a="1"/>
  <c r="J230" i="2" s="1"/>
  <c r="J231" i="2" a="1"/>
  <c r="J231" i="2" s="1"/>
  <c r="J232" i="2" a="1"/>
  <c r="J232" i="2" s="1"/>
  <c r="J233" i="2" a="1"/>
  <c r="J233" i="2" s="1"/>
  <c r="J234" i="2" a="1"/>
  <c r="J234" i="2" s="1"/>
  <c r="J235" i="2" a="1"/>
  <c r="J235" i="2" s="1"/>
  <c r="J236" i="2" a="1"/>
  <c r="J236" i="2" s="1"/>
  <c r="J237" i="2" a="1"/>
  <c r="J237" i="2" s="1"/>
  <c r="J238" i="2" a="1"/>
  <c r="J238" i="2" s="1"/>
  <c r="J239" i="2" a="1"/>
  <c r="J239" i="2" s="1"/>
  <c r="J240" i="2" a="1"/>
  <c r="J240" i="2" s="1"/>
  <c r="J241" i="2" a="1"/>
  <c r="J241" i="2" s="1"/>
  <c r="J242" i="2" a="1"/>
  <c r="J242" i="2" s="1"/>
  <c r="J243" i="2" a="1"/>
  <c r="J243" i="2" s="1"/>
  <c r="J244" i="2" a="1"/>
  <c r="J244" i="2" s="1"/>
  <c r="J245" i="2" a="1"/>
  <c r="J245" i="2" s="1"/>
  <c r="J246" i="2" a="1"/>
  <c r="J246" i="2" s="1"/>
  <c r="J247" i="2" a="1"/>
  <c r="J247" i="2" s="1"/>
  <c r="J248" i="2" a="1"/>
  <c r="J248" i="2" s="1"/>
  <c r="J249" i="2" a="1"/>
  <c r="J249" i="2" s="1"/>
  <c r="J250" i="2" a="1"/>
  <c r="J250" i="2" s="1"/>
  <c r="J251" i="2" a="1"/>
  <c r="J251" i="2" s="1"/>
  <c r="J252" i="2" a="1"/>
  <c r="J252" i="2" s="1"/>
  <c r="J253" i="2" a="1"/>
  <c r="J253" i="2" s="1"/>
  <c r="J254" i="2" a="1"/>
  <c r="J254" i="2" s="1"/>
  <c r="J255" i="2" a="1"/>
  <c r="J255" i="2" s="1"/>
  <c r="J256" i="2" a="1"/>
  <c r="J256" i="2" s="1"/>
  <c r="J257" i="2" a="1"/>
  <c r="J257" i="2" s="1"/>
  <c r="J258" i="2" a="1"/>
  <c r="J258" i="2" s="1"/>
  <c r="J259" i="2" a="1"/>
  <c r="J259" i="2" s="1"/>
  <c r="J260" i="2" a="1"/>
  <c r="J260" i="2" s="1"/>
  <c r="J261" i="2" a="1"/>
  <c r="J261" i="2" s="1"/>
  <c r="J262" i="2" a="1"/>
  <c r="J262" i="2" s="1"/>
  <c r="J263" i="2" a="1"/>
  <c r="J263" i="2" s="1"/>
  <c r="J264" i="2" a="1"/>
  <c r="J264" i="2" s="1"/>
  <c r="J265" i="2" a="1"/>
  <c r="J265" i="2" s="1"/>
  <c r="J266" i="2" a="1"/>
  <c r="J266" i="2"/>
  <c r="J267" i="2" a="1"/>
  <c r="J267" i="2" s="1"/>
  <c r="J268" i="2" a="1"/>
  <c r="J268" i="2" s="1"/>
  <c r="J269" i="2" a="1"/>
  <c r="J269" i="2" s="1"/>
  <c r="J270" i="2" a="1"/>
  <c r="J270" i="2" s="1"/>
  <c r="J271" i="2" a="1"/>
  <c r="J271" i="2" s="1"/>
  <c r="J272" i="2" a="1"/>
  <c r="J272" i="2" s="1"/>
  <c r="J273" i="2" a="1"/>
  <c r="J273" i="2" s="1"/>
  <c r="J274" i="2" a="1"/>
  <c r="J274" i="2"/>
  <c r="J275" i="2" a="1"/>
  <c r="J275" i="2" s="1"/>
  <c r="J276" i="2" a="1"/>
  <c r="J276" i="2" s="1"/>
  <c r="J277" i="2" a="1"/>
  <c r="J277" i="2" s="1"/>
  <c r="J278" i="2" a="1"/>
  <c r="J278" i="2" s="1"/>
  <c r="J279" i="2" a="1"/>
  <c r="J279" i="2" s="1"/>
  <c r="J280" i="2" a="1"/>
  <c r="J280" i="2" s="1"/>
  <c r="J281" i="2" a="1"/>
  <c r="J281" i="2" s="1"/>
  <c r="J282" i="2" a="1"/>
  <c r="J282" i="2"/>
  <c r="J283" i="2" a="1"/>
  <c r="J283" i="2" s="1"/>
  <c r="J284" i="2" a="1"/>
  <c r="J284" i="2" s="1"/>
  <c r="J285" i="2" a="1"/>
  <c r="J285" i="2" s="1"/>
  <c r="J286" i="2" a="1"/>
  <c r="J286" i="2" s="1"/>
  <c r="J287" i="2" a="1"/>
  <c r="J287" i="2" s="1"/>
  <c r="J288" i="2" a="1"/>
  <c r="J288" i="2" s="1"/>
  <c r="J289" i="2" a="1"/>
  <c r="J289" i="2" s="1"/>
  <c r="J290" i="2" a="1"/>
  <c r="J290" i="2"/>
  <c r="J291" i="2" a="1"/>
  <c r="J291" i="2" s="1"/>
  <c r="J292" i="2" a="1"/>
  <c r="J292" i="2" s="1"/>
  <c r="J293" i="2" a="1"/>
  <c r="J293" i="2" s="1"/>
  <c r="J294" i="2" a="1"/>
  <c r="J294" i="2" s="1"/>
  <c r="J295" i="2" a="1"/>
  <c r="J295" i="2" s="1"/>
  <c r="J296" i="2" a="1"/>
  <c r="J296" i="2" s="1"/>
  <c r="J297" i="2" a="1"/>
  <c r="J297" i="2" s="1"/>
  <c r="J298" i="2" a="1"/>
  <c r="J298" i="2"/>
  <c r="J299" i="2" a="1"/>
  <c r="J299" i="2" s="1"/>
  <c r="J300" i="2" a="1"/>
  <c r="J300" i="2" s="1"/>
  <c r="J301" i="2" a="1"/>
  <c r="J301" i="2" s="1"/>
  <c r="J302" i="2" a="1"/>
  <c r="J302" i="2" s="1"/>
  <c r="J303" i="2" a="1"/>
  <c r="J303" i="2" s="1"/>
  <c r="J304" i="2" a="1"/>
  <c r="J304" i="2" s="1"/>
  <c r="J305" i="2" a="1"/>
  <c r="J305" i="2" s="1"/>
  <c r="J306" i="2" a="1"/>
  <c r="J306" i="2" s="1"/>
  <c r="J307" i="2" a="1"/>
  <c r="J307" i="2" s="1"/>
  <c r="J308" i="2" a="1"/>
  <c r="J308" i="2" s="1"/>
  <c r="J309" i="2" a="1"/>
  <c r="J309" i="2" s="1"/>
  <c r="J310" i="2" a="1"/>
  <c r="J310" i="2" s="1"/>
  <c r="J311" i="2" a="1"/>
  <c r="J311" i="2" s="1"/>
  <c r="J312" i="2" a="1"/>
  <c r="J312" i="2"/>
  <c r="J313" i="2" a="1"/>
  <c r="J313" i="2" s="1"/>
  <c r="J314" i="2" a="1"/>
  <c r="J314" i="2" s="1"/>
  <c r="J315" i="2" a="1"/>
  <c r="J315" i="2" s="1"/>
  <c r="J316" i="2" a="1"/>
  <c r="J316" i="2"/>
  <c r="J317" i="2" a="1"/>
  <c r="J317" i="2" s="1"/>
  <c r="J318" i="2" a="1"/>
  <c r="J318" i="2" s="1"/>
  <c r="J319" i="2" a="1"/>
  <c r="J319" i="2" s="1"/>
  <c r="J320" i="2" a="1"/>
  <c r="J320" i="2"/>
  <c r="J321" i="2" a="1"/>
  <c r="J321" i="2" s="1"/>
  <c r="J322" i="2" a="1"/>
  <c r="J322" i="2" s="1"/>
  <c r="J323" i="2" a="1"/>
  <c r="J323" i="2" s="1"/>
  <c r="J324" i="2" a="1"/>
  <c r="J324" i="2"/>
  <c r="J325" i="2" a="1"/>
  <c r="J325" i="2" s="1"/>
  <c r="J326" i="2" a="1"/>
  <c r="J326" i="2" s="1"/>
  <c r="J327" i="2" a="1"/>
  <c r="J327" i="2" s="1"/>
  <c r="J328" i="2" a="1"/>
  <c r="J328" i="2"/>
  <c r="J329" i="2" a="1"/>
  <c r="J329" i="2" s="1"/>
  <c r="J330" i="2" a="1"/>
  <c r="J330" i="2" s="1"/>
  <c r="J331" i="2" a="1"/>
  <c r="J331" i="2" s="1"/>
  <c r="J332" i="2" a="1"/>
  <c r="J332" i="2" s="1"/>
  <c r="J333" i="2" a="1"/>
  <c r="J333" i="2" s="1"/>
  <c r="J334" i="2" a="1"/>
  <c r="J334" i="2" s="1"/>
  <c r="J335" i="2" a="1"/>
  <c r="J335" i="2" s="1"/>
  <c r="J336" i="2" a="1"/>
  <c r="J336" i="2" s="1"/>
  <c r="J337" i="2" a="1"/>
  <c r="J337" i="2" s="1"/>
  <c r="J338" i="2" a="1"/>
  <c r="J338" i="2"/>
  <c r="J339" i="2" a="1"/>
  <c r="J339" i="2" s="1"/>
  <c r="J340" i="2" a="1"/>
  <c r="J340" i="2" s="1"/>
  <c r="J341" i="2" a="1"/>
  <c r="J341" i="2" s="1"/>
  <c r="J342" i="2" a="1"/>
  <c r="J342" i="2" s="1"/>
  <c r="J343" i="2" a="1"/>
  <c r="J343" i="2" s="1"/>
  <c r="J344" i="2" a="1"/>
  <c r="J344" i="2" s="1"/>
  <c r="J345" i="2" a="1"/>
  <c r="J345" i="2" s="1"/>
  <c r="J346" i="2" a="1"/>
  <c r="J346" i="2" s="1"/>
  <c r="J347" i="2" a="1"/>
  <c r="J347" i="2" s="1"/>
  <c r="J348" i="2" a="1"/>
  <c r="J348" i="2" s="1"/>
  <c r="J349" i="2" a="1"/>
  <c r="J349" i="2" s="1"/>
  <c r="J350" i="2" a="1"/>
  <c r="J350" i="2" s="1"/>
  <c r="J351" i="2" a="1"/>
  <c r="J351" i="2" s="1"/>
  <c r="J352" i="2" a="1"/>
  <c r="J352" i="2" s="1"/>
  <c r="J353" i="2" a="1"/>
  <c r="J353" i="2" s="1"/>
  <c r="J354" i="2" a="1"/>
  <c r="J354" i="2"/>
  <c r="J355" i="2" a="1"/>
  <c r="J355" i="2" s="1"/>
  <c r="J356" i="2" a="1"/>
  <c r="J356" i="2" s="1"/>
  <c r="J357" i="2" a="1"/>
  <c r="J357" i="2" s="1"/>
  <c r="J358" i="2" a="1"/>
  <c r="J358" i="2" s="1"/>
  <c r="J359" i="2" a="1"/>
  <c r="J359" i="2" s="1"/>
  <c r="J360" i="2" a="1"/>
  <c r="J360" i="2" s="1"/>
  <c r="J361" i="2" a="1"/>
  <c r="J361" i="2" s="1"/>
  <c r="J362" i="2" a="1"/>
  <c r="J362" i="2"/>
  <c r="J363" i="2" a="1"/>
  <c r="J363" i="2" s="1"/>
  <c r="J364" i="2" a="1"/>
  <c r="J364" i="2" s="1"/>
  <c r="J365" i="2" a="1"/>
  <c r="J365" i="2" s="1"/>
  <c r="J366" i="2" a="1"/>
  <c r="J366" i="2" s="1"/>
  <c r="J367" i="2" a="1"/>
  <c r="J367" i="2" s="1"/>
  <c r="J368" i="2" a="1"/>
  <c r="J368" i="2" s="1"/>
  <c r="J369" i="2" a="1"/>
  <c r="J369" i="2" s="1"/>
  <c r="J370" i="2" a="1"/>
  <c r="J370" i="2" s="1"/>
  <c r="J371" i="2" a="1"/>
  <c r="J371" i="2" s="1"/>
  <c r="J372" i="2" a="1"/>
  <c r="J372" i="2" s="1"/>
  <c r="J373" i="2" a="1"/>
  <c r="J373" i="2" s="1"/>
  <c r="J374" i="2" a="1"/>
  <c r="J374" i="2" s="1"/>
  <c r="J375" i="2" a="1"/>
  <c r="J375" i="2" s="1"/>
  <c r="J376" i="2" a="1"/>
  <c r="J376" i="2" s="1"/>
  <c r="J377" i="2" a="1"/>
  <c r="J377" i="2" s="1"/>
  <c r="J378" i="2" a="1"/>
  <c r="J378" i="2"/>
  <c r="J379" i="2" a="1"/>
  <c r="J379" i="2" s="1"/>
  <c r="J380" i="2" a="1"/>
  <c r="J380" i="2" s="1"/>
  <c r="J381" i="2" a="1"/>
  <c r="J381" i="2" s="1"/>
  <c r="J382" i="2" a="1"/>
  <c r="J382" i="2" s="1"/>
  <c r="J383" i="2" a="1"/>
  <c r="J383" i="2" s="1"/>
  <c r="J384" i="2" a="1"/>
  <c r="J384" i="2" s="1"/>
  <c r="J385" i="2" a="1"/>
  <c r="J385" i="2" s="1"/>
  <c r="J386" i="2" a="1"/>
  <c r="J386" i="2"/>
  <c r="J387" i="2" a="1"/>
  <c r="J387" i="2" s="1"/>
  <c r="J388" i="2" a="1"/>
  <c r="J388" i="2" s="1"/>
  <c r="J389" i="2" a="1"/>
  <c r="J389" i="2" s="1"/>
  <c r="J390" i="2" a="1"/>
  <c r="J390" i="2" s="1"/>
  <c r="J391" i="2" a="1"/>
  <c r="J391" i="2" s="1"/>
  <c r="J392" i="2" a="1"/>
  <c r="J392" i="2" s="1"/>
  <c r="J393" i="2" a="1"/>
  <c r="J393" i="2" s="1"/>
  <c r="J394" i="2" a="1"/>
  <c r="J394" i="2"/>
  <c r="J395" i="2" a="1"/>
  <c r="J395" i="2" s="1"/>
  <c r="J396" i="2" a="1"/>
  <c r="J396" i="2" s="1"/>
  <c r="J397" i="2" a="1"/>
  <c r="J397" i="2" s="1"/>
  <c r="J398" i="2" a="1"/>
  <c r="J398" i="2" s="1"/>
  <c r="J399" i="2" a="1"/>
  <c r="J399" i="2" s="1"/>
  <c r="J400" i="2" a="1"/>
  <c r="J400" i="2" s="1"/>
  <c r="J401" i="2" a="1"/>
  <c r="J401" i="2" s="1"/>
  <c r="J402" i="2" a="1"/>
  <c r="J402" i="2" s="1"/>
  <c r="J403" i="2" a="1"/>
  <c r="J403" i="2" s="1"/>
  <c r="J404" i="2" a="1"/>
  <c r="J404" i="2" s="1"/>
  <c r="J405" i="2" a="1"/>
  <c r="J405" i="2" s="1"/>
  <c r="J406" i="2" a="1"/>
  <c r="J406" i="2"/>
  <c r="J407" i="2" a="1"/>
  <c r="J407" i="2" s="1"/>
  <c r="J408" i="2" a="1"/>
  <c r="J408" i="2" s="1"/>
  <c r="J409" i="2" a="1"/>
  <c r="J409" i="2" s="1"/>
  <c r="J410" i="2" a="1"/>
  <c r="J410" i="2" s="1"/>
  <c r="J411" i="2" a="1"/>
  <c r="J411" i="2" s="1"/>
  <c r="J412" i="2" a="1"/>
  <c r="J412" i="2" s="1"/>
  <c r="J413" i="2" a="1"/>
  <c r="J413" i="2" s="1"/>
  <c r="J414" i="2" a="1"/>
  <c r="J414" i="2"/>
  <c r="J415" i="2" a="1"/>
  <c r="J415" i="2" s="1"/>
  <c r="J416" i="2" a="1"/>
  <c r="J416" i="2" s="1"/>
  <c r="J417" i="2" a="1"/>
  <c r="J417" i="2" s="1"/>
  <c r="J418" i="2" a="1"/>
  <c r="J418" i="2" s="1"/>
  <c r="J419" i="2" a="1"/>
  <c r="J419" i="2" s="1"/>
  <c r="J420" i="2" a="1"/>
  <c r="J420" i="2" s="1"/>
  <c r="J421" i="2" a="1"/>
  <c r="J421" i="2" s="1"/>
  <c r="J422" i="2" a="1"/>
  <c r="J422" i="2"/>
  <c r="J423" i="2" a="1"/>
  <c r="J423" i="2" s="1"/>
  <c r="J424" i="2" a="1"/>
  <c r="J424" i="2" s="1"/>
  <c r="J425" i="2" a="1"/>
  <c r="J425" i="2" s="1"/>
  <c r="J426" i="2" a="1"/>
  <c r="J426" i="2" s="1"/>
  <c r="J427" i="2" a="1"/>
  <c r="J427" i="2" s="1"/>
  <c r="J428" i="2" a="1"/>
  <c r="J428" i="2" s="1"/>
  <c r="J429" i="2" a="1"/>
  <c r="J429" i="2" s="1"/>
  <c r="J430" i="2" a="1"/>
  <c r="J430" i="2"/>
  <c r="J431" i="2" a="1"/>
  <c r="J431" i="2" s="1"/>
  <c r="J432" i="2" a="1"/>
  <c r="J432" i="2" s="1"/>
  <c r="J433" i="2" a="1"/>
  <c r="J433" i="2" s="1"/>
  <c r="J434" i="2" a="1"/>
  <c r="J434" i="2" s="1"/>
  <c r="J435" i="2" a="1"/>
  <c r="J435" i="2" s="1"/>
  <c r="J436" i="2" a="1"/>
  <c r="J436" i="2" s="1"/>
  <c r="J437" i="2" a="1"/>
  <c r="J437" i="2" s="1"/>
  <c r="J438" i="2" a="1"/>
  <c r="J438" i="2"/>
  <c r="J439" i="2" a="1"/>
  <c r="J439" i="2" s="1"/>
  <c r="J440" i="2" a="1"/>
  <c r="J440" i="2" s="1"/>
  <c r="J441" i="2" a="1"/>
  <c r="J441" i="2" s="1"/>
  <c r="J442" i="2" a="1"/>
  <c r="J442" i="2" s="1"/>
  <c r="J443" i="2" a="1"/>
  <c r="J443" i="2" s="1"/>
  <c r="J444" i="2" a="1"/>
  <c r="J444" i="2" s="1"/>
  <c r="J445" i="2" a="1"/>
  <c r="J445" i="2" s="1"/>
  <c r="J446" i="2" a="1"/>
  <c r="J446" i="2"/>
  <c r="J447" i="2" a="1"/>
  <c r="J447" i="2" s="1"/>
  <c r="J448" i="2" a="1"/>
  <c r="J448" i="2" s="1"/>
  <c r="J449" i="2" a="1"/>
  <c r="J449" i="2" s="1"/>
  <c r="J450" i="2" a="1"/>
  <c r="J450" i="2" s="1"/>
  <c r="J451" i="2" a="1"/>
  <c r="J451" i="2" s="1"/>
  <c r="J452" i="2" a="1"/>
  <c r="J452" i="2" s="1"/>
  <c r="J453" i="2" a="1"/>
  <c r="J453" i="2" s="1"/>
  <c r="J454" i="2" a="1"/>
  <c r="J454" i="2"/>
  <c r="J455" i="2" a="1"/>
  <c r="J455" i="2" s="1"/>
  <c r="J456" i="2" a="1"/>
  <c r="J456" i="2" s="1"/>
  <c r="J457" i="2" a="1"/>
  <c r="J457" i="2" s="1"/>
  <c r="J458" i="2" a="1"/>
  <c r="J458" i="2" s="1"/>
  <c r="J459" i="2" a="1"/>
  <c r="J459" i="2" s="1"/>
  <c r="J460" i="2" a="1"/>
  <c r="J460" i="2" s="1"/>
  <c r="J461" i="2" a="1"/>
  <c r="J461" i="2" s="1"/>
  <c r="J462" i="2" a="1"/>
  <c r="J462" i="2"/>
  <c r="J463" i="2" a="1"/>
  <c r="J463" i="2" s="1"/>
  <c r="J464" i="2" a="1"/>
  <c r="J464" i="2" s="1"/>
  <c r="J465" i="2" a="1"/>
  <c r="J465" i="2" s="1"/>
  <c r="J466" i="2" a="1"/>
  <c r="J466" i="2" s="1"/>
  <c r="J467" i="2" a="1"/>
  <c r="J467" i="2" s="1"/>
  <c r="J468" i="2" a="1"/>
  <c r="J468" i="2" s="1"/>
  <c r="J469" i="2" a="1"/>
  <c r="J469" i="2" s="1"/>
  <c r="J470" i="2" a="1"/>
  <c r="J470" i="2"/>
  <c r="J471" i="2" a="1"/>
  <c r="J471" i="2" s="1"/>
  <c r="J472" i="2" a="1"/>
  <c r="J472" i="2" s="1"/>
  <c r="J473" i="2" a="1"/>
  <c r="J473" i="2" s="1"/>
  <c r="J474" i="2" a="1"/>
  <c r="J474" i="2" s="1"/>
  <c r="J475" i="2" a="1"/>
  <c r="J475" i="2" s="1"/>
  <c r="J476" i="2" a="1"/>
  <c r="J476" i="2" s="1"/>
  <c r="J477" i="2" a="1"/>
  <c r="J477" i="2" s="1"/>
  <c r="J478" i="2" a="1"/>
  <c r="J478" i="2"/>
  <c r="J479" i="2" a="1"/>
  <c r="J479" i="2" s="1"/>
  <c r="J480" i="2" a="1"/>
  <c r="J480" i="2" s="1"/>
  <c r="J481" i="2" a="1"/>
  <c r="J481" i="2" s="1"/>
  <c r="J482" i="2" a="1"/>
  <c r="J482" i="2" s="1"/>
  <c r="J483" i="2" a="1"/>
  <c r="J483" i="2" s="1"/>
  <c r="J484" i="2" a="1"/>
  <c r="J484" i="2" s="1"/>
  <c r="J485" i="2" a="1"/>
  <c r="J485" i="2" s="1"/>
  <c r="J486" i="2" a="1"/>
  <c r="J486" i="2" s="1"/>
  <c r="J487" i="2" a="1"/>
  <c r="J487" i="2" s="1"/>
  <c r="J488" i="2" a="1"/>
  <c r="J488" i="2" s="1"/>
  <c r="J489" i="2" a="1"/>
  <c r="J489" i="2" s="1"/>
  <c r="J490" i="2" a="1"/>
  <c r="J490" i="2" s="1"/>
  <c r="J491" i="2" a="1"/>
  <c r="J491" i="2" s="1"/>
  <c r="J492" i="2" a="1"/>
  <c r="J492" i="2" s="1"/>
  <c r="J493" i="2" a="1"/>
  <c r="J493" i="2" s="1"/>
  <c r="J494" i="2" a="1"/>
  <c r="J494" i="2" s="1"/>
  <c r="J495" i="2" a="1"/>
  <c r="J495" i="2" s="1"/>
  <c r="J496" i="2" a="1"/>
  <c r="J496" i="2" s="1"/>
  <c r="J497" i="2" a="1"/>
  <c r="J497" i="2" s="1"/>
  <c r="J498" i="2" a="1"/>
  <c r="J498" i="2" s="1"/>
  <c r="J499" i="2" a="1"/>
  <c r="J499" i="2" s="1"/>
  <c r="J500" i="2" a="1"/>
  <c r="J500" i="2" s="1"/>
  <c r="J501" i="2" a="1"/>
  <c r="J501" i="2" s="1"/>
  <c r="J502" i="2" a="1"/>
  <c r="J502" i="2" s="1"/>
  <c r="J503" i="2" a="1"/>
  <c r="J503" i="2" s="1"/>
  <c r="J504" i="2" a="1"/>
  <c r="J504" i="2" s="1"/>
  <c r="J505" i="2" a="1"/>
  <c r="J505" i="2" s="1"/>
  <c r="J506" i="2" a="1"/>
  <c r="J506" i="2" s="1"/>
  <c r="J507" i="2" a="1"/>
  <c r="J507" i="2" s="1"/>
  <c r="J508" i="2" a="1"/>
  <c r="J508" i="2" s="1"/>
  <c r="J509" i="2" a="1"/>
  <c r="J509" i="2" s="1"/>
  <c r="J510" i="2" a="1"/>
  <c r="J510" i="2" s="1"/>
  <c r="J511" i="2" a="1"/>
  <c r="J511" i="2" s="1"/>
  <c r="J512" i="2" a="1"/>
  <c r="J512" i="2" s="1"/>
  <c r="J513" i="2" a="1"/>
  <c r="J513" i="2" s="1"/>
  <c r="J514" i="2" a="1"/>
  <c r="J514" i="2" s="1"/>
  <c r="J515" i="2" a="1"/>
  <c r="J515" i="2" s="1"/>
  <c r="J516" i="2" a="1"/>
  <c r="J516" i="2" s="1"/>
  <c r="J517" i="2" a="1"/>
  <c r="J517" i="2" s="1"/>
  <c r="J518" i="2" a="1"/>
  <c r="J518" i="2" s="1"/>
  <c r="J519" i="2" a="1"/>
  <c r="J519" i="2" s="1"/>
  <c r="J520" i="2" a="1"/>
  <c r="J520" i="2" s="1"/>
  <c r="J521" i="2" a="1"/>
  <c r="J521" i="2" s="1"/>
  <c r="J522" i="2" a="1"/>
  <c r="J522" i="2" s="1"/>
  <c r="J523" i="2" a="1"/>
  <c r="J523" i="2" s="1"/>
  <c r="J524" i="2" a="1"/>
  <c r="J524" i="2" s="1"/>
  <c r="J525" i="2" a="1"/>
  <c r="J525" i="2" s="1"/>
  <c r="J526" i="2" a="1"/>
  <c r="J526" i="2" s="1"/>
  <c r="J527" i="2" a="1"/>
  <c r="J527" i="2" s="1"/>
  <c r="J528" i="2" a="1"/>
  <c r="J528" i="2" s="1"/>
  <c r="J529" i="2" a="1"/>
  <c r="J529" i="2" s="1"/>
  <c r="J530" i="2" a="1"/>
  <c r="J530" i="2" s="1"/>
  <c r="J531" i="2" a="1"/>
  <c r="J531" i="2" s="1"/>
  <c r="J532" i="2" a="1"/>
  <c r="J532" i="2" s="1"/>
  <c r="J533" i="2" a="1"/>
  <c r="J533" i="2" s="1"/>
  <c r="J534" i="2" a="1"/>
  <c r="J534" i="2" s="1"/>
  <c r="J535" i="2" a="1"/>
  <c r="J535" i="2" s="1"/>
  <c r="J536" i="2" a="1"/>
  <c r="J536" i="2" s="1"/>
  <c r="J537" i="2" a="1"/>
  <c r="J537" i="2" s="1"/>
  <c r="J538" i="2" a="1"/>
  <c r="J538" i="2" s="1"/>
  <c r="J539" i="2" a="1"/>
  <c r="J539" i="2" s="1"/>
  <c r="J540" i="2" a="1"/>
  <c r="J540" i="2" s="1"/>
  <c r="J541" i="2" a="1"/>
  <c r="J541" i="2" s="1"/>
  <c r="J542" i="2" a="1"/>
  <c r="J542" i="2" s="1"/>
  <c r="J543" i="2" a="1"/>
  <c r="J543" i="2" s="1"/>
  <c r="J544" i="2" a="1"/>
  <c r="J544" i="2" s="1"/>
  <c r="J545" i="2" a="1"/>
  <c r="J545" i="2" s="1"/>
  <c r="J546" i="2" a="1"/>
  <c r="J546" i="2" s="1"/>
  <c r="J547" i="2" a="1"/>
  <c r="J547" i="2" s="1"/>
  <c r="J548" i="2" a="1"/>
  <c r="J548" i="2" s="1"/>
  <c r="J549" i="2" a="1"/>
  <c r="J549" i="2" s="1"/>
  <c r="J550" i="2" a="1"/>
  <c r="J550" i="2" s="1"/>
  <c r="J551" i="2" a="1"/>
  <c r="J551" i="2" s="1"/>
  <c r="J552" i="2" a="1"/>
  <c r="J552" i="2" s="1"/>
  <c r="J553" i="2" a="1"/>
  <c r="J553" i="2" s="1"/>
  <c r="J554" i="2" a="1"/>
  <c r="J554" i="2" s="1"/>
  <c r="J555" i="2" a="1"/>
  <c r="J555" i="2" s="1"/>
  <c r="J556" i="2" a="1"/>
  <c r="J556" i="2" s="1"/>
  <c r="J557" i="2" a="1"/>
  <c r="J557" i="2" s="1"/>
  <c r="J558" i="2" a="1"/>
  <c r="J558" i="2" s="1"/>
  <c r="J559" i="2" a="1"/>
  <c r="J559" i="2" s="1"/>
  <c r="J560" i="2" a="1"/>
  <c r="J560" i="2" s="1"/>
  <c r="J561" i="2" a="1"/>
  <c r="J561" i="2" s="1"/>
  <c r="J562" i="2" a="1"/>
  <c r="J562" i="2" s="1"/>
  <c r="J563" i="2" a="1"/>
  <c r="J563" i="2" s="1"/>
  <c r="J564" i="2" a="1"/>
  <c r="J564" i="2" s="1"/>
  <c r="J565" i="2" a="1"/>
  <c r="J565" i="2" s="1"/>
  <c r="J566" i="2" a="1"/>
  <c r="J566" i="2" s="1"/>
  <c r="J567" i="2" a="1"/>
  <c r="J567" i="2" s="1"/>
  <c r="J568" i="2" a="1"/>
  <c r="J568" i="2" s="1"/>
  <c r="J569" i="2" a="1"/>
  <c r="J569" i="2" s="1"/>
  <c r="J570" i="2" a="1"/>
  <c r="J570" i="2" s="1"/>
  <c r="J571" i="2" a="1"/>
  <c r="J571" i="2" s="1"/>
  <c r="J572" i="2" a="1"/>
  <c r="J572" i="2" s="1"/>
  <c r="J573" i="2" a="1"/>
  <c r="J573" i="2" s="1"/>
  <c r="J574" i="2" a="1"/>
  <c r="J574" i="2" s="1"/>
  <c r="J575" i="2" a="1"/>
  <c r="J575" i="2" s="1"/>
  <c r="J576" i="2" a="1"/>
  <c r="J576" i="2" s="1"/>
  <c r="J577" i="2" a="1"/>
  <c r="J577" i="2" s="1"/>
  <c r="J578" i="2" a="1"/>
  <c r="J578" i="2" s="1"/>
  <c r="J579" i="2" a="1"/>
  <c r="J579" i="2" s="1"/>
  <c r="J580" i="2" a="1"/>
  <c r="J580" i="2" s="1"/>
  <c r="J581" i="2" a="1"/>
  <c r="J581" i="2" s="1"/>
  <c r="J582" i="2" a="1"/>
  <c r="J582" i="2" s="1"/>
  <c r="J583" i="2" a="1"/>
  <c r="J583" i="2" s="1"/>
  <c r="J584" i="2" a="1"/>
  <c r="J584" i="2" s="1"/>
  <c r="J585" i="2" a="1"/>
  <c r="J585" i="2" s="1"/>
  <c r="J586" i="2" a="1"/>
  <c r="J586" i="2" s="1"/>
  <c r="J587" i="2" a="1"/>
  <c r="J587" i="2" s="1"/>
  <c r="J588" i="2" a="1"/>
  <c r="J588" i="2" s="1"/>
  <c r="J589" i="2" a="1"/>
  <c r="J589" i="2" s="1"/>
  <c r="J590" i="2" a="1"/>
  <c r="J590" i="2" s="1"/>
  <c r="J591" i="2" a="1"/>
  <c r="J591" i="2" s="1"/>
  <c r="J592" i="2" a="1"/>
  <c r="J592" i="2" s="1"/>
  <c r="J593" i="2" a="1"/>
  <c r="J593" i="2" s="1"/>
  <c r="J594" i="2" a="1"/>
  <c r="J594" i="2" s="1"/>
  <c r="J595" i="2" a="1"/>
  <c r="J595" i="2" s="1"/>
  <c r="J596" i="2" a="1"/>
  <c r="J596" i="2" s="1"/>
  <c r="J597" i="2" a="1"/>
  <c r="J597" i="2" s="1"/>
  <c r="J598" i="2" a="1"/>
  <c r="J598" i="2" s="1"/>
  <c r="J599" i="2" a="1"/>
  <c r="J599" i="2" s="1"/>
  <c r="J600" i="2" a="1"/>
  <c r="J600" i="2" s="1"/>
  <c r="J601" i="2" a="1"/>
  <c r="J601" i="2" s="1"/>
  <c r="J602" i="2" a="1"/>
  <c r="J602" i="2" s="1"/>
  <c r="J603" i="2" a="1"/>
  <c r="J603" i="2" s="1"/>
  <c r="J604" i="2" a="1"/>
  <c r="J604" i="2" s="1"/>
  <c r="J605" i="2" a="1"/>
  <c r="J605" i="2" s="1"/>
  <c r="J606" i="2" a="1"/>
  <c r="J606" i="2" s="1"/>
  <c r="J607" i="2" a="1"/>
  <c r="J607" i="2" s="1"/>
  <c r="J608" i="2" a="1"/>
  <c r="J608" i="2" s="1"/>
  <c r="J609" i="2" a="1"/>
  <c r="J609" i="2" s="1"/>
  <c r="J610" i="2" a="1"/>
  <c r="J610" i="2" s="1"/>
  <c r="J611" i="2" a="1"/>
  <c r="J611" i="2" s="1"/>
  <c r="J612" i="2" a="1"/>
  <c r="J612" i="2" s="1"/>
  <c r="J613" i="2" a="1"/>
  <c r="J613" i="2" s="1"/>
  <c r="J614" i="2" a="1"/>
  <c r="J614" i="2" s="1"/>
  <c r="J615" i="2" a="1"/>
  <c r="J615" i="2" s="1"/>
  <c r="J616" i="2" a="1"/>
  <c r="J616" i="2" s="1"/>
  <c r="J617" i="2" a="1"/>
  <c r="J617" i="2" s="1"/>
  <c r="J618" i="2" a="1"/>
  <c r="J618" i="2"/>
  <c r="J619" i="2" a="1"/>
  <c r="J619" i="2" s="1"/>
  <c r="J620" i="2" a="1"/>
  <c r="J620" i="2" s="1"/>
  <c r="J621" i="2" a="1"/>
  <c r="J621" i="2" s="1"/>
  <c r="J622" i="2" a="1"/>
  <c r="J622" i="2" s="1"/>
  <c r="J623" i="2" a="1"/>
  <c r="J623" i="2" s="1"/>
  <c r="J624" i="2" a="1"/>
  <c r="J624" i="2" s="1"/>
  <c r="J625" i="2" a="1"/>
  <c r="J625" i="2" s="1"/>
  <c r="J626" i="2" a="1"/>
  <c r="J626" i="2"/>
  <c r="J627" i="2" a="1"/>
  <c r="J627" i="2" s="1"/>
  <c r="J628" i="2" a="1"/>
  <c r="J628" i="2" s="1"/>
  <c r="J629" i="2" a="1"/>
  <c r="J629" i="2" s="1"/>
  <c r="J630" i="2" a="1"/>
  <c r="J630" i="2" s="1"/>
  <c r="J631" i="2" a="1"/>
  <c r="J631" i="2" s="1"/>
  <c r="J632" i="2" a="1"/>
  <c r="J632" i="2" s="1"/>
  <c r="J633" i="2" a="1"/>
  <c r="J633" i="2" s="1"/>
  <c r="J634" i="2" a="1"/>
  <c r="J634" i="2"/>
  <c r="J635" i="2" a="1"/>
  <c r="J635" i="2" s="1"/>
  <c r="J636" i="2" a="1"/>
  <c r="J636" i="2" s="1"/>
  <c r="J637" i="2" a="1"/>
  <c r="J637" i="2" s="1"/>
  <c r="J638" i="2" a="1"/>
  <c r="J638" i="2" s="1"/>
  <c r="J639" i="2" a="1"/>
  <c r="J639" i="2" s="1"/>
  <c r="J640" i="2" a="1"/>
  <c r="J640" i="2" s="1"/>
  <c r="J641" i="2" a="1"/>
  <c r="J641" i="2" s="1"/>
  <c r="J642" i="2" a="1"/>
  <c r="J642" i="2"/>
  <c r="J643" i="2" a="1"/>
  <c r="J643" i="2" s="1"/>
  <c r="J644" i="2" a="1"/>
  <c r="J644" i="2" s="1"/>
  <c r="J645" i="2" a="1"/>
  <c r="J645" i="2" s="1"/>
  <c r="J646" i="2" a="1"/>
  <c r="J646" i="2" s="1"/>
  <c r="J647" i="2" a="1"/>
  <c r="J647" i="2" s="1"/>
  <c r="J648" i="2" a="1"/>
  <c r="J648" i="2" s="1"/>
  <c r="J649" i="2" a="1"/>
  <c r="J649" i="2" s="1"/>
  <c r="J650" i="2" a="1"/>
  <c r="J650" i="2"/>
  <c r="J651" i="2" a="1"/>
  <c r="J651" i="2" s="1"/>
  <c r="J652" i="2" a="1"/>
  <c r="J652" i="2" s="1"/>
  <c r="J653" i="2" a="1"/>
  <c r="J653" i="2" s="1"/>
  <c r="J654" i="2" a="1"/>
  <c r="J654" i="2" s="1"/>
  <c r="J655" i="2" a="1"/>
  <c r="J655" i="2" s="1"/>
  <c r="J656" i="2" a="1"/>
  <c r="J656" i="2" s="1"/>
  <c r="J657" i="2" a="1"/>
  <c r="J657" i="2" s="1"/>
  <c r="J658" i="2" a="1"/>
  <c r="J658" i="2"/>
  <c r="J659" i="2" a="1"/>
  <c r="J659" i="2" s="1"/>
  <c r="J660" i="2" a="1"/>
  <c r="J660" i="2" s="1"/>
  <c r="J661" i="2" a="1"/>
  <c r="J661" i="2" s="1"/>
  <c r="J662" i="2" a="1"/>
  <c r="J662" i="2" s="1"/>
  <c r="J663" i="2" a="1"/>
  <c r="J663" i="2" s="1"/>
  <c r="J664" i="2" a="1"/>
  <c r="J664" i="2" s="1"/>
  <c r="J665" i="2" a="1"/>
  <c r="J665" i="2" s="1"/>
  <c r="J666" i="2" a="1"/>
  <c r="J666" i="2"/>
  <c r="J667" i="2" a="1"/>
  <c r="J667" i="2" s="1"/>
  <c r="J668" i="2" a="1"/>
  <c r="J668" i="2" s="1"/>
  <c r="J669" i="2" a="1"/>
  <c r="J669" i="2" s="1"/>
  <c r="J670" i="2" a="1"/>
  <c r="J670" i="2" s="1"/>
  <c r="J671" i="2" a="1"/>
  <c r="J671" i="2" s="1"/>
  <c r="J672" i="2" a="1"/>
  <c r="J672" i="2" s="1"/>
  <c r="J673" i="2" a="1"/>
  <c r="J673" i="2" s="1"/>
  <c r="J674" i="2" a="1"/>
  <c r="J674" i="2"/>
  <c r="J675" i="2" a="1"/>
  <c r="J675" i="2" s="1"/>
  <c r="J676" i="2" a="1"/>
  <c r="J676" i="2" s="1"/>
  <c r="J677" i="2" a="1"/>
  <c r="J677" i="2" s="1"/>
  <c r="J678" i="2" a="1"/>
  <c r="J678" i="2" s="1"/>
  <c r="J679" i="2" a="1"/>
  <c r="J679" i="2" s="1"/>
  <c r="J680" i="2" a="1"/>
  <c r="J680" i="2" s="1"/>
  <c r="J681" i="2" a="1"/>
  <c r="J681" i="2" s="1"/>
  <c r="J682" i="2" a="1"/>
  <c r="J682" i="2"/>
  <c r="J683" i="2" a="1"/>
  <c r="J683" i="2" s="1"/>
  <c r="J684" i="2" a="1"/>
  <c r="J684" i="2" s="1"/>
  <c r="J685" i="2" a="1"/>
  <c r="J685" i="2" s="1"/>
  <c r="J686" i="2" a="1"/>
  <c r="J686" i="2" s="1"/>
  <c r="J687" i="2" a="1"/>
  <c r="J687" i="2" s="1"/>
  <c r="J688" i="2" a="1"/>
  <c r="J688" i="2" s="1"/>
  <c r="J689" i="2" a="1"/>
  <c r="J689" i="2" s="1"/>
  <c r="J690" i="2" a="1"/>
  <c r="J690" i="2"/>
  <c r="J691" i="2" a="1"/>
  <c r="J691" i="2" s="1"/>
  <c r="J692" i="2" a="1"/>
  <c r="J692" i="2" s="1"/>
  <c r="J693" i="2" a="1"/>
  <c r="J693" i="2" s="1"/>
  <c r="J694" i="2" a="1"/>
  <c r="J694" i="2" s="1"/>
  <c r="J695" i="2" a="1"/>
  <c r="J695" i="2" s="1"/>
  <c r="J696" i="2" a="1"/>
  <c r="J696" i="2" s="1"/>
  <c r="J697" i="2" a="1"/>
  <c r="J697" i="2" s="1"/>
  <c r="J698" i="2" a="1"/>
  <c r="J698" i="2"/>
  <c r="J699" i="2" a="1"/>
  <c r="J699" i="2" s="1"/>
  <c r="J700" i="2" a="1"/>
  <c r="J700" i="2" s="1"/>
  <c r="J701" i="2" a="1"/>
  <c r="J701" i="2" s="1"/>
  <c r="J702" i="2" a="1"/>
  <c r="J702" i="2" s="1"/>
  <c r="J703" i="2" a="1"/>
  <c r="J703" i="2" s="1"/>
  <c r="J704" i="2" a="1"/>
  <c r="J704" i="2" s="1"/>
  <c r="J705" i="2" a="1"/>
  <c r="J705" i="2" s="1"/>
  <c r="J706" i="2" a="1"/>
  <c r="J706" i="2"/>
  <c r="J707" i="2" a="1"/>
  <c r="J707" i="2" s="1"/>
  <c r="J708" i="2" a="1"/>
  <c r="J708" i="2" s="1"/>
  <c r="J709" i="2" a="1"/>
  <c r="J709" i="2" s="1"/>
  <c r="J710" i="2" a="1"/>
  <c r="J710" i="2" s="1"/>
  <c r="J711" i="2" a="1"/>
  <c r="J711" i="2" s="1"/>
  <c r="J712" i="2" a="1"/>
  <c r="J712" i="2" s="1"/>
  <c r="J713" i="2" a="1"/>
  <c r="J713" i="2" s="1"/>
  <c r="J714" i="2" a="1"/>
  <c r="J714" i="2"/>
  <c r="J715" i="2" a="1"/>
  <c r="J715" i="2" s="1"/>
  <c r="J716" i="2" a="1"/>
  <c r="J716" i="2" s="1"/>
  <c r="J717" i="2" a="1"/>
  <c r="J717" i="2" s="1"/>
  <c r="J718" i="2" a="1"/>
  <c r="J718" i="2" s="1"/>
  <c r="J719" i="2" a="1"/>
  <c r="J719" i="2" s="1"/>
  <c r="J720" i="2" a="1"/>
  <c r="J720" i="2" s="1"/>
  <c r="J721" i="2" a="1"/>
  <c r="J721" i="2" s="1"/>
  <c r="J722" i="2" a="1"/>
  <c r="J722" i="2"/>
  <c r="J723" i="2" a="1"/>
  <c r="J723" i="2" s="1"/>
  <c r="J724" i="2" a="1"/>
  <c r="J724" i="2" s="1"/>
  <c r="J725" i="2" a="1"/>
  <c r="J725" i="2" s="1"/>
  <c r="J726" i="2" a="1"/>
  <c r="J726" i="2" s="1"/>
  <c r="J727" i="2" a="1"/>
  <c r="J727" i="2" s="1"/>
  <c r="J728" i="2" a="1"/>
  <c r="J728" i="2" s="1"/>
  <c r="J729" i="2" a="1"/>
  <c r="J729" i="2" s="1"/>
  <c r="J730" i="2" a="1"/>
  <c r="J730" i="2" s="1"/>
  <c r="J731" i="2" a="1"/>
  <c r="J731" i="2" s="1"/>
  <c r="J732" i="2" a="1"/>
  <c r="J732" i="2" s="1"/>
  <c r="J733" i="2" a="1"/>
  <c r="J733" i="2" s="1"/>
  <c r="J734" i="2" a="1"/>
  <c r="J734" i="2" s="1"/>
  <c r="J735" i="2" a="1"/>
  <c r="J735" i="2" s="1"/>
  <c r="J736" i="2" a="1"/>
  <c r="J736" i="2" s="1"/>
  <c r="J737" i="2" a="1"/>
  <c r="J737" i="2" s="1"/>
  <c r="J738" i="2" a="1"/>
  <c r="J738" i="2" s="1"/>
  <c r="J739" i="2" a="1"/>
  <c r="J739" i="2" s="1"/>
  <c r="J740" i="2" a="1"/>
  <c r="J740" i="2" s="1"/>
  <c r="J741" i="2" a="1"/>
  <c r="J741" i="2" s="1"/>
  <c r="J742" i="2" a="1"/>
  <c r="J742" i="2" s="1"/>
  <c r="J743" i="2" a="1"/>
  <c r="J743" i="2" s="1"/>
  <c r="J744" i="2" a="1"/>
  <c r="J744" i="2" s="1"/>
  <c r="J745" i="2" a="1"/>
  <c r="J745" i="2" s="1"/>
  <c r="J746" i="2" a="1"/>
  <c r="J746" i="2" s="1"/>
  <c r="J747" i="2" a="1"/>
  <c r="J747" i="2" s="1"/>
  <c r="J748" i="2" a="1"/>
  <c r="J748" i="2" s="1"/>
  <c r="J749" i="2" a="1"/>
  <c r="J749" i="2" s="1"/>
  <c r="J750" i="2" a="1"/>
  <c r="J750" i="2" s="1"/>
  <c r="J751" i="2" a="1"/>
  <c r="J751" i="2" s="1"/>
  <c r="J752" i="2" a="1"/>
  <c r="J752" i="2" s="1"/>
  <c r="J753" i="2" a="1"/>
  <c r="J753" i="2" s="1"/>
  <c r="J754" i="2" a="1"/>
  <c r="J754" i="2" s="1"/>
  <c r="J755" i="2" a="1"/>
  <c r="J755" i="2" s="1"/>
  <c r="J756" i="2" a="1"/>
  <c r="J756" i="2" s="1"/>
  <c r="J757" i="2" a="1"/>
  <c r="J757" i="2" s="1"/>
  <c r="J758" i="2" a="1"/>
  <c r="J758" i="2" s="1"/>
  <c r="J759" i="2" a="1"/>
  <c r="J759" i="2" s="1"/>
  <c r="J760" i="2" a="1"/>
  <c r="J760" i="2" s="1"/>
  <c r="J761" i="2" a="1"/>
  <c r="J761" i="2" s="1"/>
  <c r="J762" i="2" a="1"/>
  <c r="J762" i="2" s="1"/>
  <c r="J763" i="2" a="1"/>
  <c r="J763" i="2" s="1"/>
  <c r="J764" i="2" a="1"/>
  <c r="J764" i="2" s="1"/>
  <c r="J765" i="2" a="1"/>
  <c r="J765" i="2" s="1"/>
  <c r="J766" i="2" a="1"/>
  <c r="J766" i="2" s="1"/>
  <c r="J767" i="2" a="1"/>
  <c r="J767" i="2" s="1"/>
  <c r="J768" i="2" a="1"/>
  <c r="J768" i="2" s="1"/>
  <c r="J769" i="2" a="1"/>
  <c r="J769" i="2" s="1"/>
  <c r="J770" i="2" a="1"/>
  <c r="J770" i="2" s="1"/>
  <c r="J771" i="2" a="1"/>
  <c r="J771" i="2" s="1"/>
  <c r="J772" i="2" a="1"/>
  <c r="J772" i="2" s="1"/>
  <c r="J773" i="2" a="1"/>
  <c r="J773" i="2" s="1"/>
  <c r="J774" i="2" a="1"/>
  <c r="J774" i="2" s="1"/>
  <c r="J775" i="2" a="1"/>
  <c r="J775" i="2" s="1"/>
  <c r="J776" i="2" a="1"/>
  <c r="J776" i="2" s="1"/>
  <c r="J777" i="2" a="1"/>
  <c r="J777" i="2" s="1"/>
  <c r="J778" i="2" a="1"/>
  <c r="J778" i="2" s="1"/>
  <c r="J779" i="2" a="1"/>
  <c r="J779" i="2" s="1"/>
  <c r="J780" i="2" a="1"/>
  <c r="J780" i="2" s="1"/>
  <c r="J781" i="2" a="1"/>
  <c r="J781" i="2" s="1"/>
  <c r="J782" i="2" a="1"/>
  <c r="J782" i="2" s="1"/>
  <c r="J783" i="2" a="1"/>
  <c r="J783" i="2" s="1"/>
  <c r="J784" i="2" a="1"/>
  <c r="J784" i="2" s="1"/>
  <c r="J785" i="2" a="1"/>
  <c r="J785" i="2" s="1"/>
  <c r="J786" i="2" a="1"/>
  <c r="J786" i="2" s="1"/>
  <c r="J787" i="2" a="1"/>
  <c r="J787" i="2" s="1"/>
  <c r="J788" i="2" a="1"/>
  <c r="J788" i="2" s="1"/>
  <c r="J789" i="2" a="1"/>
  <c r="J789" i="2" s="1"/>
  <c r="J790" i="2" a="1"/>
  <c r="J790" i="2" s="1"/>
  <c r="J791" i="2" a="1"/>
  <c r="J791" i="2" s="1"/>
  <c r="J792" i="2" a="1"/>
  <c r="J792" i="2" s="1"/>
  <c r="J793" i="2" a="1"/>
  <c r="J793" i="2" s="1"/>
  <c r="J794" i="2" a="1"/>
  <c r="J794" i="2" s="1"/>
  <c r="J795" i="2" a="1"/>
  <c r="J795" i="2" s="1"/>
  <c r="J796" i="2" a="1"/>
  <c r="J796" i="2" s="1"/>
  <c r="J797" i="2" a="1"/>
  <c r="J797" i="2" s="1"/>
  <c r="J798" i="2" a="1"/>
  <c r="J798" i="2" s="1"/>
  <c r="J799" i="2" a="1"/>
  <c r="J799" i="2" s="1"/>
  <c r="J800" i="2" a="1"/>
  <c r="J800" i="2" s="1"/>
  <c r="J801" i="2" a="1"/>
  <c r="J801" i="2" s="1"/>
  <c r="J802" i="2" a="1"/>
  <c r="J802" i="2" s="1"/>
  <c r="J803" i="2" a="1"/>
  <c r="J803" i="2" s="1"/>
  <c r="J804" i="2" a="1"/>
  <c r="J804" i="2" s="1"/>
  <c r="J805" i="2" a="1"/>
  <c r="J805" i="2" s="1"/>
  <c r="J806" i="2" a="1"/>
  <c r="J806" i="2" s="1"/>
  <c r="J807" i="2" a="1"/>
  <c r="J807" i="2" s="1"/>
  <c r="J808" i="2" a="1"/>
  <c r="J808" i="2" s="1"/>
  <c r="J809" i="2" a="1"/>
  <c r="J809" i="2" s="1"/>
  <c r="J810" i="2" a="1"/>
  <c r="J810" i="2" s="1"/>
  <c r="J811" i="2" a="1"/>
  <c r="J811" i="2" s="1"/>
  <c r="J812" i="2" a="1"/>
  <c r="J812" i="2" s="1"/>
  <c r="J813" i="2" a="1"/>
  <c r="J813" i="2" s="1"/>
  <c r="J814" i="2" a="1"/>
  <c r="J814" i="2" s="1"/>
  <c r="J815" i="2" a="1"/>
  <c r="J815" i="2" s="1"/>
  <c r="J816" i="2" a="1"/>
  <c r="J816" i="2" s="1"/>
  <c r="J817" i="2" a="1"/>
  <c r="J817" i="2" s="1"/>
  <c r="J818" i="2" a="1"/>
  <c r="J818" i="2" s="1"/>
  <c r="J819" i="2" a="1"/>
  <c r="J819" i="2" s="1"/>
  <c r="J820" i="2" a="1"/>
  <c r="J820" i="2" s="1"/>
  <c r="J821" i="2" a="1"/>
  <c r="J821" i="2" s="1"/>
  <c r="J822" i="2" a="1"/>
  <c r="J822" i="2" s="1"/>
  <c r="J823" i="2" a="1"/>
  <c r="J823" i="2" s="1"/>
  <c r="J824" i="2" a="1"/>
  <c r="J824" i="2" s="1"/>
  <c r="J825" i="2" a="1"/>
  <c r="J825" i="2" s="1"/>
  <c r="J826" i="2" a="1"/>
  <c r="J826" i="2" s="1"/>
  <c r="J827" i="2" a="1"/>
  <c r="J827" i="2" s="1"/>
  <c r="J828" i="2" a="1"/>
  <c r="J828" i="2" s="1"/>
  <c r="J829" i="2" a="1"/>
  <c r="J829" i="2" s="1"/>
  <c r="J830" i="2" a="1"/>
  <c r="J830" i="2" s="1"/>
  <c r="J831" i="2" a="1"/>
  <c r="J831" i="2" s="1"/>
  <c r="J832" i="2" a="1"/>
  <c r="J832" i="2" s="1"/>
  <c r="J833" i="2" a="1"/>
  <c r="J833" i="2" s="1"/>
  <c r="J834" i="2" a="1"/>
  <c r="J834" i="2" s="1"/>
  <c r="J835" i="2" a="1"/>
  <c r="J835" i="2" s="1"/>
  <c r="J836" i="2" a="1"/>
  <c r="J836" i="2" s="1"/>
  <c r="J837" i="2" a="1"/>
  <c r="J837" i="2" s="1"/>
  <c r="J838" i="2" a="1"/>
  <c r="J838" i="2" s="1"/>
  <c r="J839" i="2" a="1"/>
  <c r="J839" i="2" s="1"/>
  <c r="J840" i="2" a="1"/>
  <c r="J840" i="2" s="1"/>
  <c r="J841" i="2" a="1"/>
  <c r="J841" i="2" s="1"/>
  <c r="J842" i="2" a="1"/>
  <c r="J842" i="2" s="1"/>
  <c r="J843" i="2" a="1"/>
  <c r="J843" i="2" s="1"/>
  <c r="J844" i="2" a="1"/>
  <c r="J844" i="2" s="1"/>
  <c r="J845" i="2" a="1"/>
  <c r="J845" i="2" s="1"/>
  <c r="J846" i="2" a="1"/>
  <c r="J846" i="2" s="1"/>
  <c r="J847" i="2" a="1"/>
  <c r="J847" i="2" s="1"/>
  <c r="J848" i="2" a="1"/>
  <c r="J848" i="2" s="1"/>
  <c r="J849" i="2" a="1"/>
  <c r="J849" i="2" s="1"/>
  <c r="J850" i="2" a="1"/>
  <c r="J850" i="2" s="1"/>
  <c r="J851" i="2" a="1"/>
  <c r="J851" i="2" s="1"/>
  <c r="J852" i="2" a="1"/>
  <c r="J852" i="2" s="1"/>
  <c r="J853" i="2" a="1"/>
  <c r="J853" i="2" s="1"/>
  <c r="J854" i="2" a="1"/>
  <c r="J854" i="2" s="1"/>
  <c r="J855" i="2" a="1"/>
  <c r="J855" i="2" s="1"/>
  <c r="J856" i="2" a="1"/>
  <c r="J856" i="2" s="1"/>
  <c r="J857" i="2" a="1"/>
  <c r="J857" i="2" s="1"/>
  <c r="J858" i="2" a="1"/>
  <c r="J858" i="2" s="1"/>
  <c r="J859" i="2" a="1"/>
  <c r="J859" i="2" s="1"/>
  <c r="J860" i="2" a="1"/>
  <c r="J860" i="2" s="1"/>
  <c r="J861" i="2" a="1"/>
  <c r="J861" i="2" s="1"/>
  <c r="J862" i="2" a="1"/>
  <c r="J862" i="2" s="1"/>
  <c r="J863" i="2" a="1"/>
  <c r="J863" i="2" s="1"/>
  <c r="J864" i="2" a="1"/>
  <c r="J864" i="2" s="1"/>
  <c r="J865" i="2" a="1"/>
  <c r="J865" i="2" s="1"/>
  <c r="J866" i="2" a="1"/>
  <c r="J866" i="2" s="1"/>
  <c r="J867" i="2" a="1"/>
  <c r="J867" i="2" s="1"/>
  <c r="J868" i="2" a="1"/>
  <c r="J868" i="2" s="1"/>
  <c r="J869" i="2" a="1"/>
  <c r="J869" i="2" s="1"/>
  <c r="J870" i="2" a="1"/>
  <c r="J870" i="2" s="1"/>
  <c r="J871" i="2" a="1"/>
  <c r="J871" i="2" s="1"/>
  <c r="J872" i="2" a="1"/>
  <c r="J872" i="2" s="1"/>
  <c r="J873" i="2" a="1"/>
  <c r="J873" i="2" s="1"/>
  <c r="J874" i="2" a="1"/>
  <c r="J874" i="2" s="1"/>
  <c r="J875" i="2" a="1"/>
  <c r="J875" i="2" s="1"/>
  <c r="J876" i="2" a="1"/>
  <c r="J876" i="2" s="1"/>
  <c r="J877" i="2" a="1"/>
  <c r="J877" i="2" s="1"/>
  <c r="J878" i="2" a="1"/>
  <c r="J878" i="2" s="1"/>
  <c r="J879" i="2" a="1"/>
  <c r="J879" i="2" s="1"/>
  <c r="J880" i="2" a="1"/>
  <c r="J880" i="2" s="1"/>
  <c r="J881" i="2" a="1"/>
  <c r="J881" i="2" s="1"/>
  <c r="J882" i="2" a="1"/>
  <c r="J882" i="2" s="1"/>
  <c r="J883" i="2" a="1"/>
  <c r="J883" i="2" s="1"/>
  <c r="J884" i="2" a="1"/>
  <c r="J884" i="2" s="1"/>
  <c r="J885" i="2" a="1"/>
  <c r="J885" i="2" s="1"/>
  <c r="J886" i="2" a="1"/>
  <c r="J886" i="2" s="1"/>
  <c r="J887" i="2" a="1"/>
  <c r="J887" i="2" s="1"/>
  <c r="J888" i="2" a="1"/>
  <c r="J888" i="2" s="1"/>
  <c r="J889" i="2" a="1"/>
  <c r="J889" i="2" s="1"/>
  <c r="J890" i="2" a="1"/>
  <c r="J890" i="2" s="1"/>
  <c r="J891" i="2" a="1"/>
  <c r="J891" i="2" s="1"/>
  <c r="J892" i="2" a="1"/>
  <c r="J892" i="2" s="1"/>
  <c r="J893" i="2" a="1"/>
  <c r="J893" i="2" s="1"/>
  <c r="J894" i="2" a="1"/>
  <c r="J894" i="2" s="1"/>
  <c r="J895" i="2" a="1"/>
  <c r="J895" i="2" s="1"/>
  <c r="J896" i="2" a="1"/>
  <c r="J896" i="2" s="1"/>
  <c r="J897" i="2" a="1"/>
  <c r="J897" i="2" s="1"/>
  <c r="J898" i="2" a="1"/>
  <c r="J898" i="2" s="1"/>
  <c r="J899" i="2" a="1"/>
  <c r="J899" i="2" s="1"/>
  <c r="J900" i="2" a="1"/>
  <c r="J900" i="2" s="1"/>
  <c r="J901" i="2" a="1"/>
  <c r="J901" i="2" s="1"/>
  <c r="J902" i="2" a="1"/>
  <c r="J902" i="2" s="1"/>
  <c r="J903" i="2" a="1"/>
  <c r="J903" i="2" s="1"/>
  <c r="J904" i="2" a="1"/>
  <c r="J904" i="2" s="1"/>
  <c r="J905" i="2" a="1"/>
  <c r="J905" i="2" s="1"/>
  <c r="J906" i="2" a="1"/>
  <c r="J906" i="2" s="1"/>
  <c r="J907" i="2" a="1"/>
  <c r="J907" i="2" s="1"/>
  <c r="J908" i="2" a="1"/>
  <c r="J908" i="2" s="1"/>
  <c r="J909" i="2" a="1"/>
  <c r="J909" i="2" s="1"/>
  <c r="J910" i="2" a="1"/>
  <c r="J910" i="2" s="1"/>
  <c r="J911" i="2" a="1"/>
  <c r="J911" i="2" s="1"/>
  <c r="J912" i="2" a="1"/>
  <c r="J912" i="2" s="1"/>
  <c r="J913" i="2" a="1"/>
  <c r="J913" i="2" s="1"/>
  <c r="J914" i="2" a="1"/>
  <c r="J914" i="2" s="1"/>
  <c r="J915" i="2" a="1"/>
  <c r="J915" i="2"/>
  <c r="J916" i="2" a="1"/>
  <c r="J916" i="2" s="1"/>
  <c r="J917" i="2" a="1"/>
  <c r="J917" i="2" s="1"/>
  <c r="J918" i="2" a="1"/>
  <c r="J918" i="2" s="1"/>
  <c r="J919" i="2" a="1"/>
  <c r="J919" i="2"/>
  <c r="J920" i="2" a="1"/>
  <c r="J920" i="2" s="1"/>
  <c r="J921" i="2" a="1"/>
  <c r="J921" i="2" s="1"/>
  <c r="J922" i="2" a="1"/>
  <c r="J922" i="2" s="1"/>
  <c r="J923" i="2" a="1"/>
  <c r="J923" i="2" s="1"/>
  <c r="J924" i="2" a="1"/>
  <c r="J924" i="2" s="1"/>
  <c r="J925" i="2" a="1"/>
  <c r="J925" i="2"/>
  <c r="J926" i="2" a="1"/>
  <c r="J926" i="2" s="1"/>
  <c r="J927" i="2" a="1"/>
  <c r="J927" i="2" s="1"/>
  <c r="J928" i="2" a="1"/>
  <c r="J928" i="2" s="1"/>
  <c r="J929" i="2" a="1"/>
  <c r="J929" i="2" s="1"/>
  <c r="J930" i="2" a="1"/>
  <c r="J930" i="2" s="1"/>
  <c r="J931" i="2" a="1"/>
  <c r="J931" i="2"/>
  <c r="J932" i="2" a="1"/>
  <c r="J932" i="2" s="1"/>
  <c r="J933" i="2" a="1"/>
  <c r="J933" i="2" s="1"/>
  <c r="J934" i="2" a="1"/>
  <c r="J934" i="2" s="1"/>
  <c r="J935" i="2" a="1"/>
  <c r="J935" i="2"/>
  <c r="J936" i="2" a="1"/>
  <c r="J936" i="2" s="1"/>
  <c r="J937" i="2" a="1"/>
  <c r="J937" i="2" s="1"/>
  <c r="J938" i="2" a="1"/>
  <c r="J938" i="2" s="1"/>
  <c r="J939" i="2" a="1"/>
  <c r="J939" i="2" s="1"/>
  <c r="J940" i="2" a="1"/>
  <c r="J940" i="2" s="1"/>
  <c r="J941" i="2" a="1"/>
  <c r="J941" i="2"/>
  <c r="J942" i="2" a="1"/>
  <c r="J942" i="2" s="1"/>
  <c r="J943" i="2" a="1"/>
  <c r="J943" i="2" s="1"/>
  <c r="J944" i="2" a="1"/>
  <c r="J944" i="2" s="1"/>
  <c r="J945" i="2" a="1"/>
  <c r="J945" i="2" s="1"/>
  <c r="J946" i="2" a="1"/>
  <c r="J946" i="2" s="1"/>
  <c r="J947" i="2" a="1"/>
  <c r="J947" i="2"/>
  <c r="J948" i="2" a="1"/>
  <c r="J948" i="2" s="1"/>
  <c r="J949" i="2" a="1"/>
  <c r="J949" i="2" s="1"/>
  <c r="J950" i="2" a="1"/>
  <c r="J950" i="2" s="1"/>
  <c r="J951" i="2" a="1"/>
  <c r="J951" i="2"/>
  <c r="J952" i="2" a="1"/>
  <c r="J952" i="2" s="1"/>
  <c r="J953" i="2" a="1"/>
  <c r="J953" i="2" s="1"/>
  <c r="J954" i="2" a="1"/>
  <c r="J954" i="2" s="1"/>
  <c r="J955" i="2" a="1"/>
  <c r="J955" i="2" s="1"/>
  <c r="J956" i="2" a="1"/>
  <c r="J956" i="2" s="1"/>
  <c r="J957" i="2" a="1"/>
  <c r="J957" i="2"/>
  <c r="J958" i="2" a="1"/>
  <c r="J958" i="2" s="1"/>
  <c r="J959" i="2" a="1"/>
  <c r="J959" i="2" s="1"/>
  <c r="J960" i="2" a="1"/>
  <c r="J960" i="2" s="1"/>
  <c r="J961" i="2" a="1"/>
  <c r="J961" i="2" s="1"/>
  <c r="J962" i="2" a="1"/>
  <c r="J962" i="2" s="1"/>
  <c r="J963" i="2" a="1"/>
  <c r="J963" i="2"/>
  <c r="J964" i="2" a="1"/>
  <c r="J964" i="2" s="1"/>
  <c r="J965" i="2" a="1"/>
  <c r="J965" i="2" s="1"/>
  <c r="J966" i="2" a="1"/>
  <c r="J966" i="2" s="1"/>
  <c r="J967" i="2" a="1"/>
  <c r="J967" i="2"/>
  <c r="J968" i="2" a="1"/>
  <c r="J968" i="2" s="1"/>
  <c r="J969" i="2" a="1"/>
  <c r="J969" i="2" s="1"/>
  <c r="J970" i="2" a="1"/>
  <c r="J970" i="2" s="1"/>
  <c r="J971" i="2" a="1"/>
  <c r="J971" i="2" s="1"/>
  <c r="J972" i="2" a="1"/>
  <c r="J972" i="2" s="1"/>
  <c r="J973" i="2" a="1"/>
  <c r="J973" i="2"/>
  <c r="J974" i="2" a="1"/>
  <c r="J974" i="2" s="1"/>
  <c r="J975" i="2" a="1"/>
  <c r="J975" i="2" s="1"/>
  <c r="J976" i="2" a="1"/>
  <c r="J976" i="2" s="1"/>
  <c r="J977" i="2" a="1"/>
  <c r="J977" i="2" s="1"/>
  <c r="J978" i="2" a="1"/>
  <c r="J978" i="2" s="1"/>
  <c r="J979" i="2" a="1"/>
  <c r="J979" i="2"/>
  <c r="J980" i="2" a="1"/>
  <c r="J980" i="2" s="1"/>
  <c r="J981" i="2" a="1"/>
  <c r="J981" i="2" s="1"/>
  <c r="J982" i="2" a="1"/>
  <c r="J982" i="2" s="1"/>
  <c r="J983" i="2" a="1"/>
  <c r="J983" i="2"/>
  <c r="J984" i="2" a="1"/>
  <c r="J984" i="2" s="1"/>
  <c r="J985" i="2" a="1"/>
  <c r="J985" i="2" s="1"/>
  <c r="J986" i="2" a="1"/>
  <c r="J986" i="2" s="1"/>
  <c r="J987" i="2" a="1"/>
  <c r="J987" i="2" s="1"/>
  <c r="J988" i="2" a="1"/>
  <c r="J988" i="2" s="1"/>
  <c r="J989" i="2" a="1"/>
  <c r="J989" i="2"/>
  <c r="J990" i="2" a="1"/>
  <c r="J990" i="2" s="1"/>
  <c r="J991" i="2" a="1"/>
  <c r="J991" i="2" s="1"/>
  <c r="J992" i="2" a="1"/>
  <c r="J992" i="2" s="1"/>
  <c r="J993" i="2" a="1"/>
  <c r="J993" i="2" s="1"/>
  <c r="J994" i="2" a="1"/>
  <c r="J994" i="2" s="1"/>
  <c r="J995" i="2" a="1"/>
  <c r="J995" i="2"/>
  <c r="J996" i="2" a="1"/>
  <c r="J996" i="2" s="1"/>
  <c r="J997" i="2" a="1"/>
  <c r="J997" i="2" s="1"/>
  <c r="J998" i="2" a="1"/>
  <c r="J998" i="2" s="1"/>
  <c r="J999" i="2" a="1"/>
  <c r="J999" i="2"/>
  <c r="J1000" i="2" a="1"/>
  <c r="J1000" i="2" s="1"/>
  <c r="J1001" i="2" a="1"/>
  <c r="J1001" i="2" s="1"/>
  <c r="J1002" i="2" a="1"/>
  <c r="J1002" i="2" s="1"/>
  <c r="J1003" i="2" a="1"/>
  <c r="J1003" i="2" s="1"/>
  <c r="J1004" i="2" a="1"/>
  <c r="J1004" i="2" s="1"/>
  <c r="J1005" i="2" a="1"/>
  <c r="J1005" i="2"/>
  <c r="J1006" i="2" a="1"/>
  <c r="J1006" i="2" s="1"/>
  <c r="J1007" i="2" a="1"/>
  <c r="J1007" i="2" s="1"/>
  <c r="J1008" i="2" a="1"/>
  <c r="J1008" i="2" s="1"/>
  <c r="J1009" i="2" a="1"/>
  <c r="J1009" i="2" s="1"/>
  <c r="J1010" i="2" a="1"/>
  <c r="J1010" i="2" s="1"/>
  <c r="J1011" i="2" a="1"/>
  <c r="J1011" i="2"/>
  <c r="J1012" i="2" a="1"/>
  <c r="J1012" i="2" s="1"/>
  <c r="J1013" i="2" a="1"/>
  <c r="J1013" i="2" s="1"/>
  <c r="J1014" i="2" a="1"/>
  <c r="J1014" i="2" s="1"/>
  <c r="J1015" i="2" a="1"/>
  <c r="J1015" i="2"/>
  <c r="J1016" i="2" a="1"/>
  <c r="J1016" i="2" s="1"/>
  <c r="J1017" i="2" a="1"/>
  <c r="J1017" i="2" s="1"/>
  <c r="J1018" i="2" a="1"/>
  <c r="J1018" i="2" s="1"/>
  <c r="J1019" i="2" a="1"/>
  <c r="J1019" i="2" s="1"/>
  <c r="J1020" i="2" a="1"/>
  <c r="J1020" i="2" s="1"/>
  <c r="J1021" i="2" a="1"/>
  <c r="J1021" i="2"/>
  <c r="J1022" i="2" a="1"/>
  <c r="J1022" i="2" s="1"/>
  <c r="J1023" i="2" a="1"/>
  <c r="J1023" i="2" s="1"/>
  <c r="J1024" i="2" a="1"/>
  <c r="J1024" i="2" s="1"/>
  <c r="J1025" i="2" a="1"/>
  <c r="J1025" i="2" s="1"/>
  <c r="J1026" i="2" a="1"/>
  <c r="J1026" i="2" s="1"/>
  <c r="J1027" i="2" a="1"/>
  <c r="J1027" i="2"/>
  <c r="J1028" i="2" a="1"/>
  <c r="J1028" i="2" s="1"/>
  <c r="J1029" i="2" a="1"/>
  <c r="J1029" i="2" s="1"/>
  <c r="J1030" i="2" a="1"/>
  <c r="J1030" i="2" s="1"/>
  <c r="J1031" i="2" a="1"/>
  <c r="J1031" i="2"/>
  <c r="J1032" i="2" a="1"/>
  <c r="J1032" i="2" s="1"/>
  <c r="J1033" i="2" a="1"/>
  <c r="J1033" i="2" s="1"/>
  <c r="J1034" i="2" a="1"/>
  <c r="J1034" i="2" s="1"/>
  <c r="J1035" i="2" a="1"/>
  <c r="J1035" i="2" s="1"/>
  <c r="J1036" i="2" a="1"/>
  <c r="J1036" i="2" s="1"/>
  <c r="J1037" i="2" a="1"/>
  <c r="J1037" i="2"/>
  <c r="J1038" i="2" a="1"/>
  <c r="J1038" i="2" s="1"/>
  <c r="J1039" i="2" a="1"/>
  <c r="J1039" i="2" s="1"/>
  <c r="J1040" i="2" a="1"/>
  <c r="J1040" i="2" s="1"/>
  <c r="J1041" i="2" a="1"/>
  <c r="J1041" i="2" s="1"/>
  <c r="J1042" i="2" a="1"/>
  <c r="J1042" i="2" s="1"/>
  <c r="J1043" i="2" a="1"/>
  <c r="J1043" i="2" s="1"/>
  <c r="J1044" i="2" a="1"/>
  <c r="J1044" i="2" s="1"/>
  <c r="J1045" i="2" a="1"/>
  <c r="J1045" i="2" s="1"/>
  <c r="J1046" i="2" a="1"/>
  <c r="J1046" i="2" s="1"/>
  <c r="J1047" i="2" a="1"/>
  <c r="J1047" i="2" s="1"/>
  <c r="J1048" i="2" a="1"/>
  <c r="J1048" i="2" s="1"/>
  <c r="J1049" i="2" a="1"/>
  <c r="J1049" i="2" s="1"/>
  <c r="J1050" i="2" a="1"/>
  <c r="J1050" i="2" s="1"/>
  <c r="J1051" i="2" a="1"/>
  <c r="J1051" i="2" s="1"/>
  <c r="J1052" i="2" a="1"/>
  <c r="J1052" i="2" s="1"/>
  <c r="J1053" i="2" a="1"/>
  <c r="J1053" i="2" s="1"/>
  <c r="J1054" i="2" a="1"/>
  <c r="J1054" i="2" s="1"/>
  <c r="J1055" i="2" a="1"/>
  <c r="J1055" i="2" s="1"/>
  <c r="J1056" i="2" a="1"/>
  <c r="J1056" i="2" s="1"/>
  <c r="J1057" i="2" a="1"/>
  <c r="J1057" i="2" s="1"/>
  <c r="J1058" i="2" a="1"/>
  <c r="J1058" i="2" s="1"/>
  <c r="J1059" i="2" a="1"/>
  <c r="J1059" i="2" s="1"/>
  <c r="J1060" i="2" a="1"/>
  <c r="J1060" i="2" s="1"/>
  <c r="J1061" i="2" a="1"/>
  <c r="J1061" i="2" s="1"/>
  <c r="J1062" i="2" a="1"/>
  <c r="J1062" i="2" s="1"/>
  <c r="J1063" i="2" a="1"/>
  <c r="J1063" i="2" s="1"/>
  <c r="J1064" i="2" a="1"/>
  <c r="J1064" i="2" s="1"/>
  <c r="J1065" i="2" a="1"/>
  <c r="J1065" i="2" s="1"/>
  <c r="J1066" i="2" a="1"/>
  <c r="J1066" i="2" s="1"/>
  <c r="J1067" i="2" a="1"/>
  <c r="J1067" i="2" s="1"/>
  <c r="J1068" i="2" a="1"/>
  <c r="J1068" i="2" s="1"/>
  <c r="J1069" i="2" a="1"/>
  <c r="J1069" i="2" s="1"/>
  <c r="J1070" i="2" a="1"/>
  <c r="J1070" i="2" s="1"/>
  <c r="J1071" i="2" a="1"/>
  <c r="J1071" i="2" s="1"/>
  <c r="J1072" i="2" a="1"/>
  <c r="J1072" i="2" s="1"/>
  <c r="J1073" i="2" a="1"/>
  <c r="J1073" i="2" s="1"/>
  <c r="J1074" i="2" a="1"/>
  <c r="J1074" i="2" s="1"/>
  <c r="J1075" i="2" a="1"/>
  <c r="J1075" i="2" s="1"/>
  <c r="J1076" i="2" a="1"/>
  <c r="J1076" i="2" s="1"/>
  <c r="J1077" i="2" a="1"/>
  <c r="J1077" i="2" s="1"/>
  <c r="J1078" i="2" a="1"/>
  <c r="J1078" i="2" s="1"/>
  <c r="J1079" i="2" a="1"/>
  <c r="J1079" i="2" s="1"/>
  <c r="J1080" i="2" a="1"/>
  <c r="J1080" i="2" s="1"/>
  <c r="J1081" i="2" a="1"/>
  <c r="J1081" i="2" s="1"/>
  <c r="J1082" i="2" a="1"/>
  <c r="J1082" i="2" s="1"/>
  <c r="J1083" i="2" a="1"/>
  <c r="J1083" i="2" s="1"/>
  <c r="J1084" i="2" a="1"/>
  <c r="J1084" i="2" s="1"/>
  <c r="J1085" i="2" a="1"/>
  <c r="J1085" i="2" s="1"/>
  <c r="J1086" i="2" a="1"/>
  <c r="J1086" i="2" s="1"/>
  <c r="J1087" i="2" a="1"/>
  <c r="J1087" i="2" s="1"/>
  <c r="J1088" i="2" a="1"/>
  <c r="J1088" i="2" s="1"/>
  <c r="J1089" i="2" a="1"/>
  <c r="J1089" i="2" s="1"/>
  <c r="J1090" i="2" a="1"/>
  <c r="J1090" i="2" s="1"/>
  <c r="J1091" i="2" a="1"/>
  <c r="J1091" i="2" s="1"/>
  <c r="J1092" i="2" a="1"/>
  <c r="J1092" i="2" s="1"/>
  <c r="J1093" i="2" a="1"/>
  <c r="J1093" i="2" s="1"/>
  <c r="J1094" i="2" a="1"/>
  <c r="J1094" i="2" s="1"/>
  <c r="J1095" i="2" a="1"/>
  <c r="J1095" i="2" s="1"/>
  <c r="J1096" i="2" a="1"/>
  <c r="J1096" i="2" s="1"/>
  <c r="J1097" i="2" a="1"/>
  <c r="J1097" i="2" s="1"/>
  <c r="J1098" i="2" a="1"/>
  <c r="J1098" i="2" s="1"/>
  <c r="J1099" i="2" a="1"/>
  <c r="J1099" i="2" s="1"/>
  <c r="J1100" i="2" a="1"/>
  <c r="J1100" i="2" s="1"/>
  <c r="J1101" i="2" a="1"/>
  <c r="J1101" i="2" s="1"/>
  <c r="J1102" i="2" a="1"/>
  <c r="J1102" i="2" s="1"/>
  <c r="J1103" i="2" a="1"/>
  <c r="J1103" i="2" s="1"/>
  <c r="J1104" i="2" a="1"/>
  <c r="J1104" i="2" s="1"/>
  <c r="J1105" i="2" a="1"/>
  <c r="J1105" i="2" s="1"/>
  <c r="J1106" i="2" a="1"/>
  <c r="J1106" i="2" s="1"/>
  <c r="J1107" i="2" a="1"/>
  <c r="J1107" i="2" s="1"/>
  <c r="J1108" i="2" a="1"/>
  <c r="J1108" i="2" s="1"/>
  <c r="J1109" i="2" a="1"/>
  <c r="J1109" i="2" s="1"/>
  <c r="J1110" i="2" a="1"/>
  <c r="J1110" i="2" s="1"/>
  <c r="J1111" i="2" a="1"/>
  <c r="J1111" i="2" s="1"/>
  <c r="J1112" i="2" a="1"/>
  <c r="J1112" i="2" s="1"/>
  <c r="J1113" i="2" a="1"/>
  <c r="J1113" i="2" s="1"/>
  <c r="J1114" i="2" a="1"/>
  <c r="J1114" i="2" s="1"/>
  <c r="J1115" i="2" a="1"/>
  <c r="J1115" i="2" s="1"/>
  <c r="J1116" i="2" a="1"/>
  <c r="J1116" i="2" s="1"/>
  <c r="J1117" i="2" a="1"/>
  <c r="J1117" i="2" s="1"/>
  <c r="J1118" i="2" a="1"/>
  <c r="J1118" i="2" s="1"/>
  <c r="J1119" i="2" a="1"/>
  <c r="J1119" i="2" s="1"/>
  <c r="J1120" i="2" a="1"/>
  <c r="J1120" i="2" s="1"/>
  <c r="J1121" i="2" a="1"/>
  <c r="J1121" i="2" s="1"/>
  <c r="J1122" i="2" a="1"/>
  <c r="J1122" i="2" s="1"/>
  <c r="J1123" i="2" a="1"/>
  <c r="J1123" i="2" s="1"/>
  <c r="J1124" i="2" a="1"/>
  <c r="J1124" i="2" s="1"/>
  <c r="J1125" i="2" a="1"/>
  <c r="J1125" i="2" s="1"/>
  <c r="J1126" i="2" a="1"/>
  <c r="J1126" i="2" s="1"/>
  <c r="J1127" i="2" a="1"/>
  <c r="J1127" i="2" s="1"/>
  <c r="J1128" i="2" a="1"/>
  <c r="J1128" i="2" s="1"/>
  <c r="J1129" i="2" a="1"/>
  <c r="J1129" i="2" s="1"/>
  <c r="J1130" i="2" a="1"/>
  <c r="J1130" i="2"/>
  <c r="J1131" i="2" a="1"/>
  <c r="J1131" i="2" s="1"/>
  <c r="J1132" i="2" a="1"/>
  <c r="J1132" i="2"/>
  <c r="J1133" i="2" a="1"/>
  <c r="J1133" i="2" s="1"/>
  <c r="J1134" i="2" a="1"/>
  <c r="J1134" i="2"/>
  <c r="J1135" i="2" a="1"/>
  <c r="J1135" i="2" s="1"/>
  <c r="J1136" i="2" a="1"/>
  <c r="J1136" i="2"/>
  <c r="J1137" i="2" a="1"/>
  <c r="J1137" i="2" s="1"/>
  <c r="J1138" i="2" a="1"/>
  <c r="J1138" i="2"/>
  <c r="J1139" i="2" a="1"/>
  <c r="J1139" i="2" s="1"/>
  <c r="J1140" i="2" a="1"/>
  <c r="J1140" i="2"/>
  <c r="J1141" i="2" a="1"/>
  <c r="J1141" i="2" s="1"/>
  <c r="J1142" i="2" a="1"/>
  <c r="J1142" i="2"/>
  <c r="J1143" i="2" a="1"/>
  <c r="J1143" i="2" s="1"/>
  <c r="J1144" i="2" a="1"/>
  <c r="J1144" i="2"/>
  <c r="J1145" i="2" a="1"/>
  <c r="J1145" i="2" s="1"/>
  <c r="J1146" i="2" a="1"/>
  <c r="J1146" i="2"/>
  <c r="J1147" i="2" a="1"/>
  <c r="J1147" i="2" s="1"/>
  <c r="J1148" i="2" a="1"/>
  <c r="J1148" i="2"/>
  <c r="J1149" i="2" a="1"/>
  <c r="J1149" i="2" s="1"/>
  <c r="J1150" i="2" a="1"/>
  <c r="J1150" i="2"/>
  <c r="J1151" i="2" a="1"/>
  <c r="J1151" i="2" s="1"/>
  <c r="J1152" i="2" a="1"/>
  <c r="J1152" i="2"/>
  <c r="J1153" i="2" a="1"/>
  <c r="J1153" i="2" s="1"/>
  <c r="J1154" i="2" a="1"/>
  <c r="J1154" i="2"/>
  <c r="J1155" i="2" a="1"/>
  <c r="J1155" i="2" s="1"/>
  <c r="J1156" i="2" a="1"/>
  <c r="J1156" i="2"/>
  <c r="J1157" i="2" a="1"/>
  <c r="J1157" i="2" s="1"/>
  <c r="J1158" i="2" a="1"/>
  <c r="J1158" i="2"/>
  <c r="J1159" i="2" a="1"/>
  <c r="J1159" i="2" s="1"/>
  <c r="J1160" i="2" a="1"/>
  <c r="J1160" i="2"/>
  <c r="J1161" i="2" a="1"/>
  <c r="J1161" i="2" s="1"/>
  <c r="J1162" i="2" a="1"/>
  <c r="J1162" i="2"/>
  <c r="J1163" i="2" a="1"/>
  <c r="J1163" i="2" s="1"/>
  <c r="J1164" i="2" a="1"/>
  <c r="J1164" i="2"/>
  <c r="J1165" i="2" a="1"/>
  <c r="J1165" i="2" s="1"/>
  <c r="J1166" i="2" a="1"/>
  <c r="J1166" i="2"/>
  <c r="J1167" i="2" a="1"/>
  <c r="J1167" i="2" s="1"/>
  <c r="J1168" i="2" a="1"/>
  <c r="J1168" i="2"/>
  <c r="J1169" i="2" a="1"/>
  <c r="J1169" i="2" s="1"/>
  <c r="J1170" i="2" a="1"/>
  <c r="J1170" i="2"/>
  <c r="J1171" i="2" a="1"/>
  <c r="J1171" i="2" s="1"/>
  <c r="J1172" i="2" a="1"/>
  <c r="J1172" i="2" s="1"/>
  <c r="J1173" i="2" a="1"/>
  <c r="J1173" i="2" s="1"/>
  <c r="J1174" i="2" a="1"/>
  <c r="J1174" i="2"/>
  <c r="J1175" i="2" a="1"/>
  <c r="J1175" i="2" s="1"/>
  <c r="J1176" i="2" a="1"/>
  <c r="J1176" i="2"/>
  <c r="J1177" i="2" a="1"/>
  <c r="J1177" i="2" s="1"/>
  <c r="J1178" i="2" a="1"/>
  <c r="J1178" i="2"/>
  <c r="J1179" i="2" a="1"/>
  <c r="J1179" i="2" s="1"/>
  <c r="J1180" i="2" a="1"/>
  <c r="J1180" i="2" s="1"/>
  <c r="J1181" i="2" a="1"/>
  <c r="J1181" i="2" s="1"/>
  <c r="J1182" i="2" a="1"/>
  <c r="J1182" i="2"/>
  <c r="J1183" i="2" a="1"/>
  <c r="J1183" i="2" s="1"/>
  <c r="J1184" i="2" a="1"/>
  <c r="J1184" i="2"/>
  <c r="J1185" i="2" a="1"/>
  <c r="J1185" i="2" s="1"/>
  <c r="J1186" i="2" a="1"/>
  <c r="J1186" i="2"/>
  <c r="J1187" i="2" a="1"/>
  <c r="J1187" i="2" s="1"/>
  <c r="J1188" i="2" a="1"/>
  <c r="J1188" i="2" s="1"/>
  <c r="J1189" i="2" a="1"/>
  <c r="J1189" i="2" s="1"/>
  <c r="J1190" i="2" a="1"/>
  <c r="J1190" i="2"/>
  <c r="J1191" i="2" a="1"/>
  <c r="J1191" i="2" s="1"/>
  <c r="J1192" i="2" a="1"/>
  <c r="J1192" i="2"/>
  <c r="J1193" i="2" a="1"/>
  <c r="J1193" i="2" s="1"/>
  <c r="J1194" i="2" a="1"/>
  <c r="J1194" i="2"/>
  <c r="J1195" i="2" a="1"/>
  <c r="J1195" i="2" s="1"/>
  <c r="J1196" i="2" a="1"/>
  <c r="J1196" i="2" s="1"/>
  <c r="J1197" i="2" a="1"/>
  <c r="J1197" i="2" s="1"/>
  <c r="J1198" i="2" a="1"/>
  <c r="J1198" i="2"/>
  <c r="J1199" i="2" a="1"/>
  <c r="J1199" i="2" s="1"/>
  <c r="J1200" i="2" a="1"/>
  <c r="J1200" i="2"/>
  <c r="J1201" i="2" a="1"/>
  <c r="J1201" i="2" s="1"/>
  <c r="J1202" i="2" a="1"/>
  <c r="J1202" i="2"/>
  <c r="J1203" i="2" a="1"/>
  <c r="J1203" i="2" s="1"/>
  <c r="J1204" i="2" a="1"/>
  <c r="J1204" i="2" s="1"/>
  <c r="J1205" i="2" a="1"/>
  <c r="J1205" i="2" s="1"/>
  <c r="J1206" i="2" a="1"/>
  <c r="J1206" i="2"/>
  <c r="J1207" i="2" a="1"/>
  <c r="J1207" i="2" s="1"/>
  <c r="J1208" i="2" a="1"/>
  <c r="J1208" i="2"/>
  <c r="J1209" i="2" a="1"/>
  <c r="J1209" i="2" s="1"/>
  <c r="J1210" i="2" a="1"/>
  <c r="J1210" i="2"/>
  <c r="J1211" i="2" a="1"/>
  <c r="J1211" i="2" s="1"/>
  <c r="J1212" i="2" a="1"/>
  <c r="J1212" i="2" s="1"/>
  <c r="J1213" i="2" a="1"/>
  <c r="J1213" i="2" s="1"/>
  <c r="J1214" i="2" a="1"/>
  <c r="J1214" i="2"/>
  <c r="J1215" i="2" a="1"/>
  <c r="J1215" i="2" s="1"/>
  <c r="J1216" i="2" a="1"/>
  <c r="J1216" i="2"/>
  <c r="J1217" i="2" a="1"/>
  <c r="J1217" i="2" s="1"/>
  <c r="J1218" i="2" a="1"/>
  <c r="J1218" i="2"/>
  <c r="J1219" i="2" a="1"/>
  <c r="J1219" i="2" s="1"/>
  <c r="J1220" i="2" a="1"/>
  <c r="J1220" i="2" s="1"/>
  <c r="J1221" i="2" a="1"/>
  <c r="J1221" i="2" s="1"/>
  <c r="J1222" i="2" a="1"/>
  <c r="J1222" i="2"/>
  <c r="J1223" i="2" a="1"/>
  <c r="J1223" i="2" s="1"/>
  <c r="J1224" i="2" a="1"/>
  <c r="J1224" i="2"/>
  <c r="J1225" i="2" a="1"/>
  <c r="J1225" i="2" s="1"/>
  <c r="J1226" i="2" a="1"/>
  <c r="J1226" i="2"/>
  <c r="J1227" i="2" a="1"/>
  <c r="J1227" i="2" s="1"/>
  <c r="J1228" i="2" a="1"/>
  <c r="J1228" i="2" s="1"/>
  <c r="J1229" i="2" a="1"/>
  <c r="J1229" i="2" s="1"/>
  <c r="J1230" i="2" a="1"/>
  <c r="J1230" i="2"/>
  <c r="J1231" i="2" a="1"/>
  <c r="J1231" i="2" s="1"/>
  <c r="J1232" i="2" a="1"/>
  <c r="J1232" i="2"/>
  <c r="J1233" i="2" a="1"/>
  <c r="J1233" i="2" s="1"/>
  <c r="J1234" i="2" a="1"/>
  <c r="J1234" i="2"/>
  <c r="J1235" i="2" a="1"/>
  <c r="J1235" i="2" s="1"/>
  <c r="J1236" i="2" a="1"/>
  <c r="J1236" i="2" s="1"/>
  <c r="J1237" i="2" a="1"/>
  <c r="J1237" i="2" s="1"/>
  <c r="J1238" i="2" a="1"/>
  <c r="J1238" i="2"/>
  <c r="J1239" i="2" a="1"/>
  <c r="J1239" i="2" s="1"/>
  <c r="J1240" i="2" a="1"/>
  <c r="J1240" i="2"/>
  <c r="J1241" i="2" a="1"/>
  <c r="J1241" i="2" s="1"/>
  <c r="J1242" i="2" a="1"/>
  <c r="J1242" i="2"/>
  <c r="J1243" i="2" a="1"/>
  <c r="J1243" i="2" s="1"/>
  <c r="J1244" i="2" a="1"/>
  <c r="J1244" i="2" s="1"/>
  <c r="J1245" i="2" a="1"/>
  <c r="J1245" i="2" s="1"/>
  <c r="J1246" i="2" a="1"/>
  <c r="J1246" i="2"/>
  <c r="J1247" i="2" a="1"/>
  <c r="J1247" i="2" s="1"/>
  <c r="J1248" i="2" a="1"/>
  <c r="J1248" i="2"/>
  <c r="J1249" i="2" a="1"/>
  <c r="J1249" i="2" s="1"/>
  <c r="J1250" i="2" a="1"/>
  <c r="J1250" i="2"/>
  <c r="J1251" i="2" a="1"/>
  <c r="J1251" i="2" s="1"/>
  <c r="J1252" i="2" a="1"/>
  <c r="J1252" i="2" s="1"/>
  <c r="J1253" i="2" a="1"/>
  <c r="J1253" i="2" s="1"/>
  <c r="J1254" i="2" a="1"/>
  <c r="J1254" i="2"/>
  <c r="J1255" i="2" a="1"/>
  <c r="J1255" i="2" s="1"/>
  <c r="J1256" i="2" a="1"/>
  <c r="J1256" i="2"/>
  <c r="J1257" i="2" a="1"/>
  <c r="J1257" i="2" s="1"/>
  <c r="J1258" i="2" a="1"/>
  <c r="J1258" i="2"/>
  <c r="J1259" i="2" a="1"/>
  <c r="J1259" i="2" s="1"/>
  <c r="J1260" i="2" a="1"/>
  <c r="J1260" i="2" s="1"/>
  <c r="J1261" i="2" a="1"/>
  <c r="J1261" i="2" s="1"/>
  <c r="J1262" i="2" a="1"/>
  <c r="J1262" i="2"/>
  <c r="J1263" i="2" a="1"/>
  <c r="J1263" i="2" s="1"/>
  <c r="J1264" i="2" a="1"/>
  <c r="J1264" i="2"/>
  <c r="J1265" i="2" a="1"/>
  <c r="J1265" i="2" s="1"/>
  <c r="J1266" i="2" a="1"/>
  <c r="J1266" i="2"/>
  <c r="J1267" i="2" a="1"/>
  <c r="J1267" i="2" s="1"/>
  <c r="J1268" i="2" a="1"/>
  <c r="J1268" i="2" s="1"/>
  <c r="J1269" i="2" a="1"/>
  <c r="J1269" i="2" s="1"/>
  <c r="J1270" i="2" a="1"/>
  <c r="J1270" i="2"/>
  <c r="J1271" i="2" a="1"/>
  <c r="J1271" i="2" s="1"/>
  <c r="J1272" i="2" a="1"/>
  <c r="J1272" i="2"/>
  <c r="J1273" i="2" a="1"/>
  <c r="J1273" i="2" s="1"/>
  <c r="J1274" i="2" a="1"/>
  <c r="J1274" i="2"/>
  <c r="J1275" i="2" a="1"/>
  <c r="J1275" i="2" s="1"/>
  <c r="J1276" i="2" a="1"/>
  <c r="J1276" i="2" s="1"/>
  <c r="J1277" i="2" a="1"/>
  <c r="J1277" i="2" s="1"/>
  <c r="J1278" i="2" a="1"/>
  <c r="J1278" i="2"/>
  <c r="J1279" i="2" a="1"/>
  <c r="J1279" i="2" s="1"/>
  <c r="J1280" i="2" a="1"/>
  <c r="J1280" i="2"/>
  <c r="J1281" i="2" a="1"/>
  <c r="J1281" i="2" s="1"/>
  <c r="J1282" i="2" a="1"/>
  <c r="J1282" i="2"/>
  <c r="J1283" i="2" a="1"/>
  <c r="J1283" i="2" s="1"/>
  <c r="J1284" i="2" a="1"/>
  <c r="J1284" i="2" s="1"/>
  <c r="J1285" i="2" a="1"/>
  <c r="J1285" i="2" s="1"/>
  <c r="J1286" i="2" a="1"/>
  <c r="J1286" i="2"/>
  <c r="J1287" i="2" a="1"/>
  <c r="J1287" i="2" s="1"/>
  <c r="J1288" i="2" a="1"/>
  <c r="J1288" i="2"/>
  <c r="J1289" i="2" a="1"/>
  <c r="J1289" i="2" s="1"/>
  <c r="J1290" i="2" a="1"/>
  <c r="J1290" i="2"/>
  <c r="J1291" i="2" a="1"/>
  <c r="J1291" i="2" s="1"/>
  <c r="J1292" i="2" a="1"/>
  <c r="J1292" i="2" s="1"/>
  <c r="J1293" i="2" a="1"/>
  <c r="J1293" i="2" s="1"/>
  <c r="J1294" i="2" a="1"/>
  <c r="J1294" i="2"/>
  <c r="J1295" i="2" a="1"/>
  <c r="J1295" i="2" s="1"/>
  <c r="J1296" i="2" a="1"/>
  <c r="J1296" i="2"/>
  <c r="J1297" i="2" a="1"/>
  <c r="J1297" i="2" s="1"/>
  <c r="J1298" i="2" a="1"/>
  <c r="J1298" i="2"/>
  <c r="J1299" i="2" a="1"/>
  <c r="J1299" i="2" s="1"/>
  <c r="J1300" i="2" a="1"/>
  <c r="J1300" i="2" s="1"/>
  <c r="J1301" i="2" a="1"/>
  <c r="J1301" i="2" s="1"/>
  <c r="J1302" i="2" a="1"/>
  <c r="J1302" i="2"/>
  <c r="J1303" i="2" a="1"/>
  <c r="J1303" i="2" s="1"/>
  <c r="J1304" i="2" a="1"/>
  <c r="J1304" i="2"/>
  <c r="J1305" i="2" a="1"/>
  <c r="J1305" i="2" s="1"/>
  <c r="J1306" i="2" a="1"/>
  <c r="J1306" i="2"/>
  <c r="J1307" i="2" a="1"/>
  <c r="J1307" i="2" s="1"/>
  <c r="J1308" i="2" a="1"/>
  <c r="J1308" i="2" s="1"/>
  <c r="J1309" i="2" a="1"/>
  <c r="J1309" i="2" s="1"/>
  <c r="J1310" i="2" a="1"/>
  <c r="J1310" i="2"/>
  <c r="J1311" i="2" a="1"/>
  <c r="J1311" i="2" s="1"/>
  <c r="J1312" i="2" a="1"/>
  <c r="J1312" i="2"/>
  <c r="J1313" i="2" a="1"/>
  <c r="J1313" i="2" s="1"/>
  <c r="J1314" i="2" a="1"/>
  <c r="J1314" i="2"/>
  <c r="J1315" i="2" a="1"/>
  <c r="J1315" i="2" s="1"/>
  <c r="J1316" i="2" a="1"/>
  <c r="J1316" i="2" s="1"/>
  <c r="J1317" i="2" a="1"/>
  <c r="J1317" i="2" s="1"/>
  <c r="J1318" i="2" a="1"/>
  <c r="J1318" i="2"/>
  <c r="J1319" i="2" a="1"/>
  <c r="J1319" i="2" s="1"/>
  <c r="J1320" i="2" a="1"/>
  <c r="J1320" i="2"/>
  <c r="J1321" i="2" a="1"/>
  <c r="J1321" i="2" s="1"/>
  <c r="J1322" i="2" a="1"/>
  <c r="J1322" i="2"/>
  <c r="J1323" i="2" a="1"/>
  <c r="J1323" i="2" s="1"/>
  <c r="J1324" i="2" a="1"/>
  <c r="J1324" i="2" s="1"/>
  <c r="J1325" i="2" a="1"/>
  <c r="J1325" i="2" s="1"/>
  <c r="J1326" i="2" a="1"/>
  <c r="J1326" i="2"/>
  <c r="J1327" i="2" a="1"/>
  <c r="J1327" i="2" s="1"/>
  <c r="J1328" i="2" a="1"/>
  <c r="J1328" i="2"/>
  <c r="J1329" i="2" a="1"/>
  <c r="J1329" i="2" s="1"/>
  <c r="J1330" i="2" a="1"/>
  <c r="J1330" i="2"/>
  <c r="J1331" i="2" a="1"/>
  <c r="J1331" i="2" s="1"/>
  <c r="J1332" i="2" a="1"/>
  <c r="J1332" i="2" s="1"/>
  <c r="J1333" i="2" a="1"/>
  <c r="J1333" i="2" s="1"/>
  <c r="J1334" i="2" a="1"/>
  <c r="J1334" i="2"/>
  <c r="J1335" i="2" a="1"/>
  <c r="J1335" i="2" s="1"/>
  <c r="J1336" i="2" a="1"/>
  <c r="J1336" i="2"/>
  <c r="J1337" i="2" a="1"/>
  <c r="J1337" i="2" s="1"/>
  <c r="J1338" i="2" a="1"/>
  <c r="J1338" i="2"/>
  <c r="J1339" i="2" a="1"/>
  <c r="J1339" i="2" s="1"/>
  <c r="J1340" i="2" a="1"/>
  <c r="J1340" i="2" s="1"/>
  <c r="J1341" i="2" a="1"/>
  <c r="J1341" i="2" s="1"/>
  <c r="J1342" i="2" a="1"/>
  <c r="J1342" i="2"/>
  <c r="J1343" i="2" a="1"/>
  <c r="J1343" i="2" s="1"/>
  <c r="J1344" i="2" a="1"/>
  <c r="J1344" i="2"/>
  <c r="J1345" i="2" a="1"/>
  <c r="J1345" i="2" s="1"/>
  <c r="J1346" i="2" a="1"/>
  <c r="J1346" i="2"/>
  <c r="J1347" i="2" a="1"/>
  <c r="J1347" i="2" s="1"/>
  <c r="J1348" i="2" a="1"/>
  <c r="J1348" i="2" s="1"/>
  <c r="J1349" i="2" a="1"/>
  <c r="J1349" i="2" s="1"/>
  <c r="J1350" i="2" a="1"/>
  <c r="J1350" i="2"/>
  <c r="J1351" i="2" a="1"/>
  <c r="J1351" i="2" s="1"/>
  <c r="J1352" i="2" a="1"/>
  <c r="J1352" i="2"/>
  <c r="J1353" i="2" a="1"/>
  <c r="J1353" i="2" s="1"/>
  <c r="J1354" i="2" a="1"/>
  <c r="J1354" i="2"/>
  <c r="J1355" i="2" a="1"/>
  <c r="J1355" i="2" s="1"/>
  <c r="J1356" i="2" a="1"/>
  <c r="J1356" i="2" s="1"/>
  <c r="J1357" i="2" a="1"/>
  <c r="J1357" i="2" s="1"/>
  <c r="J1358" i="2" a="1"/>
  <c r="J1358" i="2"/>
  <c r="J1359" i="2" a="1"/>
  <c r="J1359" i="2" s="1"/>
  <c r="J1360" i="2" a="1"/>
  <c r="J1360" i="2"/>
  <c r="J1361" i="2" a="1"/>
  <c r="J1361" i="2" s="1"/>
  <c r="J1362" i="2" a="1"/>
  <c r="J1362" i="2"/>
  <c r="J1363" i="2" a="1"/>
  <c r="J1363" i="2" s="1"/>
  <c r="J1364" i="2" a="1"/>
  <c r="J1364" i="2" s="1"/>
  <c r="J1365" i="2" a="1"/>
  <c r="J1365" i="2" s="1"/>
  <c r="J1366" i="2" a="1"/>
  <c r="J1366" i="2"/>
  <c r="J1367" i="2" a="1"/>
  <c r="J1367" i="2" s="1"/>
  <c r="J1368" i="2" a="1"/>
  <c r="J1368" i="2"/>
  <c r="J1369" i="2" a="1"/>
  <c r="J1369" i="2" s="1"/>
  <c r="J1370" i="2" a="1"/>
  <c r="J1370" i="2"/>
  <c r="J1371" i="2" a="1"/>
  <c r="J1371" i="2" s="1"/>
  <c r="J1372" i="2" a="1"/>
  <c r="J1372" i="2" s="1"/>
  <c r="J1373" i="2" a="1"/>
  <c r="J1373" i="2" s="1"/>
  <c r="J1374" i="2" a="1"/>
  <c r="J1374" i="2"/>
  <c r="J1375" i="2" a="1"/>
  <c r="J1375" i="2" s="1"/>
  <c r="J1376" i="2" a="1"/>
  <c r="J1376" i="2"/>
  <c r="J1377" i="2" a="1"/>
  <c r="J1377" i="2" s="1"/>
  <c r="J1378" i="2" a="1"/>
  <c r="J1378" i="2"/>
  <c r="J1379" i="2" a="1"/>
  <c r="J1379" i="2" s="1"/>
  <c r="J1380" i="2" a="1"/>
  <c r="J1380" i="2" s="1"/>
  <c r="J1381" i="2" a="1"/>
  <c r="J1381" i="2" s="1"/>
  <c r="J1382" i="2" a="1"/>
  <c r="J1382" i="2"/>
  <c r="J1383" i="2" a="1"/>
  <c r="J1383" i="2" s="1"/>
  <c r="J1384" i="2" a="1"/>
  <c r="J1384" i="2"/>
  <c r="J1385" i="2" a="1"/>
  <c r="J1385" i="2" s="1"/>
  <c r="J1386" i="2" a="1"/>
  <c r="J1386" i="2"/>
  <c r="J1387" i="2" a="1"/>
  <c r="J1387" i="2" s="1"/>
  <c r="J1388" i="2" a="1"/>
  <c r="J1388" i="2" s="1"/>
  <c r="J1389" i="2" a="1"/>
  <c r="J1389" i="2" s="1"/>
  <c r="J1390" i="2" a="1"/>
  <c r="J1390" i="2"/>
  <c r="J1391" i="2" a="1"/>
  <c r="J1391" i="2" s="1"/>
  <c r="J1392" i="2" a="1"/>
  <c r="J1392" i="2"/>
  <c r="J1393" i="2" a="1"/>
  <c r="J1393" i="2" s="1"/>
  <c r="J1394" i="2" a="1"/>
  <c r="J1394" i="2"/>
  <c r="J1395" i="2" a="1"/>
  <c r="J1395" i="2" s="1"/>
  <c r="J1396" i="2" a="1"/>
  <c r="J1396" i="2" s="1"/>
  <c r="J1397" i="2" a="1"/>
  <c r="J1397" i="2" s="1"/>
  <c r="J1398" i="2" a="1"/>
  <c r="J1398" i="2"/>
  <c r="J1399" i="2" a="1"/>
  <c r="J1399" i="2" s="1"/>
  <c r="J1400" i="2" a="1"/>
  <c r="J1400" i="2"/>
  <c r="J1401" i="2" a="1"/>
  <c r="J1401" i="2" s="1"/>
  <c r="J1402" i="2" a="1"/>
  <c r="J1402" i="2"/>
  <c r="J1403" i="2" a="1"/>
  <c r="J1403" i="2" s="1"/>
  <c r="J1404" i="2" a="1"/>
  <c r="J1404" i="2" s="1"/>
  <c r="J1405" i="2" a="1"/>
  <c r="J1405" i="2" s="1"/>
  <c r="J1406" i="2" a="1"/>
  <c r="J1406" i="2"/>
  <c r="J1407" i="2" a="1"/>
  <c r="J1407" i="2" s="1"/>
  <c r="J1408" i="2" a="1"/>
  <c r="J1408" i="2"/>
  <c r="J1409" i="2" a="1"/>
  <c r="J1409" i="2" s="1"/>
  <c r="J1410" i="2" a="1"/>
  <c r="J1410" i="2"/>
  <c r="J1411" i="2" a="1"/>
  <c r="J1411" i="2" s="1"/>
  <c r="J1412" i="2" a="1"/>
  <c r="J1412" i="2" s="1"/>
  <c r="J1413" i="2" a="1"/>
  <c r="J1413" i="2" s="1"/>
  <c r="J1414" i="2" a="1"/>
  <c r="J1414" i="2"/>
  <c r="J1415" i="2" a="1"/>
  <c r="J1415" i="2" s="1"/>
  <c r="J1416" i="2" a="1"/>
  <c r="J1416" i="2"/>
  <c r="J1417" i="2" a="1"/>
  <c r="J1417" i="2" s="1"/>
  <c r="J1418" i="2" a="1"/>
  <c r="J1418" i="2"/>
  <c r="J1419" i="2" a="1"/>
  <c r="J1419" i="2" s="1"/>
  <c r="J1420" i="2" a="1"/>
  <c r="J1420" i="2" s="1"/>
  <c r="J1421" i="2" a="1"/>
  <c r="J1421" i="2" s="1"/>
  <c r="J1422" i="2" a="1"/>
  <c r="J1422" i="2"/>
  <c r="J1423" i="2" a="1"/>
  <c r="J1423" i="2" s="1"/>
  <c r="J1424" i="2" a="1"/>
  <c r="J1424" i="2"/>
  <c r="J1425" i="2" a="1"/>
  <c r="J1425" i="2" s="1"/>
  <c r="J1426" i="2" a="1"/>
  <c r="J1426" i="2"/>
  <c r="J1427" i="2" a="1"/>
  <c r="J1427" i="2" s="1"/>
  <c r="J1428" i="2" a="1"/>
  <c r="J1428" i="2" s="1"/>
  <c r="J1429" i="2" a="1"/>
  <c r="J1429" i="2" s="1"/>
  <c r="J1430" i="2" a="1"/>
  <c r="J1430" i="2"/>
  <c r="J1431" i="2" a="1"/>
  <c r="J1431" i="2" s="1"/>
  <c r="J1432" i="2" a="1"/>
  <c r="J1432" i="2"/>
  <c r="J1433" i="2" a="1"/>
  <c r="J1433" i="2" s="1"/>
  <c r="J1434" i="2" a="1"/>
  <c r="J1434" i="2"/>
  <c r="J1435" i="2" a="1"/>
  <c r="J1435" i="2" s="1"/>
  <c r="J1436" i="2" a="1"/>
  <c r="J1436" i="2" s="1"/>
  <c r="J1437" i="2" a="1"/>
  <c r="J1437" i="2" s="1"/>
  <c r="J1438" i="2" a="1"/>
  <c r="J1438" i="2"/>
  <c r="J1439" i="2" a="1"/>
  <c r="J1439" i="2" s="1"/>
  <c r="J1440" i="2" a="1"/>
  <c r="J1440" i="2"/>
  <c r="J1441" i="2" a="1"/>
  <c r="J1441" i="2" s="1"/>
  <c r="J1442" i="2" a="1"/>
  <c r="J1442" i="2"/>
  <c r="J1443" i="2" a="1"/>
  <c r="J1443" i="2" s="1"/>
  <c r="J1444" i="2" a="1"/>
  <c r="J1444" i="2" s="1"/>
  <c r="J1445" i="2" a="1"/>
  <c r="J1445" i="2" s="1"/>
  <c r="J1446" i="2" a="1"/>
  <c r="J1446" i="2"/>
  <c r="J1447" i="2" a="1"/>
  <c r="J1447" i="2" s="1"/>
  <c r="J1448" i="2" a="1"/>
  <c r="J1448" i="2"/>
  <c r="J1449" i="2" a="1"/>
  <c r="J1449" i="2" s="1"/>
  <c r="J1450" i="2" a="1"/>
  <c r="J1450" i="2"/>
  <c r="J1451" i="2" a="1"/>
  <c r="J1451" i="2" s="1"/>
  <c r="J1452" i="2" a="1"/>
  <c r="J1452" i="2" s="1"/>
  <c r="J1453" i="2" a="1"/>
  <c r="J1453" i="2" s="1"/>
  <c r="J1454" i="2" a="1"/>
  <c r="J1454" i="2"/>
  <c r="J1455" i="2" a="1"/>
  <c r="J1455" i="2" s="1"/>
  <c r="J1456" i="2" a="1"/>
  <c r="J1456" i="2"/>
  <c r="J1457" i="2" a="1"/>
  <c r="J1457" i="2" s="1"/>
  <c r="J1458" i="2" a="1"/>
  <c r="J1458" i="2"/>
  <c r="J1459" i="2" a="1"/>
  <c r="J1459" i="2" s="1"/>
  <c r="J1460" i="2" a="1"/>
  <c r="J1460" i="2" s="1"/>
  <c r="J1461" i="2" a="1"/>
  <c r="J1461" i="2" s="1"/>
  <c r="J1462" i="2" a="1"/>
  <c r="J1462" i="2"/>
  <c r="J1463" i="2" a="1"/>
  <c r="J1463" i="2" s="1"/>
  <c r="J1464" i="2" a="1"/>
  <c r="J1464" i="2"/>
  <c r="J1465" i="2" a="1"/>
  <c r="J1465" i="2" s="1"/>
  <c r="J1466" i="2" a="1"/>
  <c r="J1466" i="2"/>
  <c r="J1467" i="2" a="1"/>
  <c r="J1467" i="2" s="1"/>
  <c r="J1468" i="2" a="1"/>
  <c r="J1468" i="2" s="1"/>
  <c r="J1469" i="2" a="1"/>
  <c r="J1469" i="2" s="1"/>
  <c r="J1470" i="2" a="1"/>
  <c r="J1470" i="2"/>
  <c r="J1471" i="2" a="1"/>
  <c r="J1471" i="2" s="1"/>
  <c r="J1472" i="2" a="1"/>
  <c r="J1472" i="2"/>
  <c r="J1473" i="2" a="1"/>
  <c r="J1473" i="2" s="1"/>
  <c r="J1474" i="2" a="1"/>
  <c r="J1474" i="2"/>
  <c r="J1475" i="2" a="1"/>
  <c r="J1475" i="2" s="1"/>
  <c r="J1476" i="2" a="1"/>
  <c r="J1476" i="2" s="1"/>
  <c r="J1477" i="2" a="1"/>
  <c r="J1477" i="2" s="1"/>
  <c r="J1478" i="2" a="1"/>
  <c r="J1478" i="2"/>
  <c r="J1479" i="2" a="1"/>
  <c r="J1479" i="2" s="1"/>
  <c r="J1480" i="2" a="1"/>
  <c r="J1480" i="2"/>
  <c r="J1481" i="2" a="1"/>
  <c r="J1481" i="2" s="1"/>
  <c r="J1482" i="2" a="1"/>
  <c r="J1482" i="2"/>
  <c r="J1483" i="2" a="1"/>
  <c r="J1483" i="2" s="1"/>
  <c r="J1484" i="2" a="1"/>
  <c r="J1484" i="2" s="1"/>
  <c r="J1485" i="2" a="1"/>
  <c r="J1485" i="2" s="1"/>
  <c r="J1486" i="2" a="1"/>
  <c r="J1486" i="2"/>
  <c r="J1487" i="2" a="1"/>
  <c r="J1487" i="2" s="1"/>
  <c r="J1488" i="2" a="1"/>
  <c r="J1488" i="2"/>
  <c r="J1489" i="2" a="1"/>
  <c r="J1489" i="2" s="1"/>
  <c r="J1490" i="2" a="1"/>
  <c r="J1490" i="2"/>
  <c r="J1491" i="2" a="1"/>
  <c r="J1491" i="2" s="1"/>
  <c r="J1492" i="2" a="1"/>
  <c r="J1492" i="2" s="1"/>
  <c r="J1493" i="2" a="1"/>
  <c r="J1493" i="2" s="1"/>
  <c r="J1494" i="2" a="1"/>
  <c r="J1494" i="2"/>
  <c r="J1495" i="2" a="1"/>
  <c r="J1495" i="2" s="1"/>
  <c r="J1496" i="2" a="1"/>
  <c r="J1496" i="2"/>
  <c r="J1497" i="2" a="1"/>
  <c r="J1497" i="2" s="1"/>
  <c r="J1498" i="2" a="1"/>
  <c r="J1498" i="2"/>
  <c r="J1499" i="2" a="1"/>
  <c r="J1499" i="2" s="1"/>
  <c r="J1500" i="2" a="1"/>
  <c r="J1500" i="2" s="1"/>
  <c r="J1501" i="2" a="1"/>
  <c r="J1501" i="2" s="1"/>
  <c r="K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1002" i="2"/>
  <c r="K1003" i="2"/>
  <c r="K1004" i="2"/>
  <c r="K1005" i="2"/>
  <c r="K1006" i="2"/>
  <c r="K1007" i="2"/>
  <c r="K1008" i="2"/>
  <c r="K1009" i="2"/>
  <c r="K1010" i="2"/>
  <c r="K1011" i="2"/>
  <c r="K1012" i="2"/>
  <c r="K1013" i="2"/>
  <c r="K1014" i="2"/>
  <c r="K1015" i="2"/>
  <c r="K1016" i="2"/>
  <c r="K1017" i="2"/>
  <c r="K1018" i="2"/>
  <c r="K1019" i="2"/>
  <c r="K1020" i="2"/>
  <c r="K1021" i="2"/>
  <c r="K1022" i="2"/>
  <c r="K1023" i="2"/>
  <c r="K1024" i="2"/>
  <c r="K1025" i="2"/>
  <c r="K1026" i="2"/>
  <c r="K1027" i="2"/>
  <c r="K1028" i="2"/>
  <c r="K1029" i="2"/>
  <c r="K1030" i="2"/>
  <c r="K1031" i="2"/>
  <c r="K1032" i="2"/>
  <c r="K1033" i="2"/>
  <c r="K1034" i="2"/>
  <c r="K1035" i="2"/>
  <c r="K1036" i="2"/>
  <c r="K1037" i="2"/>
  <c r="K1038" i="2"/>
  <c r="K1039" i="2"/>
  <c r="K1040" i="2"/>
  <c r="K1041" i="2"/>
  <c r="K1042" i="2"/>
  <c r="K1043" i="2"/>
  <c r="K1044" i="2"/>
  <c r="K1045" i="2"/>
  <c r="K1046" i="2"/>
  <c r="K1047" i="2"/>
  <c r="K1048" i="2"/>
  <c r="K1049" i="2"/>
  <c r="K1050" i="2"/>
  <c r="K1051" i="2"/>
  <c r="K1052" i="2"/>
  <c r="K1053" i="2"/>
  <c r="K1054" i="2"/>
  <c r="K1055" i="2"/>
  <c r="K1056" i="2"/>
  <c r="K1057" i="2"/>
  <c r="K1058" i="2"/>
  <c r="K1059" i="2"/>
  <c r="K1060" i="2"/>
  <c r="K1061" i="2"/>
  <c r="K1062" i="2"/>
  <c r="K1063" i="2"/>
  <c r="K1064" i="2"/>
  <c r="K1065" i="2"/>
  <c r="K1066" i="2"/>
  <c r="K1067" i="2"/>
  <c r="K1068" i="2"/>
  <c r="K1069" i="2"/>
  <c r="K1070" i="2"/>
  <c r="K1071" i="2"/>
  <c r="K1072" i="2"/>
  <c r="K1073" i="2"/>
  <c r="K1074" i="2"/>
  <c r="K1075" i="2"/>
  <c r="K1076" i="2"/>
  <c r="K1077" i="2"/>
  <c r="K1078" i="2"/>
  <c r="K1079" i="2"/>
  <c r="K1080" i="2"/>
  <c r="K1081" i="2"/>
  <c r="K1082" i="2"/>
  <c r="K1083" i="2"/>
  <c r="K1084" i="2"/>
  <c r="K1085" i="2"/>
  <c r="K1086" i="2"/>
  <c r="K1087" i="2"/>
  <c r="K1088" i="2"/>
  <c r="K1089" i="2"/>
  <c r="K1090" i="2"/>
  <c r="K1091" i="2"/>
  <c r="K1092" i="2"/>
  <c r="K1093" i="2"/>
  <c r="K1094" i="2"/>
  <c r="K1095" i="2"/>
  <c r="K1096" i="2"/>
  <c r="K1097" i="2"/>
  <c r="K1098" i="2"/>
  <c r="K1099" i="2"/>
  <c r="K1100" i="2"/>
  <c r="K1101" i="2"/>
  <c r="K1102" i="2"/>
  <c r="K1103" i="2"/>
  <c r="K1104" i="2"/>
  <c r="K1105" i="2"/>
  <c r="K1106" i="2"/>
  <c r="K1107" i="2"/>
  <c r="K1108" i="2"/>
  <c r="K1109" i="2"/>
  <c r="K1110" i="2"/>
  <c r="K1111" i="2"/>
  <c r="K1112" i="2"/>
  <c r="K1113" i="2"/>
  <c r="K1114" i="2"/>
  <c r="K1115" i="2"/>
  <c r="K1116" i="2"/>
  <c r="K1117" i="2"/>
  <c r="K1118" i="2"/>
  <c r="K1119" i="2"/>
  <c r="K1120" i="2"/>
  <c r="K1121" i="2"/>
  <c r="K1122" i="2"/>
  <c r="K1123" i="2"/>
  <c r="K1124" i="2"/>
  <c r="K1125" i="2"/>
  <c r="K1126" i="2"/>
  <c r="K1127" i="2"/>
  <c r="K1128" i="2"/>
  <c r="K1129" i="2"/>
  <c r="K1130" i="2"/>
  <c r="K1131" i="2"/>
  <c r="K1132" i="2"/>
  <c r="K1133" i="2"/>
  <c r="K1134" i="2"/>
  <c r="K1135" i="2"/>
  <c r="K1136" i="2"/>
  <c r="K1137" i="2"/>
  <c r="K1138" i="2"/>
  <c r="K1139" i="2"/>
  <c r="K1140" i="2"/>
  <c r="K1141" i="2"/>
  <c r="K1142" i="2"/>
  <c r="K1143" i="2"/>
  <c r="K1144" i="2"/>
  <c r="K1145" i="2"/>
  <c r="K1146" i="2"/>
  <c r="K1147" i="2"/>
  <c r="K1148" i="2"/>
  <c r="K1149" i="2"/>
  <c r="K1150" i="2"/>
  <c r="K1151" i="2"/>
  <c r="K1152" i="2"/>
  <c r="K1153" i="2"/>
  <c r="K1154" i="2"/>
  <c r="K1155" i="2"/>
  <c r="K1156" i="2"/>
  <c r="K1157" i="2"/>
  <c r="K1158" i="2"/>
  <c r="K1159" i="2"/>
  <c r="K1160" i="2"/>
  <c r="K1161" i="2"/>
  <c r="K1162" i="2"/>
  <c r="K1163" i="2"/>
  <c r="K1164" i="2"/>
  <c r="K1165" i="2"/>
  <c r="K1166" i="2"/>
  <c r="K1167" i="2"/>
  <c r="K1168" i="2"/>
  <c r="K1169" i="2"/>
  <c r="K1170" i="2"/>
  <c r="K1171" i="2"/>
  <c r="K1172" i="2"/>
  <c r="K1173" i="2"/>
  <c r="K1174" i="2"/>
  <c r="K1175" i="2"/>
  <c r="K1176" i="2"/>
  <c r="K1177" i="2"/>
  <c r="K1178" i="2"/>
  <c r="K1179" i="2"/>
  <c r="K1180" i="2"/>
  <c r="K1181" i="2"/>
  <c r="K1182" i="2"/>
  <c r="K1183" i="2"/>
  <c r="K1184" i="2"/>
  <c r="K1185" i="2"/>
  <c r="K1186" i="2"/>
  <c r="K1187" i="2"/>
  <c r="K1188" i="2"/>
  <c r="K1189" i="2"/>
  <c r="K1190" i="2"/>
  <c r="K1191" i="2"/>
  <c r="K1192" i="2"/>
  <c r="K1193" i="2"/>
  <c r="K1194" i="2"/>
  <c r="K1195" i="2"/>
  <c r="K1196" i="2"/>
  <c r="K1197" i="2"/>
  <c r="K1198" i="2"/>
  <c r="K1199" i="2"/>
  <c r="K1200" i="2"/>
  <c r="K1201" i="2"/>
  <c r="K1202" i="2"/>
  <c r="K1203" i="2"/>
  <c r="K1204" i="2"/>
  <c r="K1205" i="2"/>
  <c r="K1206" i="2"/>
  <c r="K1207" i="2"/>
  <c r="K1208" i="2"/>
  <c r="K1209" i="2"/>
  <c r="K1210" i="2"/>
  <c r="K1211" i="2"/>
  <c r="K1212" i="2"/>
  <c r="K1213" i="2"/>
  <c r="K1214" i="2"/>
  <c r="K1215" i="2"/>
  <c r="K1216" i="2"/>
  <c r="K1217" i="2"/>
  <c r="K1218" i="2"/>
  <c r="K1219" i="2"/>
  <c r="K1220" i="2"/>
  <c r="K1221" i="2"/>
  <c r="K1222" i="2"/>
  <c r="K1223" i="2"/>
  <c r="K1224" i="2"/>
  <c r="K1225" i="2"/>
  <c r="K1226" i="2"/>
  <c r="K1227" i="2"/>
  <c r="K1228" i="2"/>
  <c r="K1229" i="2"/>
  <c r="K1230" i="2"/>
  <c r="K1231" i="2"/>
  <c r="K1232" i="2"/>
  <c r="K1233" i="2"/>
  <c r="K1234" i="2"/>
  <c r="K1235" i="2"/>
  <c r="K1236" i="2"/>
  <c r="K1237" i="2"/>
  <c r="K1238" i="2"/>
  <c r="K1239" i="2"/>
  <c r="K1240" i="2"/>
  <c r="K1241" i="2"/>
  <c r="K1242" i="2"/>
  <c r="K1243" i="2"/>
  <c r="K1244" i="2"/>
  <c r="K1245" i="2"/>
  <c r="K1246" i="2"/>
  <c r="K1247" i="2"/>
  <c r="K1248" i="2"/>
  <c r="K1249" i="2"/>
  <c r="K1250" i="2"/>
  <c r="K1251" i="2"/>
  <c r="K1252" i="2"/>
  <c r="K1253" i="2"/>
  <c r="K1254" i="2"/>
  <c r="K1255" i="2"/>
  <c r="K1256" i="2"/>
  <c r="K1257" i="2"/>
  <c r="K1258" i="2"/>
  <c r="K1259" i="2"/>
  <c r="K1260" i="2"/>
  <c r="K1261" i="2"/>
  <c r="K1262" i="2"/>
  <c r="K1263" i="2"/>
  <c r="K1264" i="2"/>
  <c r="K1265" i="2"/>
  <c r="K1266" i="2"/>
  <c r="K1267" i="2"/>
  <c r="K1268" i="2"/>
  <c r="K1269" i="2"/>
  <c r="K1270" i="2"/>
  <c r="K1271" i="2"/>
  <c r="K1272" i="2"/>
  <c r="K1273" i="2"/>
  <c r="K1274" i="2"/>
  <c r="K1275" i="2"/>
  <c r="K1276" i="2"/>
  <c r="K1277" i="2"/>
  <c r="K1278" i="2"/>
  <c r="K1279" i="2"/>
  <c r="K1280" i="2"/>
  <c r="K1281" i="2"/>
  <c r="K1282" i="2"/>
  <c r="K1283" i="2"/>
  <c r="K1284" i="2"/>
  <c r="K1285" i="2"/>
  <c r="K1286" i="2"/>
  <c r="K1287" i="2"/>
  <c r="K1288" i="2"/>
  <c r="K1289" i="2"/>
  <c r="K1290" i="2"/>
  <c r="K1291" i="2"/>
  <c r="K1292" i="2"/>
  <c r="K1293" i="2"/>
  <c r="K1294" i="2"/>
  <c r="K1295" i="2"/>
  <c r="K1296" i="2"/>
  <c r="K1297" i="2"/>
  <c r="K1298" i="2"/>
  <c r="K1299" i="2"/>
  <c r="K1300" i="2"/>
  <c r="K1301" i="2"/>
  <c r="K1302" i="2"/>
  <c r="K1303" i="2"/>
  <c r="K1304" i="2"/>
  <c r="K1305" i="2"/>
  <c r="K1306" i="2"/>
  <c r="K1307" i="2"/>
  <c r="K1308" i="2"/>
  <c r="K1309" i="2"/>
  <c r="K1310" i="2"/>
  <c r="K1311" i="2"/>
  <c r="K1312" i="2"/>
  <c r="K1313" i="2"/>
  <c r="K1314" i="2"/>
  <c r="K1315" i="2"/>
  <c r="K1316" i="2"/>
  <c r="K1317" i="2"/>
  <c r="K1318" i="2"/>
  <c r="K1319" i="2"/>
  <c r="K1320" i="2"/>
  <c r="K1321" i="2"/>
  <c r="K1322" i="2"/>
  <c r="K1323" i="2"/>
  <c r="K1324" i="2"/>
  <c r="K1325" i="2"/>
  <c r="K1326" i="2"/>
  <c r="K1327" i="2"/>
  <c r="K1328" i="2"/>
  <c r="K1329" i="2"/>
  <c r="K1330" i="2"/>
  <c r="K1331" i="2"/>
  <c r="K1332" i="2"/>
  <c r="K1333" i="2"/>
  <c r="K1334" i="2"/>
  <c r="K1335" i="2"/>
  <c r="K1336" i="2"/>
  <c r="K1337" i="2"/>
  <c r="K1338" i="2"/>
  <c r="K1339" i="2"/>
  <c r="K1340" i="2"/>
  <c r="K1341" i="2"/>
  <c r="K1342" i="2"/>
  <c r="K1343" i="2"/>
  <c r="K1344" i="2"/>
  <c r="K1345" i="2"/>
  <c r="K1346" i="2"/>
  <c r="K1347" i="2"/>
  <c r="K1348" i="2"/>
  <c r="K1349" i="2"/>
  <c r="K1350" i="2"/>
  <c r="K1351" i="2"/>
  <c r="K1352" i="2"/>
  <c r="K1353" i="2"/>
  <c r="K1354" i="2"/>
  <c r="K1355" i="2"/>
  <c r="K1356" i="2"/>
  <c r="K1357" i="2"/>
  <c r="K1358" i="2"/>
  <c r="K1359" i="2"/>
  <c r="K1360" i="2"/>
  <c r="K1361" i="2"/>
  <c r="K1362" i="2"/>
  <c r="K1363" i="2"/>
  <c r="K1364" i="2"/>
  <c r="K1365" i="2"/>
  <c r="K1366" i="2"/>
  <c r="K1367" i="2"/>
  <c r="K1368" i="2"/>
  <c r="K1369" i="2"/>
  <c r="K1370" i="2"/>
  <c r="K1371" i="2"/>
  <c r="K1372" i="2"/>
  <c r="K1373" i="2"/>
  <c r="K1374" i="2"/>
  <c r="K1375" i="2"/>
  <c r="K1376" i="2"/>
  <c r="K1377" i="2"/>
  <c r="K1378" i="2"/>
  <c r="K1379" i="2"/>
  <c r="K1380" i="2"/>
  <c r="K1381" i="2"/>
  <c r="K1382" i="2"/>
  <c r="K1383" i="2"/>
  <c r="K1384" i="2"/>
  <c r="K1385" i="2"/>
  <c r="K1386" i="2"/>
  <c r="K1387" i="2"/>
  <c r="K1388" i="2"/>
  <c r="K1389" i="2"/>
  <c r="K1390" i="2"/>
  <c r="K1391" i="2"/>
  <c r="K1392" i="2"/>
  <c r="K1393" i="2"/>
  <c r="K1394" i="2"/>
  <c r="K1395" i="2"/>
  <c r="K1396" i="2"/>
  <c r="K1397" i="2"/>
  <c r="K1398" i="2"/>
  <c r="K1399" i="2"/>
  <c r="K1400" i="2"/>
  <c r="K1401" i="2"/>
  <c r="K1402" i="2"/>
  <c r="K1403" i="2"/>
  <c r="K1404" i="2"/>
  <c r="K1405" i="2"/>
  <c r="K1406" i="2"/>
  <c r="K1407" i="2"/>
  <c r="K1408" i="2"/>
  <c r="K1409" i="2"/>
  <c r="K1410" i="2"/>
  <c r="K1411" i="2"/>
  <c r="K1412" i="2"/>
  <c r="K1413" i="2"/>
  <c r="K1414" i="2"/>
  <c r="K1415" i="2"/>
  <c r="K1416" i="2"/>
  <c r="K1417" i="2"/>
  <c r="K1418" i="2"/>
  <c r="K1419" i="2"/>
  <c r="K1420" i="2"/>
  <c r="K1421" i="2"/>
  <c r="K1422" i="2"/>
  <c r="K1423" i="2"/>
  <c r="K1424" i="2"/>
  <c r="K1425" i="2"/>
  <c r="K1426" i="2"/>
  <c r="K1427" i="2"/>
  <c r="K1428" i="2"/>
  <c r="K1429" i="2"/>
  <c r="K1430" i="2"/>
  <c r="K1431" i="2"/>
  <c r="K1432" i="2"/>
  <c r="K1433" i="2"/>
  <c r="K1434" i="2"/>
  <c r="K1435" i="2"/>
  <c r="K1436" i="2"/>
  <c r="K1437" i="2"/>
  <c r="K1438" i="2"/>
  <c r="K1439" i="2"/>
  <c r="K1440" i="2"/>
  <c r="K1441" i="2"/>
  <c r="K1442" i="2"/>
  <c r="K1443" i="2"/>
  <c r="K1444" i="2"/>
  <c r="K1445" i="2"/>
  <c r="K1446" i="2"/>
  <c r="K1447" i="2"/>
  <c r="K1448" i="2"/>
  <c r="K1449" i="2"/>
  <c r="K1450" i="2"/>
  <c r="K1451" i="2"/>
  <c r="K1452" i="2"/>
  <c r="K1453" i="2"/>
  <c r="K1454" i="2"/>
  <c r="K1455" i="2"/>
  <c r="K1456" i="2"/>
  <c r="K1457" i="2"/>
  <c r="K1458" i="2"/>
  <c r="K1459" i="2"/>
  <c r="K1460" i="2"/>
  <c r="K1461" i="2"/>
  <c r="K1462" i="2"/>
  <c r="K1463" i="2"/>
  <c r="K1464" i="2"/>
  <c r="K1465" i="2"/>
  <c r="K1466" i="2"/>
  <c r="K1467" i="2"/>
  <c r="K1468" i="2"/>
  <c r="K1469" i="2"/>
  <c r="K1470" i="2"/>
  <c r="K1471" i="2"/>
  <c r="K1472" i="2"/>
  <c r="K1473" i="2"/>
  <c r="K1474" i="2"/>
  <c r="K1475" i="2"/>
  <c r="K1476" i="2"/>
  <c r="K1477" i="2"/>
  <c r="K1478" i="2"/>
  <c r="K1479" i="2"/>
  <c r="K1480" i="2"/>
  <c r="K1481" i="2"/>
  <c r="K1482" i="2"/>
  <c r="K1483" i="2"/>
  <c r="K1484" i="2"/>
  <c r="K1485" i="2"/>
  <c r="K1486" i="2"/>
  <c r="K1487" i="2"/>
  <c r="K1488" i="2"/>
  <c r="K1489" i="2"/>
  <c r="K1490" i="2"/>
  <c r="K1491" i="2"/>
  <c r="K1492" i="2"/>
  <c r="K1493" i="2"/>
  <c r="K1494" i="2"/>
  <c r="K1495" i="2"/>
  <c r="K1496" i="2"/>
  <c r="K1497" i="2"/>
  <c r="K1498" i="2"/>
  <c r="K1499" i="2"/>
  <c r="K1500" i="2"/>
  <c r="K1501" i="2"/>
  <c r="I2" i="2" a="1"/>
  <c r="I2" i="2" s="1"/>
  <c r="I3" i="2" a="1"/>
  <c r="I3" i="2" s="1"/>
  <c r="I4" i="2" a="1"/>
  <c r="I4" i="2" s="1"/>
  <c r="I5" i="2" a="1"/>
  <c r="I5" i="2" s="1"/>
  <c r="I6" i="2" a="1"/>
  <c r="I6" i="2" s="1"/>
  <c r="I7" i="2" a="1"/>
  <c r="I7" i="2" s="1"/>
  <c r="I8" i="2" a="1"/>
  <c r="I8" i="2" s="1"/>
  <c r="I9" i="2" a="1"/>
  <c r="I9" i="2" s="1"/>
  <c r="I10" i="2" a="1"/>
  <c r="I10" i="2" s="1"/>
  <c r="I11" i="2" a="1"/>
  <c r="I11" i="2" s="1"/>
  <c r="I12" i="2" a="1"/>
  <c r="I12" i="2" s="1"/>
  <c r="I13" i="2" a="1"/>
  <c r="I13" i="2" s="1"/>
  <c r="I14" i="2" a="1"/>
  <c r="I14" i="2" s="1"/>
  <c r="I15" i="2" a="1"/>
  <c r="I15" i="2" s="1"/>
  <c r="I16" i="2" a="1"/>
  <c r="I16" i="2" s="1"/>
  <c r="I17" i="2" a="1"/>
  <c r="I17" i="2" s="1"/>
  <c r="I18" i="2" a="1"/>
  <c r="I18" i="2" s="1"/>
  <c r="I19" i="2" a="1"/>
  <c r="I19" i="2" s="1"/>
  <c r="I20" i="2" a="1"/>
  <c r="I20" i="2" s="1"/>
  <c r="I21" i="2" a="1"/>
  <c r="I21" i="2" s="1"/>
  <c r="I22" i="2" a="1"/>
  <c r="I22" i="2" s="1"/>
  <c r="I23" i="2" a="1"/>
  <c r="I23" i="2" s="1"/>
  <c r="I24" i="2" a="1"/>
  <c r="I24" i="2" s="1"/>
  <c r="I25" i="2" a="1"/>
  <c r="I25" i="2" s="1"/>
  <c r="I26" i="2" a="1"/>
  <c r="I26" i="2" s="1"/>
  <c r="I27" i="2" a="1"/>
  <c r="I27" i="2" s="1"/>
  <c r="I28" i="2" a="1"/>
  <c r="I28" i="2" s="1"/>
  <c r="I29" i="2" a="1"/>
  <c r="I29" i="2" s="1"/>
  <c r="I30" i="2" a="1"/>
  <c r="I30" i="2" s="1"/>
  <c r="I31" i="2" a="1"/>
  <c r="I31" i="2" s="1"/>
  <c r="I32" i="2" a="1"/>
  <c r="I32" i="2" s="1"/>
  <c r="I33" i="2" a="1"/>
  <c r="I33" i="2" s="1"/>
  <c r="I34" i="2" a="1"/>
  <c r="I34" i="2" s="1"/>
  <c r="I35" i="2" a="1"/>
  <c r="I35" i="2" s="1"/>
  <c r="I36" i="2" a="1"/>
  <c r="I36" i="2" s="1"/>
  <c r="I37" i="2" a="1"/>
  <c r="I37" i="2" s="1"/>
  <c r="I38" i="2" a="1"/>
  <c r="I38" i="2" s="1"/>
  <c r="I39" i="2" a="1"/>
  <c r="I39" i="2" s="1"/>
  <c r="I40" i="2" a="1"/>
  <c r="I40" i="2" s="1"/>
  <c r="I41" i="2" a="1"/>
  <c r="I41" i="2" s="1"/>
  <c r="I42" i="2" a="1"/>
  <c r="I42" i="2" s="1"/>
  <c r="I43" i="2" a="1"/>
  <c r="I43" i="2" s="1"/>
  <c r="I44" i="2" a="1"/>
  <c r="I44" i="2" s="1"/>
  <c r="I45" i="2" a="1"/>
  <c r="I45" i="2" s="1"/>
  <c r="I46" i="2" a="1"/>
  <c r="I46" i="2" s="1"/>
  <c r="I47" i="2" a="1"/>
  <c r="I47" i="2" s="1"/>
  <c r="I48" i="2" a="1"/>
  <c r="I48" i="2" s="1"/>
  <c r="I49" i="2" a="1"/>
  <c r="I49" i="2" s="1"/>
  <c r="I50" i="2" a="1"/>
  <c r="I50" i="2" s="1"/>
  <c r="I51" i="2" a="1"/>
  <c r="I51" i="2" s="1"/>
  <c r="I52" i="2" a="1"/>
  <c r="I52" i="2" s="1"/>
  <c r="I53" i="2" a="1"/>
  <c r="I53" i="2" s="1"/>
  <c r="I54" i="2" a="1"/>
  <c r="I54" i="2" s="1"/>
  <c r="I55" i="2" a="1"/>
  <c r="I55" i="2" s="1"/>
  <c r="I56" i="2" a="1"/>
  <c r="I56" i="2" s="1"/>
  <c r="I57" i="2" a="1"/>
  <c r="I57" i="2" s="1"/>
  <c r="I58" i="2" a="1"/>
  <c r="I58" i="2" s="1"/>
  <c r="I59" i="2" a="1"/>
  <c r="I59" i="2" s="1"/>
  <c r="I60" i="2" a="1"/>
  <c r="I60" i="2" s="1"/>
  <c r="I61" i="2" a="1"/>
  <c r="I61" i="2" s="1"/>
  <c r="I62" i="2" a="1"/>
  <c r="I62" i="2" s="1"/>
  <c r="I63" i="2" a="1"/>
  <c r="I63" i="2" s="1"/>
  <c r="I64" i="2" a="1"/>
  <c r="I64" i="2" s="1"/>
  <c r="I65" i="2" a="1"/>
  <c r="I65" i="2" s="1"/>
  <c r="I66" i="2" a="1"/>
  <c r="I66" i="2" s="1"/>
  <c r="I67" i="2" a="1"/>
  <c r="I67" i="2" s="1"/>
  <c r="I68" i="2" a="1"/>
  <c r="I68" i="2" s="1"/>
  <c r="I69" i="2" a="1"/>
  <c r="I69" i="2" s="1"/>
  <c r="I70" i="2" a="1"/>
  <c r="I70" i="2" s="1"/>
  <c r="I71" i="2" a="1"/>
  <c r="I71" i="2" s="1"/>
  <c r="I72" i="2" a="1"/>
  <c r="I72" i="2" s="1"/>
  <c r="I73" i="2" a="1"/>
  <c r="I73" i="2" s="1"/>
  <c r="I74" i="2" a="1"/>
  <c r="I74" i="2" s="1"/>
  <c r="I75" i="2" a="1"/>
  <c r="I75" i="2" s="1"/>
  <c r="I76" i="2" a="1"/>
  <c r="I76" i="2" s="1"/>
  <c r="I77" i="2" a="1"/>
  <c r="I77" i="2" s="1"/>
  <c r="I78" i="2" a="1"/>
  <c r="I78" i="2" s="1"/>
  <c r="I79" i="2" a="1"/>
  <c r="I79" i="2" s="1"/>
  <c r="I80" i="2" a="1"/>
  <c r="I80" i="2" s="1"/>
  <c r="I81" i="2" a="1"/>
  <c r="I81" i="2" s="1"/>
  <c r="I82" i="2" a="1"/>
  <c r="I82" i="2" s="1"/>
  <c r="I83" i="2" a="1"/>
  <c r="I83" i="2" s="1"/>
  <c r="I84" i="2" a="1"/>
  <c r="I84" i="2" s="1"/>
  <c r="I85" i="2" a="1"/>
  <c r="I85" i="2" s="1"/>
  <c r="I86" i="2" a="1"/>
  <c r="I86" i="2" s="1"/>
  <c r="I87" i="2" a="1"/>
  <c r="I87" i="2" s="1"/>
  <c r="I88" i="2" a="1"/>
  <c r="I88" i="2" s="1"/>
  <c r="I89" i="2" a="1"/>
  <c r="I89" i="2" s="1"/>
  <c r="I90" i="2" a="1"/>
  <c r="I90" i="2" s="1"/>
  <c r="I91" i="2" a="1"/>
  <c r="I91" i="2" s="1"/>
  <c r="I92" i="2" a="1"/>
  <c r="I92" i="2" s="1"/>
  <c r="I93" i="2" a="1"/>
  <c r="I93" i="2" s="1"/>
  <c r="I94" i="2" a="1"/>
  <c r="I94" i="2" s="1"/>
  <c r="I95" i="2" a="1"/>
  <c r="I95" i="2" s="1"/>
  <c r="I96" i="2" a="1"/>
  <c r="I96" i="2" s="1"/>
  <c r="I97" i="2" a="1"/>
  <c r="I97" i="2" s="1"/>
  <c r="I98" i="2" a="1"/>
  <c r="I98" i="2" s="1"/>
  <c r="I99" i="2" a="1"/>
  <c r="I99" i="2" s="1"/>
  <c r="I100" i="2" a="1"/>
  <c r="I100" i="2" s="1"/>
  <c r="I101" i="2" a="1"/>
  <c r="I101" i="2" s="1"/>
  <c r="I102" i="2" a="1"/>
  <c r="I102" i="2" s="1"/>
  <c r="I103" i="2" a="1"/>
  <c r="I103" i="2" s="1"/>
  <c r="I104" i="2" a="1"/>
  <c r="I104" i="2" s="1"/>
  <c r="I105" i="2" a="1"/>
  <c r="I105" i="2" s="1"/>
  <c r="I106" i="2" a="1"/>
  <c r="I106" i="2" s="1"/>
  <c r="I107" i="2" a="1"/>
  <c r="I107" i="2" s="1"/>
  <c r="I108" i="2" a="1"/>
  <c r="I108" i="2" s="1"/>
  <c r="I109" i="2" a="1"/>
  <c r="I109" i="2" s="1"/>
  <c r="I110" i="2" a="1"/>
  <c r="I110" i="2" s="1"/>
  <c r="I111" i="2" a="1"/>
  <c r="I111" i="2" s="1"/>
  <c r="I112" i="2" a="1"/>
  <c r="I112" i="2" s="1"/>
  <c r="I113" i="2" a="1"/>
  <c r="I113" i="2" s="1"/>
  <c r="I114" i="2" a="1"/>
  <c r="I114" i="2" s="1"/>
  <c r="I115" i="2" a="1"/>
  <c r="I115" i="2" s="1"/>
  <c r="I116" i="2" a="1"/>
  <c r="I116" i="2" s="1"/>
  <c r="I117" i="2" a="1"/>
  <c r="I117" i="2" s="1"/>
  <c r="I118" i="2" a="1"/>
  <c r="I118" i="2" s="1"/>
  <c r="I119" i="2" a="1"/>
  <c r="I119" i="2" s="1"/>
  <c r="I120" i="2" a="1"/>
  <c r="I120" i="2" s="1"/>
  <c r="I121" i="2" a="1"/>
  <c r="I121" i="2" s="1"/>
  <c r="I122" i="2" a="1"/>
  <c r="I122" i="2" s="1"/>
  <c r="I123" i="2" a="1"/>
  <c r="I123" i="2" s="1"/>
  <c r="I124" i="2" a="1"/>
  <c r="I124" i="2" s="1"/>
  <c r="I125" i="2" a="1"/>
  <c r="I125" i="2" s="1"/>
  <c r="I126" i="2" a="1"/>
  <c r="I126" i="2" s="1"/>
  <c r="I127" i="2" a="1"/>
  <c r="I127" i="2" s="1"/>
  <c r="I128" i="2" a="1"/>
  <c r="I128" i="2" s="1"/>
  <c r="I129" i="2" a="1"/>
  <c r="I129" i="2" s="1"/>
  <c r="I130" i="2" a="1"/>
  <c r="I130" i="2" s="1"/>
  <c r="I131" i="2" a="1"/>
  <c r="I131" i="2" s="1"/>
  <c r="I132" i="2" a="1"/>
  <c r="I132" i="2" s="1"/>
  <c r="I133" i="2" a="1"/>
  <c r="I133" i="2" s="1"/>
  <c r="I134" i="2" a="1"/>
  <c r="I134" i="2" s="1"/>
  <c r="I135" i="2" a="1"/>
  <c r="I135" i="2" s="1"/>
  <c r="I136" i="2" a="1"/>
  <c r="I136" i="2" s="1"/>
  <c r="I137" i="2" a="1"/>
  <c r="I137" i="2" s="1"/>
  <c r="I138" i="2" a="1"/>
  <c r="I138" i="2" s="1"/>
  <c r="I139" i="2" a="1"/>
  <c r="I139" i="2" s="1"/>
  <c r="I140" i="2" a="1"/>
  <c r="I140" i="2" s="1"/>
  <c r="I141" i="2" a="1"/>
  <c r="I141" i="2" s="1"/>
  <c r="I142" i="2" a="1"/>
  <c r="I142" i="2" s="1"/>
  <c r="I143" i="2" a="1"/>
  <c r="I143" i="2" s="1"/>
  <c r="I144" i="2" a="1"/>
  <c r="I144" i="2" s="1"/>
  <c r="I145" i="2" a="1"/>
  <c r="I145" i="2" s="1"/>
  <c r="I146" i="2" a="1"/>
  <c r="I146" i="2" s="1"/>
  <c r="I147" i="2" a="1"/>
  <c r="I147" i="2" s="1"/>
  <c r="I148" i="2" a="1"/>
  <c r="I148" i="2" s="1"/>
  <c r="I149" i="2" a="1"/>
  <c r="I149" i="2" s="1"/>
  <c r="I150" i="2" a="1"/>
  <c r="I150" i="2" s="1"/>
  <c r="I151" i="2" a="1"/>
  <c r="I151" i="2" s="1"/>
  <c r="I152" i="2" a="1"/>
  <c r="I152" i="2" s="1"/>
  <c r="I153" i="2" a="1"/>
  <c r="I153" i="2" s="1"/>
  <c r="I154" i="2" a="1"/>
  <c r="I154" i="2" s="1"/>
  <c r="I155" i="2" a="1"/>
  <c r="I155" i="2" s="1"/>
  <c r="I156" i="2" a="1"/>
  <c r="I156" i="2" s="1"/>
  <c r="I157" i="2" a="1"/>
  <c r="I157" i="2" s="1"/>
  <c r="I158" i="2" a="1"/>
  <c r="I158" i="2" s="1"/>
  <c r="I159" i="2" a="1"/>
  <c r="I159" i="2" s="1"/>
  <c r="I160" i="2" a="1"/>
  <c r="I160" i="2" s="1"/>
  <c r="I161" i="2" a="1"/>
  <c r="I161" i="2" s="1"/>
  <c r="I162" i="2" a="1"/>
  <c r="I162" i="2" s="1"/>
  <c r="I163" i="2" a="1"/>
  <c r="I163" i="2" s="1"/>
  <c r="I164" i="2" a="1"/>
  <c r="I164" i="2" s="1"/>
  <c r="I165" i="2" a="1"/>
  <c r="I165" i="2" s="1"/>
  <c r="I166" i="2" a="1"/>
  <c r="I166" i="2" s="1"/>
  <c r="I167" i="2" a="1"/>
  <c r="I167" i="2" s="1"/>
  <c r="I168" i="2" a="1"/>
  <c r="I168" i="2" s="1"/>
  <c r="I169" i="2" a="1"/>
  <c r="I169" i="2" s="1"/>
  <c r="I170" i="2" a="1"/>
  <c r="I170" i="2" s="1"/>
  <c r="I171" i="2" a="1"/>
  <c r="I171" i="2" s="1"/>
  <c r="I172" i="2" a="1"/>
  <c r="I172" i="2" s="1"/>
  <c r="I173" i="2" a="1"/>
  <c r="I173" i="2" s="1"/>
  <c r="I174" i="2" a="1"/>
  <c r="I174" i="2" s="1"/>
  <c r="I175" i="2" a="1"/>
  <c r="I175" i="2" s="1"/>
  <c r="I176" i="2" a="1"/>
  <c r="I176" i="2" s="1"/>
  <c r="I177" i="2" a="1"/>
  <c r="I177" i="2" s="1"/>
  <c r="I178" i="2" a="1"/>
  <c r="I178" i="2" s="1"/>
  <c r="I179" i="2" a="1"/>
  <c r="I179" i="2" s="1"/>
  <c r="I180" i="2" a="1"/>
  <c r="I180" i="2" s="1"/>
  <c r="I181" i="2" a="1"/>
  <c r="I181" i="2" s="1"/>
  <c r="I182" i="2" a="1"/>
  <c r="I182" i="2" s="1"/>
  <c r="I183" i="2" a="1"/>
  <c r="I183" i="2" s="1"/>
  <c r="I184" i="2" a="1"/>
  <c r="I184" i="2" s="1"/>
  <c r="I185" i="2" a="1"/>
  <c r="I185" i="2" s="1"/>
  <c r="I186" i="2" a="1"/>
  <c r="I186" i="2" s="1"/>
  <c r="I187" i="2" a="1"/>
  <c r="I187" i="2" s="1"/>
  <c r="I188" i="2" a="1"/>
  <c r="I188" i="2" s="1"/>
  <c r="I189" i="2" a="1"/>
  <c r="I189" i="2" s="1"/>
  <c r="I190" i="2" a="1"/>
  <c r="I190" i="2" s="1"/>
  <c r="I191" i="2" a="1"/>
  <c r="I191" i="2" s="1"/>
  <c r="I192" i="2" a="1"/>
  <c r="I192" i="2" s="1"/>
  <c r="I193" i="2" a="1"/>
  <c r="I193" i="2" s="1"/>
  <c r="I194" i="2" a="1"/>
  <c r="I194" i="2" s="1"/>
  <c r="I195" i="2" a="1"/>
  <c r="I195" i="2" s="1"/>
  <c r="I196" i="2" a="1"/>
  <c r="I196" i="2" s="1"/>
  <c r="I197" i="2" a="1"/>
  <c r="I197" i="2" s="1"/>
  <c r="I198" i="2" a="1"/>
  <c r="I198" i="2" s="1"/>
  <c r="I199" i="2" a="1"/>
  <c r="I199" i="2" s="1"/>
  <c r="I200" i="2" a="1"/>
  <c r="I200" i="2" s="1"/>
  <c r="I201" i="2" a="1"/>
  <c r="I201" i="2" s="1"/>
  <c r="I202" i="2" a="1"/>
  <c r="I202" i="2" s="1"/>
  <c r="I203" i="2" a="1"/>
  <c r="I203" i="2" s="1"/>
  <c r="I204" i="2" a="1"/>
  <c r="I204" i="2" s="1"/>
  <c r="I205" i="2" a="1"/>
  <c r="I205" i="2" s="1"/>
  <c r="I206" i="2" a="1"/>
  <c r="I206" i="2" s="1"/>
  <c r="I207" i="2" a="1"/>
  <c r="I207" i="2" s="1"/>
  <c r="I208" i="2" a="1"/>
  <c r="I208" i="2" s="1"/>
  <c r="I209" i="2" a="1"/>
  <c r="I209" i="2" s="1"/>
  <c r="I210" i="2" a="1"/>
  <c r="I210" i="2" s="1"/>
  <c r="I211" i="2" a="1"/>
  <c r="I211" i="2" s="1"/>
  <c r="I212" i="2" a="1"/>
  <c r="I212" i="2" s="1"/>
  <c r="I213" i="2" a="1"/>
  <c r="I213" i="2" s="1"/>
  <c r="I214" i="2" a="1"/>
  <c r="I214" i="2" s="1"/>
  <c r="I215" i="2" a="1"/>
  <c r="I215" i="2" s="1"/>
  <c r="I216" i="2" a="1"/>
  <c r="I216" i="2" s="1"/>
  <c r="I217" i="2" a="1"/>
  <c r="I217" i="2" s="1"/>
  <c r="I218" i="2" a="1"/>
  <c r="I218" i="2" s="1"/>
  <c r="I219" i="2" a="1"/>
  <c r="I219" i="2" s="1"/>
  <c r="I220" i="2" a="1"/>
  <c r="I220" i="2" s="1"/>
  <c r="I221" i="2" a="1"/>
  <c r="I221" i="2" s="1"/>
  <c r="I222" i="2" a="1"/>
  <c r="I222" i="2" s="1"/>
  <c r="I223" i="2" a="1"/>
  <c r="I223" i="2" s="1"/>
  <c r="I224" i="2" a="1"/>
  <c r="I224" i="2" s="1"/>
  <c r="I225" i="2" a="1"/>
  <c r="I225" i="2" s="1"/>
  <c r="I226" i="2" a="1"/>
  <c r="I226" i="2" s="1"/>
  <c r="I227" i="2" a="1"/>
  <c r="I227" i="2" s="1"/>
  <c r="I228" i="2" a="1"/>
  <c r="I228" i="2" s="1"/>
  <c r="I229" i="2" a="1"/>
  <c r="I229" i="2" s="1"/>
  <c r="I230" i="2" a="1"/>
  <c r="I230" i="2" s="1"/>
  <c r="I231" i="2" a="1"/>
  <c r="I231" i="2" s="1"/>
  <c r="I232" i="2" a="1"/>
  <c r="I232" i="2" s="1"/>
  <c r="I233" i="2" a="1"/>
  <c r="I233" i="2" s="1"/>
  <c r="I234" i="2" a="1"/>
  <c r="I234" i="2" s="1"/>
  <c r="I235" i="2" a="1"/>
  <c r="I235" i="2" s="1"/>
  <c r="I236" i="2" a="1"/>
  <c r="I236" i="2" s="1"/>
  <c r="I237" i="2" a="1"/>
  <c r="I237" i="2" s="1"/>
  <c r="I238" i="2" a="1"/>
  <c r="I238" i="2" s="1"/>
  <c r="I239" i="2" a="1"/>
  <c r="I239" i="2" s="1"/>
  <c r="I240" i="2" a="1"/>
  <c r="I240" i="2" s="1"/>
  <c r="I241" i="2" a="1"/>
  <c r="I241" i="2" s="1"/>
  <c r="I242" i="2" a="1"/>
  <c r="I242" i="2" s="1"/>
  <c r="I243" i="2" a="1"/>
  <c r="I243" i="2" s="1"/>
  <c r="I244" i="2" a="1"/>
  <c r="I244" i="2" s="1"/>
  <c r="I245" i="2" a="1"/>
  <c r="I245" i="2" s="1"/>
  <c r="I246" i="2" a="1"/>
  <c r="I246" i="2" s="1"/>
  <c r="I247" i="2" a="1"/>
  <c r="I247" i="2" s="1"/>
  <c r="I248" i="2" a="1"/>
  <c r="I248" i="2" s="1"/>
  <c r="I249" i="2" a="1"/>
  <c r="I249" i="2" s="1"/>
  <c r="I250" i="2" a="1"/>
  <c r="I250" i="2" s="1"/>
  <c r="I251" i="2" a="1"/>
  <c r="I251" i="2" s="1"/>
  <c r="I252" i="2" a="1"/>
  <c r="I252" i="2" s="1"/>
  <c r="I253" i="2" a="1"/>
  <c r="I253" i="2" s="1"/>
  <c r="I254" i="2" a="1"/>
  <c r="I254" i="2" s="1"/>
  <c r="I255" i="2" a="1"/>
  <c r="I255" i="2" s="1"/>
  <c r="I256" i="2" a="1"/>
  <c r="I256" i="2" s="1"/>
  <c r="I257" i="2" a="1"/>
  <c r="I257" i="2" s="1"/>
  <c r="I258" i="2" a="1"/>
  <c r="I258" i="2" s="1"/>
  <c r="I259" i="2" a="1"/>
  <c r="I259" i="2" s="1"/>
  <c r="I260" i="2" a="1"/>
  <c r="I260" i="2" s="1"/>
  <c r="I261" i="2" a="1"/>
  <c r="I261" i="2" s="1"/>
  <c r="I262" i="2" a="1"/>
  <c r="I262" i="2" s="1"/>
  <c r="I263" i="2" a="1"/>
  <c r="I263" i="2" s="1"/>
  <c r="I264" i="2" a="1"/>
  <c r="I264" i="2" s="1"/>
  <c r="I265" i="2" a="1"/>
  <c r="I265" i="2" s="1"/>
  <c r="I266" i="2" a="1"/>
  <c r="I266" i="2" s="1"/>
  <c r="I267" i="2" a="1"/>
  <c r="I267" i="2" s="1"/>
  <c r="I268" i="2" a="1"/>
  <c r="I268" i="2" s="1"/>
  <c r="I269" i="2" a="1"/>
  <c r="I269" i="2" s="1"/>
  <c r="I270" i="2" a="1"/>
  <c r="I270" i="2" s="1"/>
  <c r="I271" i="2" a="1"/>
  <c r="I271" i="2" s="1"/>
  <c r="I272" i="2" a="1"/>
  <c r="I272" i="2" s="1"/>
  <c r="I273" i="2" a="1"/>
  <c r="I273" i="2" s="1"/>
  <c r="I274" i="2" a="1"/>
  <c r="I274" i="2" s="1"/>
  <c r="I275" i="2" a="1"/>
  <c r="I275" i="2" s="1"/>
  <c r="I276" i="2" a="1"/>
  <c r="I276" i="2" s="1"/>
  <c r="I277" i="2" a="1"/>
  <c r="I277" i="2" s="1"/>
  <c r="I278" i="2" a="1"/>
  <c r="I278" i="2" s="1"/>
  <c r="I279" i="2" a="1"/>
  <c r="I279" i="2" s="1"/>
  <c r="I280" i="2" a="1"/>
  <c r="I280" i="2" s="1"/>
  <c r="I281" i="2" a="1"/>
  <c r="I281" i="2" s="1"/>
  <c r="I282" i="2" a="1"/>
  <c r="I282" i="2" s="1"/>
  <c r="I283" i="2" a="1"/>
  <c r="I283" i="2" s="1"/>
  <c r="I284" i="2" a="1"/>
  <c r="I284" i="2" s="1"/>
  <c r="I285" i="2" a="1"/>
  <c r="I285" i="2" s="1"/>
  <c r="I286" i="2" a="1"/>
  <c r="I286" i="2" s="1"/>
  <c r="I287" i="2" a="1"/>
  <c r="I287" i="2" s="1"/>
  <c r="I288" i="2" a="1"/>
  <c r="I288" i="2" s="1"/>
  <c r="I289" i="2" a="1"/>
  <c r="I289" i="2" s="1"/>
  <c r="I290" i="2" a="1"/>
  <c r="I290" i="2" s="1"/>
  <c r="I291" i="2" a="1"/>
  <c r="I291" i="2" s="1"/>
  <c r="I292" i="2" a="1"/>
  <c r="I292" i="2" s="1"/>
  <c r="I293" i="2" a="1"/>
  <c r="I293" i="2" s="1"/>
  <c r="I294" i="2" a="1"/>
  <c r="I294" i="2" s="1"/>
  <c r="I295" i="2" a="1"/>
  <c r="I295" i="2" s="1"/>
  <c r="I296" i="2" a="1"/>
  <c r="I296" i="2" s="1"/>
  <c r="I297" i="2" a="1"/>
  <c r="I297" i="2" s="1"/>
  <c r="I298" i="2" a="1"/>
  <c r="I298" i="2" s="1"/>
  <c r="I299" i="2" a="1"/>
  <c r="I299" i="2" s="1"/>
  <c r="I300" i="2" a="1"/>
  <c r="I300" i="2" s="1"/>
  <c r="I301" i="2" a="1"/>
  <c r="I301" i="2" s="1"/>
  <c r="I302" i="2" a="1"/>
  <c r="I302" i="2" s="1"/>
  <c r="I303" i="2" a="1"/>
  <c r="I303" i="2" s="1"/>
  <c r="I304" i="2" a="1"/>
  <c r="I304" i="2" s="1"/>
  <c r="I305" i="2" a="1"/>
  <c r="I305" i="2" s="1"/>
  <c r="I306" i="2" a="1"/>
  <c r="I306" i="2" s="1"/>
  <c r="I307" i="2" a="1"/>
  <c r="I307" i="2" s="1"/>
  <c r="I308" i="2" a="1"/>
  <c r="I308" i="2" s="1"/>
  <c r="I309" i="2" a="1"/>
  <c r="I309" i="2" s="1"/>
  <c r="I310" i="2" a="1"/>
  <c r="I310" i="2" s="1"/>
  <c r="I311" i="2" a="1"/>
  <c r="I311" i="2" s="1"/>
  <c r="I312" i="2" a="1"/>
  <c r="I312" i="2" s="1"/>
  <c r="I313" i="2" a="1"/>
  <c r="I313" i="2" s="1"/>
  <c r="I314" i="2" a="1"/>
  <c r="I314" i="2" s="1"/>
  <c r="I315" i="2" a="1"/>
  <c r="I315" i="2" s="1"/>
  <c r="I316" i="2" a="1"/>
  <c r="I316" i="2" s="1"/>
  <c r="I317" i="2" a="1"/>
  <c r="I317" i="2" s="1"/>
  <c r="I318" i="2" a="1"/>
  <c r="I318" i="2" s="1"/>
  <c r="I319" i="2" a="1"/>
  <c r="I319" i="2" s="1"/>
  <c r="I320" i="2" a="1"/>
  <c r="I320" i="2" s="1"/>
  <c r="I321" i="2" a="1"/>
  <c r="I321" i="2" s="1"/>
  <c r="I322" i="2" a="1"/>
  <c r="I322" i="2" s="1"/>
  <c r="I323" i="2" a="1"/>
  <c r="I323" i="2" s="1"/>
  <c r="I324" i="2" a="1"/>
  <c r="I324" i="2" s="1"/>
  <c r="I325" i="2" a="1"/>
  <c r="I325" i="2" s="1"/>
  <c r="I326" i="2" a="1"/>
  <c r="I326" i="2" s="1"/>
  <c r="I327" i="2" a="1"/>
  <c r="I327" i="2" s="1"/>
  <c r="I328" i="2" a="1"/>
  <c r="I328" i="2" s="1"/>
  <c r="I329" i="2" a="1"/>
  <c r="I329" i="2" s="1"/>
  <c r="I330" i="2" a="1"/>
  <c r="I330" i="2" s="1"/>
  <c r="I331" i="2" a="1"/>
  <c r="I331" i="2" s="1"/>
  <c r="I332" i="2" a="1"/>
  <c r="I332" i="2" s="1"/>
  <c r="I333" i="2" a="1"/>
  <c r="I333" i="2" s="1"/>
  <c r="I334" i="2" a="1"/>
  <c r="I334" i="2" s="1"/>
  <c r="I335" i="2" a="1"/>
  <c r="I335" i="2" s="1"/>
  <c r="I336" i="2" a="1"/>
  <c r="I336" i="2" s="1"/>
  <c r="I337" i="2" a="1"/>
  <c r="I337" i="2" s="1"/>
  <c r="I338" i="2" a="1"/>
  <c r="I338" i="2" s="1"/>
  <c r="I339" i="2" a="1"/>
  <c r="I339" i="2" s="1"/>
  <c r="I340" i="2" a="1"/>
  <c r="I340" i="2" s="1"/>
  <c r="I341" i="2" a="1"/>
  <c r="I341" i="2" s="1"/>
  <c r="I342" i="2" a="1"/>
  <c r="I342" i="2" s="1"/>
  <c r="I343" i="2" a="1"/>
  <c r="I343" i="2" s="1"/>
  <c r="I344" i="2" a="1"/>
  <c r="I344" i="2" s="1"/>
  <c r="I345" i="2" a="1"/>
  <c r="I345" i="2" s="1"/>
  <c r="I346" i="2" a="1"/>
  <c r="I346" i="2" s="1"/>
  <c r="I347" i="2" a="1"/>
  <c r="I347" i="2" s="1"/>
  <c r="I348" i="2" a="1"/>
  <c r="I348" i="2" s="1"/>
  <c r="I349" i="2" a="1"/>
  <c r="I349" i="2" s="1"/>
  <c r="I350" i="2" a="1"/>
  <c r="I350" i="2" s="1"/>
  <c r="I351" i="2" a="1"/>
  <c r="I351" i="2" s="1"/>
  <c r="I352" i="2" a="1"/>
  <c r="I352" i="2" s="1"/>
  <c r="I353" i="2" a="1"/>
  <c r="I353" i="2" s="1"/>
  <c r="I354" i="2" a="1"/>
  <c r="I354" i="2" s="1"/>
  <c r="I355" i="2" a="1"/>
  <c r="I355" i="2" s="1"/>
  <c r="I356" i="2" a="1"/>
  <c r="I356" i="2" s="1"/>
  <c r="I357" i="2" a="1"/>
  <c r="I357" i="2" s="1"/>
  <c r="I358" i="2" a="1"/>
  <c r="I358" i="2" s="1"/>
  <c r="I359" i="2" a="1"/>
  <c r="I359" i="2" s="1"/>
  <c r="I360" i="2" a="1"/>
  <c r="I360" i="2" s="1"/>
  <c r="I361" i="2" a="1"/>
  <c r="I361" i="2" s="1"/>
  <c r="I362" i="2" a="1"/>
  <c r="I362" i="2" s="1"/>
  <c r="I363" i="2" a="1"/>
  <c r="I363" i="2" s="1"/>
  <c r="I364" i="2" a="1"/>
  <c r="I364" i="2" s="1"/>
  <c r="I365" i="2" a="1"/>
  <c r="I365" i="2" s="1"/>
  <c r="I366" i="2" a="1"/>
  <c r="I366" i="2" s="1"/>
  <c r="I367" i="2" a="1"/>
  <c r="I367" i="2" s="1"/>
  <c r="I368" i="2" a="1"/>
  <c r="I368" i="2" s="1"/>
  <c r="I369" i="2" a="1"/>
  <c r="I369" i="2" s="1"/>
  <c r="I370" i="2" a="1"/>
  <c r="I370" i="2" s="1"/>
  <c r="I371" i="2" a="1"/>
  <c r="I371" i="2" s="1"/>
  <c r="I372" i="2" a="1"/>
  <c r="I372" i="2" s="1"/>
  <c r="I373" i="2" a="1"/>
  <c r="I373" i="2" s="1"/>
  <c r="I374" i="2" a="1"/>
  <c r="I374" i="2" s="1"/>
  <c r="I375" i="2" a="1"/>
  <c r="I375" i="2" s="1"/>
  <c r="I376" i="2" a="1"/>
  <c r="I376" i="2" s="1"/>
  <c r="I377" i="2" a="1"/>
  <c r="I377" i="2" s="1"/>
  <c r="I378" i="2" a="1"/>
  <c r="I378" i="2" s="1"/>
  <c r="I379" i="2" a="1"/>
  <c r="I379" i="2" s="1"/>
  <c r="I380" i="2" a="1"/>
  <c r="I380" i="2" s="1"/>
  <c r="I381" i="2" a="1"/>
  <c r="I381" i="2" s="1"/>
  <c r="I382" i="2" a="1"/>
  <c r="I382" i="2" s="1"/>
  <c r="I383" i="2" a="1"/>
  <c r="I383" i="2" s="1"/>
  <c r="I384" i="2" a="1"/>
  <c r="I384" i="2" s="1"/>
  <c r="I385" i="2" a="1"/>
  <c r="I385" i="2" s="1"/>
  <c r="I386" i="2" a="1"/>
  <c r="I386" i="2" s="1"/>
  <c r="I387" i="2" a="1"/>
  <c r="I387" i="2" s="1"/>
  <c r="I388" i="2" a="1"/>
  <c r="I388" i="2" s="1"/>
  <c r="I389" i="2" a="1"/>
  <c r="I389" i="2" s="1"/>
  <c r="I390" i="2" a="1"/>
  <c r="I390" i="2" s="1"/>
  <c r="I391" i="2" a="1"/>
  <c r="I391" i="2" s="1"/>
  <c r="I392" i="2" a="1"/>
  <c r="I392" i="2" s="1"/>
  <c r="I393" i="2" a="1"/>
  <c r="I393" i="2" s="1"/>
  <c r="I394" i="2" a="1"/>
  <c r="I394" i="2" s="1"/>
  <c r="I395" i="2" a="1"/>
  <c r="I395" i="2" s="1"/>
  <c r="I396" i="2" a="1"/>
  <c r="I396" i="2" s="1"/>
  <c r="I397" i="2" a="1"/>
  <c r="I397" i="2" s="1"/>
  <c r="I398" i="2" a="1"/>
  <c r="I398" i="2" s="1"/>
  <c r="I399" i="2" a="1"/>
  <c r="I399" i="2" s="1"/>
  <c r="I400" i="2" a="1"/>
  <c r="I400" i="2" s="1"/>
  <c r="I401" i="2" a="1"/>
  <c r="I401" i="2" s="1"/>
  <c r="I402" i="2" a="1"/>
  <c r="I402" i="2" s="1"/>
  <c r="I403" i="2" a="1"/>
  <c r="I403" i="2" s="1"/>
  <c r="I404" i="2" a="1"/>
  <c r="I404" i="2" s="1"/>
  <c r="I405" i="2" a="1"/>
  <c r="I405" i="2" s="1"/>
  <c r="I406" i="2" a="1"/>
  <c r="I406" i="2" s="1"/>
  <c r="I407" i="2" a="1"/>
  <c r="I407" i="2" s="1"/>
  <c r="I408" i="2" a="1"/>
  <c r="I408" i="2" s="1"/>
  <c r="I409" i="2" a="1"/>
  <c r="I409" i="2" s="1"/>
  <c r="I410" i="2" a="1"/>
  <c r="I410" i="2" s="1"/>
  <c r="I411" i="2" a="1"/>
  <c r="I411" i="2" s="1"/>
  <c r="I412" i="2" a="1"/>
  <c r="I412" i="2" s="1"/>
  <c r="I413" i="2" a="1"/>
  <c r="I413" i="2" s="1"/>
  <c r="I414" i="2" a="1"/>
  <c r="I414" i="2" s="1"/>
  <c r="I415" i="2" a="1"/>
  <c r="I415" i="2" s="1"/>
  <c r="I416" i="2" a="1"/>
  <c r="I416" i="2" s="1"/>
  <c r="I417" i="2" a="1"/>
  <c r="I417" i="2" s="1"/>
  <c r="I418" i="2" a="1"/>
  <c r="I418" i="2" s="1"/>
  <c r="I419" i="2" a="1"/>
  <c r="I419" i="2" s="1"/>
  <c r="I420" i="2" a="1"/>
  <c r="I420" i="2" s="1"/>
  <c r="I421" i="2" a="1"/>
  <c r="I421" i="2" s="1"/>
  <c r="I422" i="2" a="1"/>
  <c r="I422" i="2" s="1"/>
  <c r="I423" i="2" a="1"/>
  <c r="I423" i="2" s="1"/>
  <c r="I424" i="2" a="1"/>
  <c r="I424" i="2" s="1"/>
  <c r="I425" i="2" a="1"/>
  <c r="I425" i="2" s="1"/>
  <c r="I426" i="2" a="1"/>
  <c r="I426" i="2" s="1"/>
  <c r="I427" i="2" a="1"/>
  <c r="I427" i="2" s="1"/>
  <c r="I428" i="2" a="1"/>
  <c r="I428" i="2" s="1"/>
  <c r="I429" i="2" a="1"/>
  <c r="I429" i="2" s="1"/>
  <c r="I430" i="2" a="1"/>
  <c r="I430" i="2" s="1"/>
  <c r="I431" i="2" a="1"/>
  <c r="I431" i="2" s="1"/>
  <c r="I432" i="2" a="1"/>
  <c r="I432" i="2" s="1"/>
  <c r="I433" i="2" a="1"/>
  <c r="I433" i="2" s="1"/>
  <c r="I434" i="2" a="1"/>
  <c r="I434" i="2" s="1"/>
  <c r="I435" i="2" a="1"/>
  <c r="I435" i="2" s="1"/>
  <c r="I436" i="2" a="1"/>
  <c r="I436" i="2" s="1"/>
  <c r="I437" i="2" a="1"/>
  <c r="I437" i="2" s="1"/>
  <c r="I438" i="2" a="1"/>
  <c r="I438" i="2" s="1"/>
  <c r="I439" i="2" a="1"/>
  <c r="I439" i="2" s="1"/>
  <c r="I440" i="2" a="1"/>
  <c r="I440" i="2" s="1"/>
  <c r="I441" i="2" a="1"/>
  <c r="I441" i="2" s="1"/>
  <c r="I442" i="2" a="1"/>
  <c r="I442" i="2" s="1"/>
  <c r="I443" i="2" a="1"/>
  <c r="I443" i="2" s="1"/>
  <c r="I444" i="2" a="1"/>
  <c r="I444" i="2" s="1"/>
  <c r="I445" i="2" a="1"/>
  <c r="I445" i="2" s="1"/>
  <c r="I446" i="2" a="1"/>
  <c r="I446" i="2" s="1"/>
  <c r="I447" i="2" a="1"/>
  <c r="I447" i="2" s="1"/>
  <c r="I448" i="2" a="1"/>
  <c r="I448" i="2" s="1"/>
  <c r="I449" i="2" a="1"/>
  <c r="I449" i="2" s="1"/>
  <c r="I450" i="2" a="1"/>
  <c r="I450" i="2" s="1"/>
  <c r="I451" i="2" a="1"/>
  <c r="I451" i="2" s="1"/>
  <c r="I452" i="2" a="1"/>
  <c r="I452" i="2" s="1"/>
  <c r="I453" i="2" a="1"/>
  <c r="I453" i="2" s="1"/>
  <c r="I454" i="2" a="1"/>
  <c r="I454" i="2" s="1"/>
  <c r="I455" i="2" a="1"/>
  <c r="I455" i="2" s="1"/>
  <c r="I456" i="2" a="1"/>
  <c r="I456" i="2" s="1"/>
  <c r="I457" i="2" a="1"/>
  <c r="I457" i="2" s="1"/>
  <c r="I458" i="2" a="1"/>
  <c r="I458" i="2" s="1"/>
  <c r="I459" i="2" a="1"/>
  <c r="I459" i="2" s="1"/>
  <c r="I460" i="2" a="1"/>
  <c r="I460" i="2" s="1"/>
  <c r="I461" i="2" a="1"/>
  <c r="I461" i="2" s="1"/>
  <c r="I462" i="2" a="1"/>
  <c r="I462" i="2" s="1"/>
  <c r="I463" i="2" a="1"/>
  <c r="I463" i="2" s="1"/>
  <c r="I464" i="2" a="1"/>
  <c r="I464" i="2" s="1"/>
  <c r="I465" i="2" a="1"/>
  <c r="I465" i="2" s="1"/>
  <c r="I466" i="2" a="1"/>
  <c r="I466" i="2" s="1"/>
  <c r="I467" i="2" a="1"/>
  <c r="I467" i="2" s="1"/>
  <c r="I468" i="2" a="1"/>
  <c r="I468" i="2" s="1"/>
  <c r="I469" i="2" a="1"/>
  <c r="I469" i="2" s="1"/>
  <c r="I470" i="2" a="1"/>
  <c r="I470" i="2" s="1"/>
  <c r="I471" i="2" a="1"/>
  <c r="I471" i="2" s="1"/>
  <c r="I472" i="2" a="1"/>
  <c r="I472" i="2" s="1"/>
  <c r="I473" i="2" a="1"/>
  <c r="I473" i="2" s="1"/>
  <c r="I474" i="2" a="1"/>
  <c r="I474" i="2" s="1"/>
  <c r="I475" i="2" a="1"/>
  <c r="I475" i="2" s="1"/>
  <c r="I476" i="2" a="1"/>
  <c r="I476" i="2" s="1"/>
  <c r="I477" i="2" a="1"/>
  <c r="I477" i="2" s="1"/>
  <c r="I478" i="2" a="1"/>
  <c r="I478" i="2" s="1"/>
  <c r="I479" i="2" a="1"/>
  <c r="I479" i="2" s="1"/>
  <c r="I480" i="2" a="1"/>
  <c r="I480" i="2" s="1"/>
  <c r="I481" i="2" a="1"/>
  <c r="I481" i="2" s="1"/>
  <c r="I482" i="2" a="1"/>
  <c r="I482" i="2" s="1"/>
  <c r="I483" i="2" a="1"/>
  <c r="I483" i="2" s="1"/>
  <c r="I484" i="2" a="1"/>
  <c r="I484" i="2" s="1"/>
  <c r="I485" i="2" a="1"/>
  <c r="I485" i="2" s="1"/>
  <c r="I486" i="2" a="1"/>
  <c r="I486" i="2" s="1"/>
  <c r="I487" i="2" a="1"/>
  <c r="I487" i="2" s="1"/>
  <c r="I488" i="2" a="1"/>
  <c r="I488" i="2" s="1"/>
  <c r="I489" i="2" a="1"/>
  <c r="I489" i="2" s="1"/>
  <c r="I490" i="2" a="1"/>
  <c r="I490" i="2" s="1"/>
  <c r="I491" i="2" a="1"/>
  <c r="I491" i="2" s="1"/>
  <c r="I492" i="2" a="1"/>
  <c r="I492" i="2" s="1"/>
  <c r="I493" i="2" a="1"/>
  <c r="I493" i="2" s="1"/>
  <c r="I494" i="2" a="1"/>
  <c r="I494" i="2" s="1"/>
  <c r="I495" i="2" a="1"/>
  <c r="I495" i="2" s="1"/>
  <c r="I496" i="2" a="1"/>
  <c r="I496" i="2" s="1"/>
  <c r="I497" i="2" a="1"/>
  <c r="I497" i="2" s="1"/>
  <c r="I498" i="2" a="1"/>
  <c r="I498" i="2" s="1"/>
  <c r="I499" i="2" a="1"/>
  <c r="I499" i="2" s="1"/>
  <c r="I500" i="2" a="1"/>
  <c r="I500" i="2" s="1"/>
  <c r="I501" i="2" a="1"/>
  <c r="I501" i="2" s="1"/>
  <c r="I502" i="2" a="1"/>
  <c r="I502" i="2" s="1"/>
  <c r="I503" i="2" a="1"/>
  <c r="I503" i="2" s="1"/>
  <c r="I504" i="2" a="1"/>
  <c r="I504" i="2" s="1"/>
  <c r="I505" i="2" a="1"/>
  <c r="I505" i="2" s="1"/>
  <c r="I506" i="2" a="1"/>
  <c r="I506" i="2" s="1"/>
  <c r="I507" i="2" a="1"/>
  <c r="I507" i="2" s="1"/>
  <c r="I508" i="2" a="1"/>
  <c r="I508" i="2" s="1"/>
  <c r="I509" i="2" a="1"/>
  <c r="I509" i="2" s="1"/>
  <c r="I510" i="2" a="1"/>
  <c r="I510" i="2" s="1"/>
  <c r="I511" i="2" a="1"/>
  <c r="I511" i="2" s="1"/>
  <c r="I512" i="2" a="1"/>
  <c r="I512" i="2" s="1"/>
  <c r="I513" i="2" a="1"/>
  <c r="I513" i="2" s="1"/>
  <c r="I514" i="2" a="1"/>
  <c r="I514" i="2" s="1"/>
  <c r="I515" i="2" a="1"/>
  <c r="I515" i="2" s="1"/>
  <c r="I516" i="2" a="1"/>
  <c r="I516" i="2" s="1"/>
  <c r="I517" i="2" a="1"/>
  <c r="I517" i="2" s="1"/>
  <c r="I518" i="2" a="1"/>
  <c r="I518" i="2" s="1"/>
  <c r="I519" i="2" a="1"/>
  <c r="I519" i="2" s="1"/>
  <c r="I520" i="2" a="1"/>
  <c r="I520" i="2" s="1"/>
  <c r="I521" i="2" a="1"/>
  <c r="I521" i="2" s="1"/>
  <c r="I522" i="2" a="1"/>
  <c r="I522" i="2" s="1"/>
  <c r="I523" i="2" a="1"/>
  <c r="I523" i="2" s="1"/>
  <c r="I524" i="2" a="1"/>
  <c r="I524" i="2" s="1"/>
  <c r="I525" i="2" a="1"/>
  <c r="I525" i="2" s="1"/>
  <c r="I526" i="2" a="1"/>
  <c r="I526" i="2" s="1"/>
  <c r="I527" i="2" a="1"/>
  <c r="I527" i="2" s="1"/>
  <c r="I528" i="2" a="1"/>
  <c r="I528" i="2" s="1"/>
  <c r="I529" i="2" a="1"/>
  <c r="I529" i="2" s="1"/>
  <c r="I530" i="2" a="1"/>
  <c r="I530" i="2" s="1"/>
  <c r="I531" i="2" a="1"/>
  <c r="I531" i="2" s="1"/>
  <c r="I532" i="2" a="1"/>
  <c r="I532" i="2" s="1"/>
  <c r="I533" i="2" a="1"/>
  <c r="I533" i="2" s="1"/>
  <c r="I534" i="2" a="1"/>
  <c r="I534" i="2" s="1"/>
  <c r="I535" i="2" a="1"/>
  <c r="I535" i="2" s="1"/>
  <c r="I536" i="2" a="1"/>
  <c r="I536" i="2" s="1"/>
  <c r="I537" i="2" a="1"/>
  <c r="I537" i="2" s="1"/>
  <c r="I538" i="2" a="1"/>
  <c r="I538" i="2" s="1"/>
  <c r="I539" i="2" a="1"/>
  <c r="I539" i="2" s="1"/>
  <c r="I540" i="2" a="1"/>
  <c r="I540" i="2" s="1"/>
  <c r="I541" i="2" a="1"/>
  <c r="I541" i="2" s="1"/>
  <c r="I542" i="2" a="1"/>
  <c r="I542" i="2" s="1"/>
  <c r="I543" i="2" a="1"/>
  <c r="I543" i="2" s="1"/>
  <c r="I544" i="2" a="1"/>
  <c r="I544" i="2" s="1"/>
  <c r="I545" i="2" a="1"/>
  <c r="I545" i="2" s="1"/>
  <c r="I546" i="2" a="1"/>
  <c r="I546" i="2" s="1"/>
  <c r="I547" i="2" a="1"/>
  <c r="I547" i="2" s="1"/>
  <c r="I548" i="2" a="1"/>
  <c r="I548" i="2" s="1"/>
  <c r="I549" i="2" a="1"/>
  <c r="I549" i="2" s="1"/>
  <c r="I550" i="2" a="1"/>
  <c r="I550" i="2" s="1"/>
  <c r="I551" i="2" a="1"/>
  <c r="I551" i="2" s="1"/>
  <c r="I552" i="2" a="1"/>
  <c r="I552" i="2" s="1"/>
  <c r="I553" i="2" a="1"/>
  <c r="I553" i="2" s="1"/>
  <c r="I554" i="2" a="1"/>
  <c r="I554" i="2" s="1"/>
  <c r="I555" i="2" a="1"/>
  <c r="I555" i="2" s="1"/>
  <c r="I556" i="2" a="1"/>
  <c r="I556" i="2" s="1"/>
  <c r="I557" i="2" a="1"/>
  <c r="I557" i="2" s="1"/>
  <c r="I558" i="2" a="1"/>
  <c r="I558" i="2" s="1"/>
  <c r="I559" i="2" a="1"/>
  <c r="I559" i="2" s="1"/>
  <c r="I560" i="2" a="1"/>
  <c r="I560" i="2" s="1"/>
  <c r="I561" i="2" a="1"/>
  <c r="I561" i="2" s="1"/>
  <c r="I562" i="2" a="1"/>
  <c r="I562" i="2" s="1"/>
  <c r="I563" i="2" a="1"/>
  <c r="I563" i="2" s="1"/>
  <c r="I564" i="2" a="1"/>
  <c r="I564" i="2" s="1"/>
  <c r="I565" i="2" a="1"/>
  <c r="I565" i="2" s="1"/>
  <c r="I566" i="2" a="1"/>
  <c r="I566" i="2" s="1"/>
  <c r="I567" i="2" a="1"/>
  <c r="I567" i="2" s="1"/>
  <c r="I568" i="2" a="1"/>
  <c r="I568" i="2" s="1"/>
  <c r="I569" i="2" a="1"/>
  <c r="I569" i="2" s="1"/>
  <c r="I570" i="2" a="1"/>
  <c r="I570" i="2" s="1"/>
  <c r="I571" i="2" a="1"/>
  <c r="I571" i="2" s="1"/>
  <c r="I572" i="2" a="1"/>
  <c r="I572" i="2" s="1"/>
  <c r="I573" i="2" a="1"/>
  <c r="I573" i="2" s="1"/>
  <c r="I574" i="2" a="1"/>
  <c r="I574" i="2" s="1"/>
  <c r="I575" i="2" a="1"/>
  <c r="I575" i="2" s="1"/>
  <c r="I576" i="2" a="1"/>
  <c r="I576" i="2" s="1"/>
  <c r="I577" i="2" a="1"/>
  <c r="I577" i="2" s="1"/>
  <c r="I578" i="2" a="1"/>
  <c r="I578" i="2" s="1"/>
  <c r="I579" i="2" a="1"/>
  <c r="I579" i="2" s="1"/>
  <c r="I580" i="2" a="1"/>
  <c r="I580" i="2" s="1"/>
  <c r="I581" i="2" a="1"/>
  <c r="I581" i="2" s="1"/>
  <c r="I582" i="2" a="1"/>
  <c r="I582" i="2" s="1"/>
  <c r="I583" i="2" a="1"/>
  <c r="I583" i="2" s="1"/>
  <c r="I584" i="2" a="1"/>
  <c r="I584" i="2" s="1"/>
  <c r="I585" i="2" a="1"/>
  <c r="I585" i="2" s="1"/>
  <c r="I586" i="2" a="1"/>
  <c r="I586" i="2" s="1"/>
  <c r="I587" i="2" a="1"/>
  <c r="I587" i="2" s="1"/>
  <c r="I588" i="2" a="1"/>
  <c r="I588" i="2" s="1"/>
  <c r="I589" i="2" a="1"/>
  <c r="I589" i="2" s="1"/>
  <c r="I590" i="2" a="1"/>
  <c r="I590" i="2" s="1"/>
  <c r="I591" i="2" a="1"/>
  <c r="I591" i="2" s="1"/>
  <c r="I592" i="2" a="1"/>
  <c r="I592" i="2" s="1"/>
  <c r="I593" i="2" a="1"/>
  <c r="I593" i="2" s="1"/>
  <c r="I594" i="2" a="1"/>
  <c r="I594" i="2" s="1"/>
  <c r="I595" i="2" a="1"/>
  <c r="I595" i="2" s="1"/>
  <c r="I596" i="2" a="1"/>
  <c r="I596" i="2" s="1"/>
  <c r="I597" i="2" a="1"/>
  <c r="I597" i="2" s="1"/>
  <c r="I598" i="2" a="1"/>
  <c r="I598" i="2" s="1"/>
  <c r="I599" i="2" a="1"/>
  <c r="I599" i="2" s="1"/>
  <c r="I600" i="2" a="1"/>
  <c r="I600" i="2" s="1"/>
  <c r="I601" i="2" a="1"/>
  <c r="I601" i="2" s="1"/>
  <c r="I602" i="2" a="1"/>
  <c r="I602" i="2" s="1"/>
  <c r="I603" i="2" a="1"/>
  <c r="I603" i="2" s="1"/>
  <c r="I604" i="2" a="1"/>
  <c r="I604" i="2" s="1"/>
  <c r="I605" i="2" a="1"/>
  <c r="I605" i="2" s="1"/>
  <c r="I606" i="2" a="1"/>
  <c r="I606" i="2" s="1"/>
  <c r="I607" i="2" a="1"/>
  <c r="I607" i="2" s="1"/>
  <c r="I608" i="2" a="1"/>
  <c r="I608" i="2" s="1"/>
  <c r="I609" i="2" a="1"/>
  <c r="I609" i="2" s="1"/>
  <c r="I610" i="2" a="1"/>
  <c r="I610" i="2" s="1"/>
  <c r="I611" i="2" a="1"/>
  <c r="I611" i="2" s="1"/>
  <c r="I612" i="2" a="1"/>
  <c r="I612" i="2" s="1"/>
  <c r="I613" i="2" a="1"/>
  <c r="I613" i="2" s="1"/>
  <c r="I614" i="2" a="1"/>
  <c r="I614" i="2" s="1"/>
  <c r="I615" i="2" a="1"/>
  <c r="I615" i="2" s="1"/>
  <c r="I616" i="2" a="1"/>
  <c r="I616" i="2" s="1"/>
  <c r="I617" i="2" a="1"/>
  <c r="I617" i="2" s="1"/>
  <c r="I618" i="2" a="1"/>
  <c r="I618" i="2" s="1"/>
  <c r="I619" i="2" a="1"/>
  <c r="I619" i="2" s="1"/>
  <c r="I620" i="2" a="1"/>
  <c r="I620" i="2" s="1"/>
  <c r="I621" i="2" a="1"/>
  <c r="I621" i="2" s="1"/>
  <c r="I622" i="2" a="1"/>
  <c r="I622" i="2" s="1"/>
  <c r="I623" i="2" a="1"/>
  <c r="I623" i="2" s="1"/>
  <c r="I624" i="2" a="1"/>
  <c r="I624" i="2" s="1"/>
  <c r="I625" i="2" a="1"/>
  <c r="I625" i="2" s="1"/>
  <c r="I626" i="2" a="1"/>
  <c r="I626" i="2" s="1"/>
  <c r="I627" i="2" a="1"/>
  <c r="I627" i="2" s="1"/>
  <c r="I628" i="2" a="1"/>
  <c r="I628" i="2" s="1"/>
  <c r="I629" i="2" a="1"/>
  <c r="I629" i="2" s="1"/>
  <c r="I630" i="2" a="1"/>
  <c r="I630" i="2" s="1"/>
  <c r="I631" i="2" a="1"/>
  <c r="I631" i="2" s="1"/>
  <c r="I632" i="2" a="1"/>
  <c r="I632" i="2" s="1"/>
  <c r="I633" i="2" a="1"/>
  <c r="I633" i="2" s="1"/>
  <c r="I634" i="2" a="1"/>
  <c r="I634" i="2" s="1"/>
  <c r="I635" i="2" a="1"/>
  <c r="I635" i="2" s="1"/>
  <c r="I636" i="2" a="1"/>
  <c r="I636" i="2" s="1"/>
  <c r="I637" i="2" a="1"/>
  <c r="I637" i="2" s="1"/>
  <c r="I638" i="2" a="1"/>
  <c r="I638" i="2" s="1"/>
  <c r="I639" i="2" a="1"/>
  <c r="I639" i="2" s="1"/>
  <c r="I640" i="2" a="1"/>
  <c r="I640" i="2" s="1"/>
  <c r="I641" i="2" a="1"/>
  <c r="I641" i="2" s="1"/>
  <c r="I642" i="2" a="1"/>
  <c r="I642" i="2" s="1"/>
  <c r="I643" i="2" a="1"/>
  <c r="I643" i="2" s="1"/>
  <c r="I644" i="2" a="1"/>
  <c r="I644" i="2" s="1"/>
  <c r="I645" i="2" a="1"/>
  <c r="I645" i="2" s="1"/>
  <c r="I646" i="2" a="1"/>
  <c r="I646" i="2" s="1"/>
  <c r="I647" i="2" a="1"/>
  <c r="I647" i="2" s="1"/>
  <c r="I648" i="2" a="1"/>
  <c r="I648" i="2" s="1"/>
  <c r="I649" i="2" a="1"/>
  <c r="I649" i="2" s="1"/>
  <c r="I650" i="2" a="1"/>
  <c r="I650" i="2" s="1"/>
  <c r="I651" i="2" a="1"/>
  <c r="I651" i="2" s="1"/>
  <c r="I652" i="2" a="1"/>
  <c r="I652" i="2" s="1"/>
  <c r="I653" i="2" a="1"/>
  <c r="I653" i="2" s="1"/>
  <c r="I654" i="2" a="1"/>
  <c r="I654" i="2" s="1"/>
  <c r="I655" i="2" a="1"/>
  <c r="I655" i="2" s="1"/>
  <c r="I656" i="2" a="1"/>
  <c r="I656" i="2" s="1"/>
  <c r="I657" i="2" a="1"/>
  <c r="I657" i="2" s="1"/>
  <c r="I658" i="2" a="1"/>
  <c r="I658" i="2" s="1"/>
  <c r="I659" i="2" a="1"/>
  <c r="I659" i="2" s="1"/>
  <c r="I660" i="2" a="1"/>
  <c r="I660" i="2" s="1"/>
  <c r="I661" i="2" a="1"/>
  <c r="I661" i="2" s="1"/>
  <c r="I662" i="2" a="1"/>
  <c r="I662" i="2" s="1"/>
  <c r="I663" i="2" a="1"/>
  <c r="I663" i="2" s="1"/>
  <c r="I664" i="2" a="1"/>
  <c r="I664" i="2" s="1"/>
  <c r="I665" i="2" a="1"/>
  <c r="I665" i="2" s="1"/>
  <c r="I666" i="2" a="1"/>
  <c r="I666" i="2" s="1"/>
  <c r="I667" i="2" a="1"/>
  <c r="I667" i="2" s="1"/>
  <c r="I668" i="2" a="1"/>
  <c r="I668" i="2" s="1"/>
  <c r="I669" i="2" a="1"/>
  <c r="I669" i="2" s="1"/>
  <c r="I670" i="2" a="1"/>
  <c r="I670" i="2" s="1"/>
  <c r="I671" i="2" a="1"/>
  <c r="I671" i="2" s="1"/>
  <c r="I672" i="2" a="1"/>
  <c r="I672" i="2" s="1"/>
  <c r="I673" i="2" a="1"/>
  <c r="I673" i="2" s="1"/>
  <c r="I674" i="2" a="1"/>
  <c r="I674" i="2" s="1"/>
  <c r="I675" i="2" a="1"/>
  <c r="I675" i="2" s="1"/>
  <c r="I676" i="2" a="1"/>
  <c r="I676" i="2" s="1"/>
  <c r="I677" i="2" a="1"/>
  <c r="I677" i="2" s="1"/>
  <c r="I678" i="2" a="1"/>
  <c r="I678" i="2" s="1"/>
  <c r="I679" i="2" a="1"/>
  <c r="I679" i="2" s="1"/>
  <c r="I680" i="2" a="1"/>
  <c r="I680" i="2" s="1"/>
  <c r="I681" i="2" a="1"/>
  <c r="I681" i="2" s="1"/>
  <c r="I682" i="2" a="1"/>
  <c r="I682" i="2" s="1"/>
  <c r="I683" i="2" a="1"/>
  <c r="I683" i="2" s="1"/>
  <c r="I684" i="2" a="1"/>
  <c r="I684" i="2" s="1"/>
  <c r="I685" i="2" a="1"/>
  <c r="I685" i="2" s="1"/>
  <c r="I686" i="2" a="1"/>
  <c r="I686" i="2" s="1"/>
  <c r="I687" i="2" a="1"/>
  <c r="I687" i="2" s="1"/>
  <c r="I688" i="2" a="1"/>
  <c r="I688" i="2" s="1"/>
  <c r="I689" i="2" a="1"/>
  <c r="I689" i="2" s="1"/>
  <c r="I690" i="2" a="1"/>
  <c r="I690" i="2" s="1"/>
  <c r="I691" i="2" a="1"/>
  <c r="I691" i="2" s="1"/>
  <c r="I692" i="2" a="1"/>
  <c r="I692" i="2" s="1"/>
  <c r="I693" i="2" a="1"/>
  <c r="I693" i="2" s="1"/>
  <c r="I694" i="2" a="1"/>
  <c r="I694" i="2" s="1"/>
  <c r="I695" i="2" a="1"/>
  <c r="I695" i="2" s="1"/>
  <c r="I696" i="2" a="1"/>
  <c r="I696" i="2" s="1"/>
  <c r="I697" i="2" a="1"/>
  <c r="I697" i="2" s="1"/>
  <c r="I698" i="2" a="1"/>
  <c r="I698" i="2" s="1"/>
  <c r="I699" i="2" a="1"/>
  <c r="I699" i="2" s="1"/>
  <c r="I700" i="2" a="1"/>
  <c r="I700" i="2" s="1"/>
  <c r="I701" i="2" a="1"/>
  <c r="I701" i="2" s="1"/>
  <c r="I702" i="2" a="1"/>
  <c r="I702" i="2" s="1"/>
  <c r="I703" i="2" a="1"/>
  <c r="I703" i="2" s="1"/>
  <c r="I704" i="2" a="1"/>
  <c r="I704" i="2" s="1"/>
  <c r="I705" i="2" a="1"/>
  <c r="I705" i="2" s="1"/>
  <c r="I706" i="2" a="1"/>
  <c r="I706" i="2" s="1"/>
  <c r="I707" i="2" a="1"/>
  <c r="I707" i="2" s="1"/>
  <c r="I708" i="2" a="1"/>
  <c r="I708" i="2" s="1"/>
  <c r="I709" i="2" a="1"/>
  <c r="I709" i="2" s="1"/>
  <c r="I710" i="2" a="1"/>
  <c r="I710" i="2" s="1"/>
  <c r="I711" i="2" a="1"/>
  <c r="I711" i="2" s="1"/>
  <c r="I712" i="2" a="1"/>
  <c r="I712" i="2" s="1"/>
  <c r="I713" i="2" a="1"/>
  <c r="I713" i="2" s="1"/>
  <c r="I714" i="2" a="1"/>
  <c r="I714" i="2" s="1"/>
  <c r="I715" i="2" a="1"/>
  <c r="I715" i="2" s="1"/>
  <c r="I716" i="2" a="1"/>
  <c r="I716" i="2" s="1"/>
  <c r="I717" i="2" a="1"/>
  <c r="I717" i="2" s="1"/>
  <c r="I718" i="2" a="1"/>
  <c r="I718" i="2" s="1"/>
  <c r="I719" i="2" a="1"/>
  <c r="I719" i="2" s="1"/>
  <c r="I720" i="2" a="1"/>
  <c r="I720" i="2" s="1"/>
  <c r="I721" i="2" a="1"/>
  <c r="I721" i="2" s="1"/>
  <c r="I722" i="2" a="1"/>
  <c r="I722" i="2" s="1"/>
  <c r="I723" i="2" a="1"/>
  <c r="I723" i="2" s="1"/>
  <c r="I724" i="2" a="1"/>
  <c r="I724" i="2" s="1"/>
  <c r="I725" i="2" a="1"/>
  <c r="I725" i="2" s="1"/>
  <c r="I726" i="2" a="1"/>
  <c r="I726" i="2" s="1"/>
  <c r="I727" i="2" a="1"/>
  <c r="I727" i="2" s="1"/>
  <c r="I728" i="2" a="1"/>
  <c r="I728" i="2" s="1"/>
  <c r="I729" i="2" a="1"/>
  <c r="I729" i="2" s="1"/>
  <c r="I730" i="2" a="1"/>
  <c r="I730" i="2" s="1"/>
  <c r="I731" i="2" a="1"/>
  <c r="I731" i="2" s="1"/>
  <c r="I732" i="2" a="1"/>
  <c r="I732" i="2" s="1"/>
  <c r="I733" i="2" a="1"/>
  <c r="I733" i="2" s="1"/>
  <c r="I734" i="2" a="1"/>
  <c r="I734" i="2" s="1"/>
  <c r="I735" i="2" a="1"/>
  <c r="I735" i="2" s="1"/>
  <c r="I736" i="2" a="1"/>
  <c r="I736" i="2" s="1"/>
  <c r="I737" i="2" a="1"/>
  <c r="I737" i="2" s="1"/>
  <c r="I738" i="2" a="1"/>
  <c r="I738" i="2" s="1"/>
  <c r="I739" i="2" a="1"/>
  <c r="I739" i="2" s="1"/>
  <c r="I740" i="2" a="1"/>
  <c r="I740" i="2" s="1"/>
  <c r="I741" i="2" a="1"/>
  <c r="I741" i="2" s="1"/>
  <c r="I742" i="2" a="1"/>
  <c r="I742" i="2" s="1"/>
  <c r="I743" i="2" a="1"/>
  <c r="I743" i="2" s="1"/>
  <c r="I744" i="2" a="1"/>
  <c r="I744" i="2" s="1"/>
  <c r="I745" i="2" a="1"/>
  <c r="I745" i="2" s="1"/>
  <c r="I746" i="2" a="1"/>
  <c r="I746" i="2" s="1"/>
  <c r="I747" i="2" a="1"/>
  <c r="I747" i="2" s="1"/>
  <c r="I748" i="2" a="1"/>
  <c r="I748" i="2" s="1"/>
  <c r="I749" i="2" a="1"/>
  <c r="I749" i="2" s="1"/>
  <c r="I750" i="2" a="1"/>
  <c r="I750" i="2" s="1"/>
  <c r="I751" i="2" a="1"/>
  <c r="I751" i="2" s="1"/>
  <c r="I752" i="2" a="1"/>
  <c r="I752" i="2" s="1"/>
  <c r="I753" i="2" a="1"/>
  <c r="I753" i="2" s="1"/>
  <c r="I754" i="2" a="1"/>
  <c r="I754" i="2" s="1"/>
  <c r="I755" i="2" a="1"/>
  <c r="I755" i="2" s="1"/>
  <c r="I756" i="2" a="1"/>
  <c r="I756" i="2" s="1"/>
  <c r="I757" i="2" a="1"/>
  <c r="I757" i="2" s="1"/>
  <c r="I758" i="2" a="1"/>
  <c r="I758" i="2" s="1"/>
  <c r="I759" i="2" a="1"/>
  <c r="I759" i="2" s="1"/>
  <c r="I760" i="2" a="1"/>
  <c r="I760" i="2" s="1"/>
  <c r="I761" i="2" a="1"/>
  <c r="I761" i="2" s="1"/>
  <c r="I762" i="2" a="1"/>
  <c r="I762" i="2" s="1"/>
  <c r="I763" i="2" a="1"/>
  <c r="I763" i="2" s="1"/>
  <c r="I764" i="2" a="1"/>
  <c r="I764" i="2" s="1"/>
  <c r="I765" i="2" a="1"/>
  <c r="I765" i="2" s="1"/>
  <c r="I766" i="2" a="1"/>
  <c r="I766" i="2" s="1"/>
  <c r="I767" i="2" a="1"/>
  <c r="I767" i="2" s="1"/>
  <c r="I768" i="2" a="1"/>
  <c r="I768" i="2" s="1"/>
  <c r="I769" i="2" a="1"/>
  <c r="I769" i="2" s="1"/>
  <c r="I770" i="2" a="1"/>
  <c r="I770" i="2" s="1"/>
  <c r="I771" i="2" a="1"/>
  <c r="I771" i="2" s="1"/>
  <c r="I772" i="2" a="1"/>
  <c r="I772" i="2" s="1"/>
  <c r="I773" i="2" a="1"/>
  <c r="I773" i="2" s="1"/>
  <c r="I774" i="2" a="1"/>
  <c r="I774" i="2" s="1"/>
  <c r="I775" i="2" a="1"/>
  <c r="I775" i="2" s="1"/>
  <c r="I776" i="2" a="1"/>
  <c r="I776" i="2" s="1"/>
  <c r="I777" i="2" a="1"/>
  <c r="I777" i="2" s="1"/>
  <c r="I778" i="2" a="1"/>
  <c r="I778" i="2" s="1"/>
  <c r="I779" i="2" a="1"/>
  <c r="I779" i="2" s="1"/>
  <c r="I780" i="2" a="1"/>
  <c r="I780" i="2" s="1"/>
  <c r="I781" i="2" a="1"/>
  <c r="I781" i="2" s="1"/>
  <c r="I782" i="2" a="1"/>
  <c r="I782" i="2" s="1"/>
  <c r="I783" i="2" a="1"/>
  <c r="I783" i="2" s="1"/>
  <c r="I784" i="2" a="1"/>
  <c r="I784" i="2" s="1"/>
  <c r="I785" i="2" a="1"/>
  <c r="I785" i="2" s="1"/>
  <c r="I786" i="2" a="1"/>
  <c r="I786" i="2" s="1"/>
  <c r="I787" i="2" a="1"/>
  <c r="I787" i="2" s="1"/>
  <c r="I788" i="2" a="1"/>
  <c r="I788" i="2" s="1"/>
  <c r="I789" i="2" a="1"/>
  <c r="I789" i="2" s="1"/>
  <c r="I790" i="2" a="1"/>
  <c r="I790" i="2" s="1"/>
  <c r="I791" i="2" a="1"/>
  <c r="I791" i="2" s="1"/>
  <c r="I792" i="2" a="1"/>
  <c r="I792" i="2" s="1"/>
  <c r="I793" i="2" a="1"/>
  <c r="I793" i="2" s="1"/>
  <c r="I794" i="2" a="1"/>
  <c r="I794" i="2" s="1"/>
  <c r="I795" i="2" a="1"/>
  <c r="I795" i="2" s="1"/>
  <c r="I796" i="2" a="1"/>
  <c r="I796" i="2" s="1"/>
  <c r="I797" i="2" a="1"/>
  <c r="I797" i="2" s="1"/>
  <c r="I798" i="2" a="1"/>
  <c r="I798" i="2" s="1"/>
  <c r="I799" i="2" a="1"/>
  <c r="I799" i="2" s="1"/>
  <c r="I800" i="2" a="1"/>
  <c r="I800" i="2" s="1"/>
  <c r="I801" i="2" a="1"/>
  <c r="I801" i="2" s="1"/>
  <c r="I802" i="2" a="1"/>
  <c r="I802" i="2" s="1"/>
  <c r="I803" i="2" a="1"/>
  <c r="I803" i="2" s="1"/>
  <c r="I804" i="2" a="1"/>
  <c r="I804" i="2" s="1"/>
  <c r="I805" i="2" a="1"/>
  <c r="I805" i="2"/>
  <c r="I806" i="2" a="1"/>
  <c r="I806" i="2" s="1"/>
  <c r="I807" i="2" a="1"/>
  <c r="I807" i="2" s="1"/>
  <c r="I808" i="2" a="1"/>
  <c r="I808" i="2" s="1"/>
  <c r="I809" i="2" a="1"/>
  <c r="I809" i="2" s="1"/>
  <c r="I810" i="2" a="1"/>
  <c r="I810" i="2" s="1"/>
  <c r="I811" i="2" a="1"/>
  <c r="I811" i="2" s="1"/>
  <c r="I812" i="2" a="1"/>
  <c r="I812" i="2" s="1"/>
  <c r="I813" i="2" a="1"/>
  <c r="I813" i="2" s="1"/>
  <c r="I814" i="2" a="1"/>
  <c r="I814" i="2" s="1"/>
  <c r="I815" i="2" a="1"/>
  <c r="I815" i="2" s="1"/>
  <c r="I816" i="2" a="1"/>
  <c r="I816" i="2" s="1"/>
  <c r="I817" i="2" a="1"/>
  <c r="I817" i="2" s="1"/>
  <c r="I818" i="2" a="1"/>
  <c r="I818" i="2" s="1"/>
  <c r="I819" i="2" a="1"/>
  <c r="I819" i="2" s="1"/>
  <c r="I820" i="2" a="1"/>
  <c r="I820" i="2" s="1"/>
  <c r="I821" i="2" a="1"/>
  <c r="I821" i="2" s="1"/>
  <c r="I822" i="2" a="1"/>
  <c r="I822" i="2" s="1"/>
  <c r="I823" i="2" a="1"/>
  <c r="I823" i="2" s="1"/>
  <c r="I824" i="2" a="1"/>
  <c r="I824" i="2" s="1"/>
  <c r="I825" i="2" a="1"/>
  <c r="I825" i="2" s="1"/>
  <c r="I826" i="2" a="1"/>
  <c r="I826" i="2" s="1"/>
  <c r="I827" i="2" a="1"/>
  <c r="I827" i="2" s="1"/>
  <c r="I828" i="2" a="1"/>
  <c r="I828" i="2" s="1"/>
  <c r="I829" i="2" a="1"/>
  <c r="I829" i="2" s="1"/>
  <c r="I830" i="2" a="1"/>
  <c r="I830" i="2" s="1"/>
  <c r="I831" i="2" a="1"/>
  <c r="I831" i="2" s="1"/>
  <c r="I832" i="2" a="1"/>
  <c r="I832" i="2" s="1"/>
  <c r="I833" i="2" a="1"/>
  <c r="I833" i="2" s="1"/>
  <c r="I834" i="2" a="1"/>
  <c r="I834" i="2" s="1"/>
  <c r="I835" i="2" a="1"/>
  <c r="I835" i="2" s="1"/>
  <c r="I836" i="2" a="1"/>
  <c r="I836" i="2" s="1"/>
  <c r="I837" i="2" a="1"/>
  <c r="I837" i="2" s="1"/>
  <c r="I838" i="2" a="1"/>
  <c r="I838" i="2" s="1"/>
  <c r="I839" i="2" a="1"/>
  <c r="I839" i="2" s="1"/>
  <c r="I840" i="2" a="1"/>
  <c r="I840" i="2" s="1"/>
  <c r="I841" i="2" a="1"/>
  <c r="I841" i="2" s="1"/>
  <c r="I842" i="2" a="1"/>
  <c r="I842" i="2" s="1"/>
  <c r="I843" i="2" a="1"/>
  <c r="I843" i="2" s="1"/>
  <c r="I844" i="2" a="1"/>
  <c r="I844" i="2" s="1"/>
  <c r="I845" i="2" a="1"/>
  <c r="I845" i="2" s="1"/>
  <c r="I846" i="2" a="1"/>
  <c r="I846" i="2" s="1"/>
  <c r="I847" i="2" a="1"/>
  <c r="I847" i="2" s="1"/>
  <c r="I848" i="2" a="1"/>
  <c r="I848" i="2" s="1"/>
  <c r="I849" i="2" a="1"/>
  <c r="I849" i="2" s="1"/>
  <c r="I850" i="2" a="1"/>
  <c r="I850" i="2" s="1"/>
  <c r="I851" i="2" a="1"/>
  <c r="I851" i="2" s="1"/>
  <c r="I852" i="2" a="1"/>
  <c r="I852" i="2" s="1"/>
  <c r="I853" i="2" a="1"/>
  <c r="I853" i="2" s="1"/>
  <c r="I854" i="2" a="1"/>
  <c r="I854" i="2" s="1"/>
  <c r="I855" i="2" a="1"/>
  <c r="I855" i="2" s="1"/>
  <c r="I856" i="2" a="1"/>
  <c r="I856" i="2" s="1"/>
  <c r="I857" i="2" a="1"/>
  <c r="I857" i="2" s="1"/>
  <c r="I858" i="2" a="1"/>
  <c r="I858" i="2" s="1"/>
  <c r="I859" i="2" a="1"/>
  <c r="I859" i="2" s="1"/>
  <c r="I860" i="2" a="1"/>
  <c r="I860" i="2" s="1"/>
  <c r="I861" i="2" a="1"/>
  <c r="I861" i="2" s="1"/>
  <c r="I862" i="2" a="1"/>
  <c r="I862" i="2" s="1"/>
  <c r="I863" i="2" a="1"/>
  <c r="I863" i="2" s="1"/>
  <c r="I864" i="2" a="1"/>
  <c r="I864" i="2" s="1"/>
  <c r="I865" i="2" a="1"/>
  <c r="I865" i="2" s="1"/>
  <c r="I866" i="2" a="1"/>
  <c r="I866" i="2" s="1"/>
  <c r="I867" i="2" a="1"/>
  <c r="I867" i="2" s="1"/>
  <c r="I868" i="2" a="1"/>
  <c r="I868" i="2" s="1"/>
  <c r="I869" i="2" a="1"/>
  <c r="I869" i="2" s="1"/>
  <c r="I870" i="2" a="1"/>
  <c r="I870" i="2" s="1"/>
  <c r="I871" i="2" a="1"/>
  <c r="I871" i="2" s="1"/>
  <c r="I872" i="2" a="1"/>
  <c r="I872" i="2" s="1"/>
  <c r="I873" i="2" a="1"/>
  <c r="I873" i="2" s="1"/>
  <c r="I874" i="2" a="1"/>
  <c r="I874" i="2" s="1"/>
  <c r="I875" i="2" a="1"/>
  <c r="I875" i="2" s="1"/>
  <c r="I876" i="2" a="1"/>
  <c r="I876" i="2" s="1"/>
  <c r="I877" i="2" a="1"/>
  <c r="I877" i="2" s="1"/>
  <c r="I878" i="2" a="1"/>
  <c r="I878" i="2" s="1"/>
  <c r="I879" i="2" a="1"/>
  <c r="I879" i="2" s="1"/>
  <c r="I880" i="2" a="1"/>
  <c r="I880" i="2" s="1"/>
  <c r="I881" i="2" a="1"/>
  <c r="I881" i="2" s="1"/>
  <c r="I882" i="2" a="1"/>
  <c r="I882" i="2" s="1"/>
  <c r="I883" i="2" a="1"/>
  <c r="I883" i="2" s="1"/>
  <c r="I884" i="2" a="1"/>
  <c r="I884" i="2" s="1"/>
  <c r="I885" i="2" a="1"/>
  <c r="I885" i="2" s="1"/>
  <c r="I886" i="2" a="1"/>
  <c r="I886" i="2" s="1"/>
  <c r="I887" i="2" a="1"/>
  <c r="I887" i="2" s="1"/>
  <c r="I888" i="2" a="1"/>
  <c r="I888" i="2" s="1"/>
  <c r="I889" i="2" a="1"/>
  <c r="I889" i="2" s="1"/>
  <c r="I890" i="2" a="1"/>
  <c r="I890" i="2" s="1"/>
  <c r="I891" i="2" a="1"/>
  <c r="I891" i="2" s="1"/>
  <c r="I892" i="2" a="1"/>
  <c r="I892" i="2" s="1"/>
  <c r="I893" i="2" a="1"/>
  <c r="I893" i="2" s="1"/>
  <c r="I894" i="2" a="1"/>
  <c r="I894" i="2" s="1"/>
  <c r="I895" i="2" a="1"/>
  <c r="I895" i="2" s="1"/>
  <c r="I896" i="2" a="1"/>
  <c r="I896" i="2" s="1"/>
  <c r="I897" i="2" a="1"/>
  <c r="I897" i="2" s="1"/>
  <c r="I898" i="2" a="1"/>
  <c r="I898" i="2" s="1"/>
  <c r="I899" i="2" a="1"/>
  <c r="I899" i="2" s="1"/>
  <c r="I900" i="2" a="1"/>
  <c r="I900" i="2" s="1"/>
  <c r="I901" i="2" a="1"/>
  <c r="I901" i="2" s="1"/>
  <c r="I902" i="2" a="1"/>
  <c r="I902" i="2" s="1"/>
  <c r="I903" i="2" a="1"/>
  <c r="I903" i="2" s="1"/>
  <c r="I904" i="2" a="1"/>
  <c r="I904" i="2" s="1"/>
  <c r="I905" i="2" a="1"/>
  <c r="I905" i="2" s="1"/>
  <c r="I906" i="2" a="1"/>
  <c r="I906" i="2" s="1"/>
  <c r="I907" i="2" a="1"/>
  <c r="I907" i="2" s="1"/>
  <c r="I908" i="2" a="1"/>
  <c r="I908" i="2" s="1"/>
  <c r="I909" i="2" a="1"/>
  <c r="I909" i="2" s="1"/>
  <c r="I910" i="2" a="1"/>
  <c r="I910" i="2" s="1"/>
  <c r="I911" i="2" a="1"/>
  <c r="I911" i="2" s="1"/>
  <c r="I912" i="2" a="1"/>
  <c r="I912" i="2" s="1"/>
  <c r="I913" i="2" a="1"/>
  <c r="I913" i="2" s="1"/>
  <c r="I914" i="2" a="1"/>
  <c r="I914" i="2" s="1"/>
  <c r="I915" i="2" a="1"/>
  <c r="I915" i="2" s="1"/>
  <c r="I916" i="2" a="1"/>
  <c r="I916" i="2" s="1"/>
  <c r="I917" i="2" a="1"/>
  <c r="I917" i="2" s="1"/>
  <c r="I918" i="2" a="1"/>
  <c r="I918" i="2" s="1"/>
  <c r="I919" i="2" a="1"/>
  <c r="I919" i="2" s="1"/>
  <c r="I920" i="2" a="1"/>
  <c r="I920" i="2" s="1"/>
  <c r="I921" i="2" a="1"/>
  <c r="I921" i="2" s="1"/>
  <c r="I922" i="2" a="1"/>
  <c r="I922" i="2" s="1"/>
  <c r="I923" i="2" a="1"/>
  <c r="I923" i="2" s="1"/>
  <c r="I924" i="2" a="1"/>
  <c r="I924" i="2" s="1"/>
  <c r="I925" i="2" a="1"/>
  <c r="I925" i="2" s="1"/>
  <c r="I926" i="2" a="1"/>
  <c r="I926" i="2" s="1"/>
  <c r="I927" i="2" a="1"/>
  <c r="I927" i="2" s="1"/>
  <c r="I928" i="2" a="1"/>
  <c r="I928" i="2" s="1"/>
  <c r="I929" i="2" a="1"/>
  <c r="I929" i="2" s="1"/>
  <c r="I930" i="2" a="1"/>
  <c r="I930" i="2" s="1"/>
  <c r="I931" i="2" a="1"/>
  <c r="I931" i="2" s="1"/>
  <c r="I932" i="2" a="1"/>
  <c r="I932" i="2" s="1"/>
  <c r="I933" i="2" a="1"/>
  <c r="I933" i="2" s="1"/>
  <c r="I934" i="2" a="1"/>
  <c r="I934" i="2" s="1"/>
  <c r="I935" i="2" a="1"/>
  <c r="I935" i="2" s="1"/>
  <c r="I936" i="2" a="1"/>
  <c r="I936" i="2" s="1"/>
  <c r="I937" i="2" a="1"/>
  <c r="I937" i="2" s="1"/>
  <c r="I938" i="2" a="1"/>
  <c r="I938" i="2" s="1"/>
  <c r="I939" i="2" a="1"/>
  <c r="I939" i="2" s="1"/>
  <c r="I940" i="2" a="1"/>
  <c r="I940" i="2" s="1"/>
  <c r="I941" i="2" a="1"/>
  <c r="I941" i="2" s="1"/>
  <c r="I942" i="2" a="1"/>
  <c r="I942" i="2" s="1"/>
  <c r="I943" i="2" a="1"/>
  <c r="I943" i="2" s="1"/>
  <c r="I944" i="2" a="1"/>
  <c r="I944" i="2" s="1"/>
  <c r="I945" i="2" a="1"/>
  <c r="I945" i="2" s="1"/>
  <c r="I946" i="2" a="1"/>
  <c r="I946" i="2" s="1"/>
  <c r="I947" i="2" a="1"/>
  <c r="I947" i="2" s="1"/>
  <c r="I948" i="2" a="1"/>
  <c r="I948" i="2" s="1"/>
  <c r="I949" i="2" a="1"/>
  <c r="I949" i="2" s="1"/>
  <c r="I950" i="2" a="1"/>
  <c r="I950" i="2" s="1"/>
  <c r="I951" i="2" a="1"/>
  <c r="I951" i="2" s="1"/>
  <c r="I952" i="2" a="1"/>
  <c r="I952" i="2" s="1"/>
  <c r="I953" i="2" a="1"/>
  <c r="I953" i="2" s="1"/>
  <c r="I954" i="2" a="1"/>
  <c r="I954" i="2" s="1"/>
  <c r="I955" i="2" a="1"/>
  <c r="I955" i="2" s="1"/>
  <c r="I956" i="2" a="1"/>
  <c r="I956" i="2" s="1"/>
  <c r="I957" i="2" a="1"/>
  <c r="I957" i="2" s="1"/>
  <c r="I958" i="2" a="1"/>
  <c r="I958" i="2" s="1"/>
  <c r="I959" i="2" a="1"/>
  <c r="I959" i="2" s="1"/>
  <c r="I960" i="2" a="1"/>
  <c r="I960" i="2" s="1"/>
  <c r="I961" i="2" a="1"/>
  <c r="I961" i="2" s="1"/>
  <c r="I962" i="2" a="1"/>
  <c r="I962" i="2" s="1"/>
  <c r="I963" i="2" a="1"/>
  <c r="I963" i="2" s="1"/>
  <c r="I964" i="2" a="1"/>
  <c r="I964" i="2" s="1"/>
  <c r="I965" i="2" a="1"/>
  <c r="I965" i="2" s="1"/>
  <c r="I966" i="2" a="1"/>
  <c r="I966" i="2" s="1"/>
  <c r="I967" i="2" a="1"/>
  <c r="I967" i="2" s="1"/>
  <c r="I968" i="2" a="1"/>
  <c r="I968" i="2" s="1"/>
  <c r="I969" i="2" a="1"/>
  <c r="I969" i="2" s="1"/>
  <c r="I970" i="2" a="1"/>
  <c r="I970" i="2" s="1"/>
  <c r="I971" i="2" a="1"/>
  <c r="I971" i="2" s="1"/>
  <c r="I972" i="2" a="1"/>
  <c r="I972" i="2" s="1"/>
  <c r="I973" i="2" a="1"/>
  <c r="I973" i="2" s="1"/>
  <c r="I974" i="2" a="1"/>
  <c r="I974" i="2" s="1"/>
  <c r="I975" i="2" a="1"/>
  <c r="I975" i="2" s="1"/>
  <c r="I976" i="2" a="1"/>
  <c r="I976" i="2" s="1"/>
  <c r="I977" i="2" a="1"/>
  <c r="I977" i="2" s="1"/>
  <c r="I978" i="2" a="1"/>
  <c r="I978" i="2" s="1"/>
  <c r="I979" i="2" a="1"/>
  <c r="I979" i="2" s="1"/>
  <c r="I980" i="2" a="1"/>
  <c r="I980" i="2" s="1"/>
  <c r="I981" i="2" a="1"/>
  <c r="I981" i="2" s="1"/>
  <c r="I982" i="2" a="1"/>
  <c r="I982" i="2" s="1"/>
  <c r="I983" i="2" a="1"/>
  <c r="I983" i="2" s="1"/>
  <c r="I984" i="2" a="1"/>
  <c r="I984" i="2" s="1"/>
  <c r="I985" i="2" a="1"/>
  <c r="I985" i="2" s="1"/>
  <c r="I986" i="2" a="1"/>
  <c r="I986" i="2" s="1"/>
  <c r="I987" i="2" a="1"/>
  <c r="I987" i="2" s="1"/>
  <c r="I988" i="2" a="1"/>
  <c r="I988" i="2" s="1"/>
  <c r="I989" i="2" a="1"/>
  <c r="I989" i="2" s="1"/>
  <c r="I990" i="2" a="1"/>
  <c r="I990" i="2" s="1"/>
  <c r="I991" i="2" a="1"/>
  <c r="I991" i="2" s="1"/>
  <c r="I992" i="2" a="1"/>
  <c r="I992" i="2" s="1"/>
  <c r="I993" i="2" a="1"/>
  <c r="I993" i="2" s="1"/>
  <c r="I994" i="2" a="1"/>
  <c r="I994" i="2" s="1"/>
  <c r="I995" i="2" a="1"/>
  <c r="I995" i="2" s="1"/>
  <c r="I996" i="2" a="1"/>
  <c r="I996" i="2" s="1"/>
  <c r="I997" i="2" a="1"/>
  <c r="I997" i="2" s="1"/>
  <c r="I998" i="2" a="1"/>
  <c r="I998" i="2" s="1"/>
  <c r="I999" i="2" a="1"/>
  <c r="I999" i="2" s="1"/>
  <c r="I1000" i="2" a="1"/>
  <c r="I1000" i="2" s="1"/>
  <c r="I1001" i="2" a="1"/>
  <c r="I1001" i="2" s="1"/>
  <c r="I1002" i="2" a="1"/>
  <c r="I1002" i="2" s="1"/>
  <c r="I1003" i="2" a="1"/>
  <c r="I1003" i="2" s="1"/>
  <c r="I1004" i="2" a="1"/>
  <c r="I1004" i="2" s="1"/>
  <c r="I1005" i="2" a="1"/>
  <c r="I1005" i="2" s="1"/>
  <c r="I1006" i="2" a="1"/>
  <c r="I1006" i="2" s="1"/>
  <c r="I1007" i="2" a="1"/>
  <c r="I1007" i="2" s="1"/>
  <c r="I1008" i="2" a="1"/>
  <c r="I1008" i="2" s="1"/>
  <c r="I1009" i="2" a="1"/>
  <c r="I1009" i="2" s="1"/>
  <c r="I1010" i="2" a="1"/>
  <c r="I1010" i="2" s="1"/>
  <c r="I1011" i="2" a="1"/>
  <c r="I1011" i="2" s="1"/>
  <c r="I1012" i="2" a="1"/>
  <c r="I1012" i="2" s="1"/>
  <c r="I1013" i="2" a="1"/>
  <c r="I1013" i="2" s="1"/>
  <c r="I1014" i="2" a="1"/>
  <c r="I1014" i="2" s="1"/>
  <c r="I1015" i="2" a="1"/>
  <c r="I1015" i="2" s="1"/>
  <c r="I1016" i="2" a="1"/>
  <c r="I1016" i="2" s="1"/>
  <c r="I1017" i="2" a="1"/>
  <c r="I1017" i="2" s="1"/>
  <c r="I1018" i="2" a="1"/>
  <c r="I1018" i="2" s="1"/>
  <c r="I1019" i="2" a="1"/>
  <c r="I1019" i="2" s="1"/>
  <c r="I1020" i="2" a="1"/>
  <c r="I1020" i="2" s="1"/>
  <c r="I1021" i="2" a="1"/>
  <c r="I1021" i="2" s="1"/>
  <c r="I1022" i="2" a="1"/>
  <c r="I1022" i="2" s="1"/>
  <c r="I1023" i="2" a="1"/>
  <c r="I1023" i="2" s="1"/>
  <c r="I1024" i="2" a="1"/>
  <c r="I1024" i="2" s="1"/>
  <c r="I1025" i="2" a="1"/>
  <c r="I1025" i="2" s="1"/>
  <c r="I1026" i="2" a="1"/>
  <c r="I1026" i="2" s="1"/>
  <c r="I1027" i="2" a="1"/>
  <c r="I1027" i="2" s="1"/>
  <c r="I1028" i="2" a="1"/>
  <c r="I1028" i="2" s="1"/>
  <c r="I1029" i="2" a="1"/>
  <c r="I1029" i="2" s="1"/>
  <c r="I1030" i="2" a="1"/>
  <c r="I1030" i="2" s="1"/>
  <c r="I1031" i="2" a="1"/>
  <c r="I1031" i="2" s="1"/>
  <c r="I1032" i="2" a="1"/>
  <c r="I1032" i="2" s="1"/>
  <c r="I1033" i="2" a="1"/>
  <c r="I1033" i="2" s="1"/>
  <c r="I1034" i="2" a="1"/>
  <c r="I1034" i="2" s="1"/>
  <c r="I1035" i="2" a="1"/>
  <c r="I1035" i="2" s="1"/>
  <c r="I1036" i="2" a="1"/>
  <c r="I1036" i="2" s="1"/>
  <c r="I1037" i="2" a="1"/>
  <c r="I1037" i="2" s="1"/>
  <c r="I1038" i="2" a="1"/>
  <c r="I1038" i="2" s="1"/>
  <c r="I1039" i="2" a="1"/>
  <c r="I1039" i="2" s="1"/>
  <c r="I1040" i="2" a="1"/>
  <c r="I1040" i="2" s="1"/>
  <c r="I1041" i="2" a="1"/>
  <c r="I1041" i="2" s="1"/>
  <c r="I1042" i="2" a="1"/>
  <c r="I1042" i="2" s="1"/>
  <c r="I1043" i="2" a="1"/>
  <c r="I1043" i="2" s="1"/>
  <c r="I1044" i="2" a="1"/>
  <c r="I1044" i="2" s="1"/>
  <c r="I1045" i="2" a="1"/>
  <c r="I1045" i="2" s="1"/>
  <c r="I1046" i="2" a="1"/>
  <c r="I1046" i="2" s="1"/>
  <c r="I1047" i="2" a="1"/>
  <c r="I1047" i="2" s="1"/>
  <c r="I1048" i="2" a="1"/>
  <c r="I1048" i="2" s="1"/>
  <c r="I1049" i="2" a="1"/>
  <c r="I1049" i="2" s="1"/>
  <c r="I1050" i="2" a="1"/>
  <c r="I1050" i="2" s="1"/>
  <c r="I1051" i="2" a="1"/>
  <c r="I1051" i="2" s="1"/>
  <c r="I1052" i="2" a="1"/>
  <c r="I1052" i="2" s="1"/>
  <c r="I1053" i="2" a="1"/>
  <c r="I1053" i="2" s="1"/>
  <c r="I1054" i="2" a="1"/>
  <c r="I1054" i="2" s="1"/>
  <c r="I1055" i="2" a="1"/>
  <c r="I1055" i="2" s="1"/>
  <c r="I1056" i="2" a="1"/>
  <c r="I1056" i="2" s="1"/>
  <c r="I1057" i="2" a="1"/>
  <c r="I1057" i="2" s="1"/>
  <c r="I1058" i="2" a="1"/>
  <c r="I1058" i="2" s="1"/>
  <c r="I1059" i="2" a="1"/>
  <c r="I1059" i="2" s="1"/>
  <c r="I1060" i="2" a="1"/>
  <c r="I1060" i="2" s="1"/>
  <c r="I1061" i="2" a="1"/>
  <c r="I1061" i="2" s="1"/>
  <c r="I1062" i="2" a="1"/>
  <c r="I1062" i="2" s="1"/>
  <c r="I1063" i="2" a="1"/>
  <c r="I1063" i="2" s="1"/>
  <c r="I1064" i="2" a="1"/>
  <c r="I1064" i="2" s="1"/>
  <c r="I1065" i="2" a="1"/>
  <c r="I1065" i="2" s="1"/>
  <c r="I1066" i="2" a="1"/>
  <c r="I1066" i="2" s="1"/>
  <c r="I1067" i="2" a="1"/>
  <c r="I1067" i="2" s="1"/>
  <c r="I1068" i="2" a="1"/>
  <c r="I1068" i="2" s="1"/>
  <c r="I1069" i="2" a="1"/>
  <c r="I1069" i="2" s="1"/>
  <c r="I1070" i="2" a="1"/>
  <c r="I1070" i="2" s="1"/>
  <c r="I1071" i="2" a="1"/>
  <c r="I1071" i="2" s="1"/>
  <c r="I1072" i="2" a="1"/>
  <c r="I1072" i="2" s="1"/>
  <c r="I1073" i="2" a="1"/>
  <c r="I1073" i="2" s="1"/>
  <c r="I1074" i="2" a="1"/>
  <c r="I1074" i="2" s="1"/>
  <c r="I1075" i="2" a="1"/>
  <c r="I1075" i="2" s="1"/>
  <c r="I1076" i="2" a="1"/>
  <c r="I1076" i="2" s="1"/>
  <c r="I1077" i="2" a="1"/>
  <c r="I1077" i="2" s="1"/>
  <c r="I1078" i="2" a="1"/>
  <c r="I1078" i="2" s="1"/>
  <c r="I1079" i="2" a="1"/>
  <c r="I1079" i="2" s="1"/>
  <c r="I1080" i="2" a="1"/>
  <c r="I1080" i="2" s="1"/>
  <c r="I1081" i="2" a="1"/>
  <c r="I1081" i="2" s="1"/>
  <c r="I1082" i="2" a="1"/>
  <c r="I1082" i="2" s="1"/>
  <c r="I1083" i="2" a="1"/>
  <c r="I1083" i="2" s="1"/>
  <c r="I1084" i="2" a="1"/>
  <c r="I1084" i="2" s="1"/>
  <c r="I1085" i="2" a="1"/>
  <c r="I1085" i="2" s="1"/>
  <c r="I1086" i="2" a="1"/>
  <c r="I1086" i="2" s="1"/>
  <c r="I1087" i="2" a="1"/>
  <c r="I1087" i="2" s="1"/>
  <c r="I1088" i="2" a="1"/>
  <c r="I1088" i="2" s="1"/>
  <c r="I1089" i="2" a="1"/>
  <c r="I1089" i="2" s="1"/>
  <c r="I1090" i="2" a="1"/>
  <c r="I1090" i="2" s="1"/>
  <c r="I1091" i="2" a="1"/>
  <c r="I1091" i="2" s="1"/>
  <c r="I1092" i="2" a="1"/>
  <c r="I1092" i="2" s="1"/>
  <c r="I1093" i="2" a="1"/>
  <c r="I1093" i="2" s="1"/>
  <c r="I1094" i="2" a="1"/>
  <c r="I1094" i="2" s="1"/>
  <c r="I1095" i="2" a="1"/>
  <c r="I1095" i="2" s="1"/>
  <c r="I1096" i="2" a="1"/>
  <c r="I1096" i="2" s="1"/>
  <c r="I1097" i="2" a="1"/>
  <c r="I1097" i="2" s="1"/>
  <c r="I1098" i="2" a="1"/>
  <c r="I1098" i="2" s="1"/>
  <c r="I1099" i="2" a="1"/>
  <c r="I1099" i="2" s="1"/>
  <c r="I1100" i="2" a="1"/>
  <c r="I1100" i="2" s="1"/>
  <c r="I1101" i="2" a="1"/>
  <c r="I1101" i="2" s="1"/>
  <c r="I1102" i="2" a="1"/>
  <c r="I1102" i="2" s="1"/>
  <c r="I1103" i="2" a="1"/>
  <c r="I1103" i="2" s="1"/>
  <c r="I1104" i="2" a="1"/>
  <c r="I1104" i="2" s="1"/>
  <c r="I1105" i="2" a="1"/>
  <c r="I1105" i="2" s="1"/>
  <c r="I1106" i="2" a="1"/>
  <c r="I1106" i="2" s="1"/>
  <c r="I1107" i="2" a="1"/>
  <c r="I1107" i="2" s="1"/>
  <c r="I1108" i="2" a="1"/>
  <c r="I1108" i="2" s="1"/>
  <c r="I1109" i="2" a="1"/>
  <c r="I1109" i="2" s="1"/>
  <c r="I1110" i="2" a="1"/>
  <c r="I1110" i="2" s="1"/>
  <c r="I1111" i="2" a="1"/>
  <c r="I1111" i="2" s="1"/>
  <c r="I1112" i="2" a="1"/>
  <c r="I1112" i="2" s="1"/>
  <c r="I1113" i="2" a="1"/>
  <c r="I1113" i="2" s="1"/>
  <c r="I1114" i="2" a="1"/>
  <c r="I1114" i="2" s="1"/>
  <c r="I1115" i="2" a="1"/>
  <c r="I1115" i="2" s="1"/>
  <c r="I1116" i="2" a="1"/>
  <c r="I1116" i="2" s="1"/>
  <c r="I1117" i="2" a="1"/>
  <c r="I1117" i="2" s="1"/>
  <c r="I1118" i="2" a="1"/>
  <c r="I1118" i="2" s="1"/>
  <c r="I1119" i="2" a="1"/>
  <c r="I1119" i="2" s="1"/>
  <c r="I1120" i="2" a="1"/>
  <c r="I1120" i="2" s="1"/>
  <c r="I1121" i="2" a="1"/>
  <c r="I1121" i="2" s="1"/>
  <c r="I1122" i="2" a="1"/>
  <c r="I1122" i="2" s="1"/>
  <c r="I1123" i="2" a="1"/>
  <c r="I1123" i="2" s="1"/>
  <c r="I1124" i="2" a="1"/>
  <c r="I1124" i="2" s="1"/>
  <c r="I1125" i="2" a="1"/>
  <c r="I1125" i="2" s="1"/>
  <c r="I1126" i="2" a="1"/>
  <c r="I1126" i="2" s="1"/>
  <c r="I1127" i="2" a="1"/>
  <c r="I1127" i="2" s="1"/>
  <c r="I1128" i="2" a="1"/>
  <c r="I1128" i="2" s="1"/>
  <c r="I1129" i="2" a="1"/>
  <c r="I1129" i="2" s="1"/>
  <c r="I1130" i="2" a="1"/>
  <c r="I1130" i="2" s="1"/>
  <c r="I1131" i="2" a="1"/>
  <c r="I1131" i="2" s="1"/>
  <c r="I1132" i="2" a="1"/>
  <c r="I1132" i="2" s="1"/>
  <c r="I1133" i="2" a="1"/>
  <c r="I1133" i="2" s="1"/>
  <c r="I1134" i="2" a="1"/>
  <c r="I1134" i="2" s="1"/>
  <c r="I1135" i="2" a="1"/>
  <c r="I1135" i="2" s="1"/>
  <c r="I1136" i="2" a="1"/>
  <c r="I1136" i="2" s="1"/>
  <c r="I1137" i="2" a="1"/>
  <c r="I1137" i="2" s="1"/>
  <c r="I1138" i="2" a="1"/>
  <c r="I1138" i="2" s="1"/>
  <c r="I1139" i="2" a="1"/>
  <c r="I1139" i="2" s="1"/>
  <c r="I1140" i="2" a="1"/>
  <c r="I1140" i="2" s="1"/>
  <c r="I1141" i="2" a="1"/>
  <c r="I1141" i="2" s="1"/>
  <c r="I1142" i="2" a="1"/>
  <c r="I1142" i="2" s="1"/>
  <c r="I1143" i="2" a="1"/>
  <c r="I1143" i="2" s="1"/>
  <c r="I1144" i="2" a="1"/>
  <c r="I1144" i="2" s="1"/>
  <c r="I1145" i="2" a="1"/>
  <c r="I1145" i="2" s="1"/>
  <c r="I1146" i="2" a="1"/>
  <c r="I1146" i="2" s="1"/>
  <c r="I1147" i="2" a="1"/>
  <c r="I1147" i="2" s="1"/>
  <c r="I1148" i="2" a="1"/>
  <c r="I1148" i="2" s="1"/>
  <c r="I1149" i="2" a="1"/>
  <c r="I1149" i="2" s="1"/>
  <c r="I1150" i="2" a="1"/>
  <c r="I1150" i="2" s="1"/>
  <c r="I1151" i="2" a="1"/>
  <c r="I1151" i="2" s="1"/>
  <c r="I1152" i="2" a="1"/>
  <c r="I1152" i="2" s="1"/>
  <c r="I1153" i="2" a="1"/>
  <c r="I1153" i="2" s="1"/>
  <c r="I1154" i="2" a="1"/>
  <c r="I1154" i="2" s="1"/>
  <c r="I1155" i="2" a="1"/>
  <c r="I1155" i="2" s="1"/>
  <c r="I1156" i="2" a="1"/>
  <c r="I1156" i="2" s="1"/>
  <c r="I1157" i="2" a="1"/>
  <c r="I1157" i="2" s="1"/>
  <c r="I1158" i="2" a="1"/>
  <c r="I1158" i="2" s="1"/>
  <c r="I1159" i="2" a="1"/>
  <c r="I1159" i="2" s="1"/>
  <c r="I1160" i="2" a="1"/>
  <c r="I1160" i="2" s="1"/>
  <c r="I1161" i="2" a="1"/>
  <c r="I1161" i="2" s="1"/>
  <c r="I1162" i="2" a="1"/>
  <c r="I1162" i="2" s="1"/>
  <c r="I1163" i="2" a="1"/>
  <c r="I1163" i="2" s="1"/>
  <c r="I1164" i="2" a="1"/>
  <c r="I1164" i="2" s="1"/>
  <c r="I1165" i="2" a="1"/>
  <c r="I1165" i="2" s="1"/>
  <c r="I1166" i="2" a="1"/>
  <c r="I1166" i="2" s="1"/>
  <c r="I1167" i="2" a="1"/>
  <c r="I1167" i="2" s="1"/>
  <c r="I1168" i="2" a="1"/>
  <c r="I1168" i="2" s="1"/>
  <c r="I1169" i="2" a="1"/>
  <c r="I1169" i="2" s="1"/>
  <c r="I1170" i="2" a="1"/>
  <c r="I1170" i="2" s="1"/>
  <c r="I1171" i="2" a="1"/>
  <c r="I1171" i="2" s="1"/>
  <c r="I1172" i="2" a="1"/>
  <c r="I1172" i="2" s="1"/>
  <c r="I1173" i="2" a="1"/>
  <c r="I1173" i="2" s="1"/>
  <c r="I1174" i="2" a="1"/>
  <c r="I1174" i="2" s="1"/>
  <c r="I1175" i="2" a="1"/>
  <c r="I1175" i="2" s="1"/>
  <c r="I1176" i="2" a="1"/>
  <c r="I1176" i="2" s="1"/>
  <c r="I1177" i="2" a="1"/>
  <c r="I1177" i="2" s="1"/>
  <c r="I1178" i="2" a="1"/>
  <c r="I1178" i="2" s="1"/>
  <c r="I1179" i="2" a="1"/>
  <c r="I1179" i="2" s="1"/>
  <c r="I1180" i="2" a="1"/>
  <c r="I1180" i="2" s="1"/>
  <c r="I1181" i="2" a="1"/>
  <c r="I1181" i="2" s="1"/>
  <c r="I1182" i="2" a="1"/>
  <c r="I1182" i="2" s="1"/>
  <c r="I1183" i="2" a="1"/>
  <c r="I1183" i="2" s="1"/>
  <c r="I1184" i="2" a="1"/>
  <c r="I1184" i="2" s="1"/>
  <c r="I1185" i="2" a="1"/>
  <c r="I1185" i="2" s="1"/>
  <c r="I1186" i="2" a="1"/>
  <c r="I1186" i="2" s="1"/>
  <c r="I1187" i="2" a="1"/>
  <c r="I1187" i="2" s="1"/>
  <c r="I1188" i="2" a="1"/>
  <c r="I1188" i="2" s="1"/>
  <c r="I1189" i="2" a="1"/>
  <c r="I1189" i="2" s="1"/>
  <c r="I1190" i="2" a="1"/>
  <c r="I1190" i="2" s="1"/>
  <c r="I1191" i="2" a="1"/>
  <c r="I1191" i="2" s="1"/>
  <c r="I1192" i="2" a="1"/>
  <c r="I1192" i="2" s="1"/>
  <c r="I1193" i="2" a="1"/>
  <c r="I1193" i="2" s="1"/>
  <c r="I1194" i="2" a="1"/>
  <c r="I1194" i="2" s="1"/>
  <c r="I1195" i="2" a="1"/>
  <c r="I1195" i="2" s="1"/>
  <c r="I1196" i="2" a="1"/>
  <c r="I1196" i="2" s="1"/>
  <c r="I1197" i="2" a="1"/>
  <c r="I1197" i="2" s="1"/>
  <c r="I1198" i="2" a="1"/>
  <c r="I1198" i="2" s="1"/>
  <c r="I1199" i="2" a="1"/>
  <c r="I1199" i="2" s="1"/>
  <c r="I1200" i="2" a="1"/>
  <c r="I1200" i="2" s="1"/>
  <c r="I1201" i="2" a="1"/>
  <c r="I1201" i="2" s="1"/>
  <c r="I1202" i="2" a="1"/>
  <c r="I1202" i="2" s="1"/>
  <c r="I1203" i="2" a="1"/>
  <c r="I1203" i="2" s="1"/>
  <c r="I1204" i="2" a="1"/>
  <c r="I1204" i="2" s="1"/>
  <c r="I1205" i="2" a="1"/>
  <c r="I1205" i="2" s="1"/>
  <c r="I1206" i="2" a="1"/>
  <c r="I1206" i="2" s="1"/>
  <c r="I1207" i="2" a="1"/>
  <c r="I1207" i="2" s="1"/>
  <c r="I1208" i="2" a="1"/>
  <c r="I1208" i="2" s="1"/>
  <c r="I1209" i="2" a="1"/>
  <c r="I1209" i="2" s="1"/>
  <c r="I1210" i="2" a="1"/>
  <c r="I1210" i="2" s="1"/>
  <c r="I1211" i="2" a="1"/>
  <c r="I1211" i="2" s="1"/>
  <c r="I1212" i="2" a="1"/>
  <c r="I1212" i="2" s="1"/>
  <c r="I1213" i="2" a="1"/>
  <c r="I1213" i="2" s="1"/>
  <c r="I1214" i="2" a="1"/>
  <c r="I1214" i="2" s="1"/>
  <c r="I1215" i="2" a="1"/>
  <c r="I1215" i="2" s="1"/>
  <c r="I1216" i="2" a="1"/>
  <c r="I1216" i="2" s="1"/>
  <c r="I1217" i="2" a="1"/>
  <c r="I1217" i="2" s="1"/>
  <c r="I1218" i="2" a="1"/>
  <c r="I1218" i="2" s="1"/>
  <c r="I1219" i="2" a="1"/>
  <c r="I1219" i="2" s="1"/>
  <c r="I1220" i="2" a="1"/>
  <c r="I1220" i="2" s="1"/>
  <c r="I1221" i="2" a="1"/>
  <c r="I1221" i="2" s="1"/>
  <c r="I1222" i="2" a="1"/>
  <c r="I1222" i="2" s="1"/>
  <c r="I1223" i="2" a="1"/>
  <c r="I1223" i="2" s="1"/>
  <c r="I1224" i="2" a="1"/>
  <c r="I1224" i="2" s="1"/>
  <c r="I1225" i="2" a="1"/>
  <c r="I1225" i="2" s="1"/>
  <c r="I1226" i="2" a="1"/>
  <c r="I1226" i="2" s="1"/>
  <c r="I1227" i="2" a="1"/>
  <c r="I1227" i="2" s="1"/>
  <c r="I1228" i="2" a="1"/>
  <c r="I1228" i="2" s="1"/>
  <c r="I1229" i="2" a="1"/>
  <c r="I1229" i="2" s="1"/>
  <c r="I1230" i="2" a="1"/>
  <c r="I1230" i="2" s="1"/>
  <c r="I1231" i="2" a="1"/>
  <c r="I1231" i="2" s="1"/>
  <c r="I1232" i="2" a="1"/>
  <c r="I1232" i="2" s="1"/>
  <c r="I1233" i="2" a="1"/>
  <c r="I1233" i="2" s="1"/>
  <c r="I1234" i="2" a="1"/>
  <c r="I1234" i="2" s="1"/>
  <c r="I1235" i="2" a="1"/>
  <c r="I1235" i="2" s="1"/>
  <c r="I1236" i="2" a="1"/>
  <c r="I1236" i="2" s="1"/>
  <c r="I1237" i="2" a="1"/>
  <c r="I1237" i="2" s="1"/>
  <c r="I1238" i="2" a="1"/>
  <c r="I1238" i="2" s="1"/>
  <c r="I1239" i="2" a="1"/>
  <c r="I1239" i="2" s="1"/>
  <c r="I1240" i="2" a="1"/>
  <c r="I1240" i="2" s="1"/>
  <c r="I1241" i="2" a="1"/>
  <c r="I1241" i="2" s="1"/>
  <c r="I1242" i="2" a="1"/>
  <c r="I1242" i="2" s="1"/>
  <c r="I1243" i="2" a="1"/>
  <c r="I1243" i="2" s="1"/>
  <c r="I1244" i="2" a="1"/>
  <c r="I1244" i="2" s="1"/>
  <c r="I1245" i="2" a="1"/>
  <c r="I1245" i="2" s="1"/>
  <c r="I1246" i="2" a="1"/>
  <c r="I1246" i="2" s="1"/>
  <c r="I1247" i="2" a="1"/>
  <c r="I1247" i="2" s="1"/>
  <c r="I1248" i="2" a="1"/>
  <c r="I1248" i="2" s="1"/>
  <c r="I1249" i="2" a="1"/>
  <c r="I1249" i="2" s="1"/>
  <c r="I1250" i="2" a="1"/>
  <c r="I1250" i="2" s="1"/>
  <c r="I1251" i="2" a="1"/>
  <c r="I1251" i="2" s="1"/>
  <c r="I1252" i="2" a="1"/>
  <c r="I1252" i="2" s="1"/>
  <c r="I1253" i="2" a="1"/>
  <c r="I1253" i="2" s="1"/>
  <c r="I1254" i="2" a="1"/>
  <c r="I1254" i="2" s="1"/>
  <c r="I1255" i="2" a="1"/>
  <c r="I1255" i="2" s="1"/>
  <c r="I1256" i="2" a="1"/>
  <c r="I1256" i="2" s="1"/>
  <c r="I1257" i="2" a="1"/>
  <c r="I1257" i="2" s="1"/>
  <c r="I1258" i="2" a="1"/>
  <c r="I1258" i="2" s="1"/>
  <c r="I1259" i="2" a="1"/>
  <c r="I1259" i="2" s="1"/>
  <c r="I1260" i="2" a="1"/>
  <c r="I1260" i="2" s="1"/>
  <c r="I1261" i="2" a="1"/>
  <c r="I1261" i="2" s="1"/>
  <c r="I1262" i="2" a="1"/>
  <c r="I1262" i="2" s="1"/>
  <c r="I1263" i="2" a="1"/>
  <c r="I1263" i="2" s="1"/>
  <c r="I1264" i="2" a="1"/>
  <c r="I1264" i="2" s="1"/>
  <c r="I1265" i="2" a="1"/>
  <c r="I1265" i="2" s="1"/>
  <c r="I1266" i="2" a="1"/>
  <c r="I1266" i="2" s="1"/>
  <c r="I1267" i="2" a="1"/>
  <c r="I1267" i="2" s="1"/>
  <c r="I1268" i="2" a="1"/>
  <c r="I1268" i="2" s="1"/>
  <c r="I1269" i="2" a="1"/>
  <c r="I1269" i="2" s="1"/>
  <c r="I1270" i="2" a="1"/>
  <c r="I1270" i="2" s="1"/>
  <c r="I1271" i="2" a="1"/>
  <c r="I1271" i="2" s="1"/>
  <c r="I1272" i="2" a="1"/>
  <c r="I1272" i="2" s="1"/>
  <c r="I1273" i="2" a="1"/>
  <c r="I1273" i="2" s="1"/>
  <c r="I1274" i="2" a="1"/>
  <c r="I1274" i="2" s="1"/>
  <c r="I1275" i="2" a="1"/>
  <c r="I1275" i="2" s="1"/>
  <c r="I1276" i="2" a="1"/>
  <c r="I1276" i="2" s="1"/>
  <c r="I1277" i="2" a="1"/>
  <c r="I1277" i="2" s="1"/>
  <c r="I1278" i="2" a="1"/>
  <c r="I1278" i="2" s="1"/>
  <c r="I1279" i="2" a="1"/>
  <c r="I1279" i="2" s="1"/>
  <c r="I1280" i="2" a="1"/>
  <c r="I1280" i="2" s="1"/>
  <c r="I1281" i="2" a="1"/>
  <c r="I1281" i="2" s="1"/>
  <c r="I1282" i="2" a="1"/>
  <c r="I1282" i="2" s="1"/>
  <c r="I1283" i="2" a="1"/>
  <c r="I1283" i="2" s="1"/>
  <c r="I1284" i="2" a="1"/>
  <c r="I1284" i="2" s="1"/>
  <c r="I1285" i="2" a="1"/>
  <c r="I1285" i="2" s="1"/>
  <c r="I1286" i="2" a="1"/>
  <c r="I1286" i="2" s="1"/>
  <c r="I1287" i="2" a="1"/>
  <c r="I1287" i="2" s="1"/>
  <c r="I1288" i="2" a="1"/>
  <c r="I1288" i="2" s="1"/>
  <c r="I1289" i="2" a="1"/>
  <c r="I1289" i="2" s="1"/>
  <c r="I1290" i="2" a="1"/>
  <c r="I1290" i="2" s="1"/>
  <c r="I1291" i="2" a="1"/>
  <c r="I1291" i="2" s="1"/>
  <c r="I1292" i="2" a="1"/>
  <c r="I1292" i="2" s="1"/>
  <c r="I1293" i="2" a="1"/>
  <c r="I1293" i="2" s="1"/>
  <c r="I1294" i="2" a="1"/>
  <c r="I1294" i="2" s="1"/>
  <c r="I1295" i="2" a="1"/>
  <c r="I1295" i="2" s="1"/>
  <c r="I1296" i="2" a="1"/>
  <c r="I1296" i="2" s="1"/>
  <c r="I1297" i="2" a="1"/>
  <c r="I1297" i="2" s="1"/>
  <c r="I1298" i="2" a="1"/>
  <c r="I1298" i="2" s="1"/>
  <c r="I1299" i="2" a="1"/>
  <c r="I1299" i="2" s="1"/>
  <c r="I1300" i="2" a="1"/>
  <c r="I1300" i="2" s="1"/>
  <c r="I1301" i="2" a="1"/>
  <c r="I1301" i="2" s="1"/>
  <c r="I1302" i="2" a="1"/>
  <c r="I1302" i="2" s="1"/>
  <c r="I1303" i="2" a="1"/>
  <c r="I1303" i="2" s="1"/>
  <c r="I1304" i="2" a="1"/>
  <c r="I1304" i="2" s="1"/>
  <c r="I1305" i="2" a="1"/>
  <c r="I1305" i="2" s="1"/>
  <c r="I1306" i="2" a="1"/>
  <c r="I1306" i="2" s="1"/>
  <c r="I1307" i="2" a="1"/>
  <c r="I1307" i="2" s="1"/>
  <c r="I1308" i="2" a="1"/>
  <c r="I1308" i="2" s="1"/>
  <c r="I1309" i="2" a="1"/>
  <c r="I1309" i="2" s="1"/>
  <c r="I1310" i="2" a="1"/>
  <c r="I1310" i="2" s="1"/>
  <c r="I1311" i="2" a="1"/>
  <c r="I1311" i="2" s="1"/>
  <c r="I1312" i="2" a="1"/>
  <c r="I1312" i="2" s="1"/>
  <c r="I1313" i="2" a="1"/>
  <c r="I1313" i="2" s="1"/>
  <c r="I1314" i="2" a="1"/>
  <c r="I1314" i="2" s="1"/>
  <c r="I1315" i="2" a="1"/>
  <c r="I1315" i="2" s="1"/>
  <c r="I1316" i="2" a="1"/>
  <c r="I1316" i="2" s="1"/>
  <c r="I1317" i="2" a="1"/>
  <c r="I1317" i="2" s="1"/>
  <c r="I1318" i="2" a="1"/>
  <c r="I1318" i="2" s="1"/>
  <c r="I1319" i="2" a="1"/>
  <c r="I1319" i="2" s="1"/>
  <c r="I1320" i="2" a="1"/>
  <c r="I1320" i="2" s="1"/>
  <c r="I1321" i="2" a="1"/>
  <c r="I1321" i="2" s="1"/>
  <c r="I1322" i="2" a="1"/>
  <c r="I1322" i="2" s="1"/>
  <c r="I1323" i="2" a="1"/>
  <c r="I1323" i="2" s="1"/>
  <c r="I1324" i="2" a="1"/>
  <c r="I1324" i="2" s="1"/>
  <c r="I1325" i="2" a="1"/>
  <c r="I1325" i="2" s="1"/>
  <c r="I1326" i="2" a="1"/>
  <c r="I1326" i="2" s="1"/>
  <c r="I1327" i="2" a="1"/>
  <c r="I1327" i="2" s="1"/>
  <c r="I1328" i="2" a="1"/>
  <c r="I1328" i="2" s="1"/>
  <c r="I1329" i="2" a="1"/>
  <c r="I1329" i="2" s="1"/>
  <c r="I1330" i="2" a="1"/>
  <c r="I1330" i="2" s="1"/>
  <c r="I1331" i="2" a="1"/>
  <c r="I1331" i="2" s="1"/>
  <c r="I1332" i="2" a="1"/>
  <c r="I1332" i="2" s="1"/>
  <c r="I1333" i="2" a="1"/>
  <c r="I1333" i="2" s="1"/>
  <c r="I1334" i="2" a="1"/>
  <c r="I1334" i="2" s="1"/>
  <c r="I1335" i="2" a="1"/>
  <c r="I1335" i="2" s="1"/>
  <c r="I1336" i="2" a="1"/>
  <c r="I1336" i="2" s="1"/>
  <c r="I1337" i="2" a="1"/>
  <c r="I1337" i="2" s="1"/>
  <c r="I1338" i="2" a="1"/>
  <c r="I1338" i="2" s="1"/>
  <c r="I1339" i="2" a="1"/>
  <c r="I1339" i="2" s="1"/>
  <c r="I1340" i="2" a="1"/>
  <c r="I1340" i="2" s="1"/>
  <c r="I1341" i="2" a="1"/>
  <c r="I1341" i="2" s="1"/>
  <c r="I1342" i="2" a="1"/>
  <c r="I1342" i="2" s="1"/>
  <c r="I1343" i="2" a="1"/>
  <c r="I1343" i="2" s="1"/>
  <c r="I1344" i="2" a="1"/>
  <c r="I1344" i="2" s="1"/>
  <c r="I1345" i="2" a="1"/>
  <c r="I1345" i="2" s="1"/>
  <c r="I1346" i="2" a="1"/>
  <c r="I1346" i="2" s="1"/>
  <c r="I1347" i="2" a="1"/>
  <c r="I1347" i="2" s="1"/>
  <c r="I1348" i="2" a="1"/>
  <c r="I1348" i="2" s="1"/>
  <c r="I1349" i="2" a="1"/>
  <c r="I1349" i="2" s="1"/>
  <c r="I1350" i="2" a="1"/>
  <c r="I1350" i="2" s="1"/>
  <c r="I1351" i="2" a="1"/>
  <c r="I1351" i="2" s="1"/>
  <c r="I1352" i="2" a="1"/>
  <c r="I1352" i="2" s="1"/>
  <c r="I1353" i="2" a="1"/>
  <c r="I1353" i="2" s="1"/>
  <c r="I1354" i="2" a="1"/>
  <c r="I1354" i="2" s="1"/>
  <c r="I1355" i="2" a="1"/>
  <c r="I1355" i="2" s="1"/>
  <c r="I1356" i="2" a="1"/>
  <c r="I1356" i="2" s="1"/>
  <c r="I1357" i="2" a="1"/>
  <c r="I1357" i="2" s="1"/>
  <c r="I1358" i="2" a="1"/>
  <c r="I1358" i="2" s="1"/>
  <c r="I1359" i="2" a="1"/>
  <c r="I1359" i="2" s="1"/>
  <c r="I1360" i="2" a="1"/>
  <c r="I1360" i="2" s="1"/>
  <c r="I1361" i="2" a="1"/>
  <c r="I1361" i="2" s="1"/>
  <c r="I1362" i="2" a="1"/>
  <c r="I1362" i="2" s="1"/>
  <c r="I1363" i="2" a="1"/>
  <c r="I1363" i="2" s="1"/>
  <c r="I1364" i="2" a="1"/>
  <c r="I1364" i="2" s="1"/>
  <c r="I1365" i="2" a="1"/>
  <c r="I1365" i="2" s="1"/>
  <c r="I1366" i="2" a="1"/>
  <c r="I1366" i="2" s="1"/>
  <c r="I1367" i="2" a="1"/>
  <c r="I1367" i="2" s="1"/>
  <c r="I1368" i="2" a="1"/>
  <c r="I1368" i="2" s="1"/>
  <c r="I1369" i="2" a="1"/>
  <c r="I1369" i="2" s="1"/>
  <c r="I1370" i="2" a="1"/>
  <c r="I1370" i="2" s="1"/>
  <c r="I1371" i="2" a="1"/>
  <c r="I1371" i="2" s="1"/>
  <c r="I1372" i="2" a="1"/>
  <c r="I1372" i="2" s="1"/>
  <c r="I1373" i="2" a="1"/>
  <c r="I1373" i="2" s="1"/>
  <c r="I1374" i="2" a="1"/>
  <c r="I1374" i="2" s="1"/>
  <c r="I1375" i="2" a="1"/>
  <c r="I1375" i="2" s="1"/>
  <c r="I1376" i="2" a="1"/>
  <c r="I1376" i="2" s="1"/>
  <c r="I1377" i="2" a="1"/>
  <c r="I1377" i="2" s="1"/>
  <c r="I1378" i="2" a="1"/>
  <c r="I1378" i="2" s="1"/>
  <c r="I1379" i="2" a="1"/>
  <c r="I1379" i="2" s="1"/>
  <c r="I1380" i="2" a="1"/>
  <c r="I1380" i="2" s="1"/>
  <c r="I1381" i="2" a="1"/>
  <c r="I1381" i="2" s="1"/>
  <c r="I1382" i="2" a="1"/>
  <c r="I1382" i="2" s="1"/>
  <c r="I1383" i="2" a="1"/>
  <c r="I1383" i="2" s="1"/>
  <c r="I1384" i="2" a="1"/>
  <c r="I1384" i="2" s="1"/>
  <c r="I1385" i="2" a="1"/>
  <c r="I1385" i="2" s="1"/>
  <c r="I1386" i="2" a="1"/>
  <c r="I1386" i="2" s="1"/>
  <c r="I1387" i="2" a="1"/>
  <c r="I1387" i="2" s="1"/>
  <c r="I1388" i="2" a="1"/>
  <c r="I1388" i="2" s="1"/>
  <c r="I1389" i="2" a="1"/>
  <c r="I1389" i="2" s="1"/>
  <c r="I1390" i="2" a="1"/>
  <c r="I1390" i="2" s="1"/>
  <c r="I1391" i="2" a="1"/>
  <c r="I1391" i="2" s="1"/>
  <c r="I1392" i="2" a="1"/>
  <c r="I1392" i="2" s="1"/>
  <c r="I1393" i="2" a="1"/>
  <c r="I1393" i="2" s="1"/>
  <c r="I1394" i="2" a="1"/>
  <c r="I1394" i="2" s="1"/>
  <c r="I1395" i="2" a="1"/>
  <c r="I1395" i="2" s="1"/>
  <c r="I1396" i="2" a="1"/>
  <c r="I1396" i="2" s="1"/>
  <c r="I1397" i="2" a="1"/>
  <c r="I1397" i="2" s="1"/>
  <c r="I1398" i="2" a="1"/>
  <c r="I1398" i="2" s="1"/>
  <c r="I1399" i="2" a="1"/>
  <c r="I1399" i="2" s="1"/>
  <c r="I1400" i="2" a="1"/>
  <c r="I1400" i="2" s="1"/>
  <c r="I1401" i="2" a="1"/>
  <c r="I1401" i="2" s="1"/>
  <c r="I1402" i="2" a="1"/>
  <c r="I1402" i="2" s="1"/>
  <c r="I1403" i="2" a="1"/>
  <c r="I1403" i="2" s="1"/>
  <c r="I1404" i="2" a="1"/>
  <c r="I1404" i="2" s="1"/>
  <c r="I1405" i="2" a="1"/>
  <c r="I1405" i="2" s="1"/>
  <c r="I1406" i="2" a="1"/>
  <c r="I1406" i="2" s="1"/>
  <c r="I1407" i="2" a="1"/>
  <c r="I1407" i="2" s="1"/>
  <c r="I1408" i="2" a="1"/>
  <c r="I1408" i="2" s="1"/>
  <c r="I1409" i="2" a="1"/>
  <c r="I1409" i="2" s="1"/>
  <c r="I1410" i="2" a="1"/>
  <c r="I1410" i="2" s="1"/>
  <c r="I1411" i="2" a="1"/>
  <c r="I1411" i="2" s="1"/>
  <c r="I1412" i="2" a="1"/>
  <c r="I1412" i="2" s="1"/>
  <c r="I1413" i="2" a="1"/>
  <c r="I1413" i="2" s="1"/>
  <c r="I1414" i="2" a="1"/>
  <c r="I1414" i="2" s="1"/>
  <c r="I1415" i="2" a="1"/>
  <c r="I1415" i="2" s="1"/>
  <c r="I1416" i="2" a="1"/>
  <c r="I1416" i="2" s="1"/>
  <c r="I1417" i="2" a="1"/>
  <c r="I1417" i="2" s="1"/>
  <c r="I1418" i="2" a="1"/>
  <c r="I1418" i="2" s="1"/>
  <c r="I1419" i="2" a="1"/>
  <c r="I1419" i="2" s="1"/>
  <c r="I1420" i="2" a="1"/>
  <c r="I1420" i="2" s="1"/>
  <c r="I1421" i="2" a="1"/>
  <c r="I1421" i="2" s="1"/>
  <c r="I1422" i="2" a="1"/>
  <c r="I1422" i="2" s="1"/>
  <c r="I1423" i="2" a="1"/>
  <c r="I1423" i="2" s="1"/>
  <c r="I1424" i="2" a="1"/>
  <c r="I1424" i="2" s="1"/>
  <c r="I1425" i="2" a="1"/>
  <c r="I1425" i="2" s="1"/>
  <c r="I1426" i="2" a="1"/>
  <c r="I1426" i="2" s="1"/>
  <c r="I1427" i="2" a="1"/>
  <c r="I1427" i="2" s="1"/>
  <c r="I1428" i="2" a="1"/>
  <c r="I1428" i="2" s="1"/>
  <c r="I1429" i="2" a="1"/>
  <c r="I1429" i="2" s="1"/>
  <c r="I1430" i="2" a="1"/>
  <c r="I1430" i="2" s="1"/>
  <c r="I1431" i="2" a="1"/>
  <c r="I1431" i="2" s="1"/>
  <c r="I1432" i="2" a="1"/>
  <c r="I1432" i="2" s="1"/>
  <c r="I1433" i="2" a="1"/>
  <c r="I1433" i="2" s="1"/>
  <c r="I1434" i="2" a="1"/>
  <c r="I1434" i="2" s="1"/>
  <c r="I1435" i="2" a="1"/>
  <c r="I1435" i="2" s="1"/>
  <c r="I1436" i="2" a="1"/>
  <c r="I1436" i="2" s="1"/>
  <c r="I1437" i="2" a="1"/>
  <c r="I1437" i="2" s="1"/>
  <c r="I1438" i="2" a="1"/>
  <c r="I1438" i="2" s="1"/>
  <c r="I1439" i="2" a="1"/>
  <c r="I1439" i="2" s="1"/>
  <c r="I1440" i="2" a="1"/>
  <c r="I1440" i="2" s="1"/>
  <c r="I1441" i="2" a="1"/>
  <c r="I1441" i="2" s="1"/>
  <c r="I1442" i="2" a="1"/>
  <c r="I1442" i="2" s="1"/>
  <c r="I1443" i="2" a="1"/>
  <c r="I1443" i="2" s="1"/>
  <c r="I1444" i="2" a="1"/>
  <c r="I1444" i="2" s="1"/>
  <c r="I1445" i="2" a="1"/>
  <c r="I1445" i="2" s="1"/>
  <c r="I1446" i="2" a="1"/>
  <c r="I1446" i="2" s="1"/>
  <c r="I1447" i="2" a="1"/>
  <c r="I1447" i="2" s="1"/>
  <c r="I1448" i="2" a="1"/>
  <c r="I1448" i="2" s="1"/>
  <c r="I1449" i="2" a="1"/>
  <c r="I1449" i="2" s="1"/>
  <c r="I1450" i="2" a="1"/>
  <c r="I1450" i="2" s="1"/>
  <c r="I1451" i="2" a="1"/>
  <c r="I1451" i="2" s="1"/>
  <c r="I1452" i="2" a="1"/>
  <c r="I1452" i="2" s="1"/>
  <c r="I1453" i="2" a="1"/>
  <c r="I1453" i="2" s="1"/>
  <c r="I1454" i="2" a="1"/>
  <c r="I1454" i="2" s="1"/>
  <c r="I1455" i="2" a="1"/>
  <c r="I1455" i="2" s="1"/>
  <c r="I1456" i="2" a="1"/>
  <c r="I1456" i="2" s="1"/>
  <c r="I1457" i="2" a="1"/>
  <c r="I1457" i="2" s="1"/>
  <c r="I1458" i="2" a="1"/>
  <c r="I1458" i="2" s="1"/>
  <c r="I1459" i="2" a="1"/>
  <c r="I1459" i="2" s="1"/>
  <c r="I1460" i="2" a="1"/>
  <c r="I1460" i="2" s="1"/>
  <c r="I1461" i="2" a="1"/>
  <c r="I1461" i="2" s="1"/>
  <c r="I1462" i="2" a="1"/>
  <c r="I1462" i="2" s="1"/>
  <c r="I1463" i="2" a="1"/>
  <c r="I1463" i="2" s="1"/>
  <c r="I1464" i="2" a="1"/>
  <c r="I1464" i="2" s="1"/>
  <c r="I1465" i="2" a="1"/>
  <c r="I1465" i="2" s="1"/>
  <c r="I1466" i="2" a="1"/>
  <c r="I1466" i="2" s="1"/>
  <c r="I1467" i="2" a="1"/>
  <c r="I1467" i="2" s="1"/>
  <c r="I1468" i="2" a="1"/>
  <c r="I1468" i="2" s="1"/>
  <c r="I1469" i="2" a="1"/>
  <c r="I1469" i="2" s="1"/>
  <c r="I1470" i="2" a="1"/>
  <c r="I1470" i="2" s="1"/>
  <c r="I1471" i="2" a="1"/>
  <c r="I1471" i="2" s="1"/>
  <c r="I1472" i="2" a="1"/>
  <c r="I1472" i="2" s="1"/>
  <c r="I1473" i="2" a="1"/>
  <c r="I1473" i="2" s="1"/>
  <c r="I1474" i="2" a="1"/>
  <c r="I1474" i="2" s="1"/>
  <c r="I1475" i="2" a="1"/>
  <c r="I1475" i="2" s="1"/>
  <c r="I1476" i="2" a="1"/>
  <c r="I1476" i="2" s="1"/>
  <c r="I1477" i="2" a="1"/>
  <c r="I1477" i="2" s="1"/>
  <c r="I1478" i="2" a="1"/>
  <c r="I1478" i="2" s="1"/>
  <c r="I1479" i="2" a="1"/>
  <c r="I1479" i="2" s="1"/>
  <c r="I1480" i="2" a="1"/>
  <c r="I1480" i="2" s="1"/>
  <c r="I1481" i="2" a="1"/>
  <c r="I1481" i="2" s="1"/>
  <c r="I1482" i="2" a="1"/>
  <c r="I1482" i="2" s="1"/>
  <c r="I1483" i="2" a="1"/>
  <c r="I1483" i="2" s="1"/>
  <c r="I1484" i="2" a="1"/>
  <c r="I1484" i="2" s="1"/>
  <c r="I1485" i="2" a="1"/>
  <c r="I1485" i="2" s="1"/>
  <c r="I1486" i="2" a="1"/>
  <c r="I1486" i="2" s="1"/>
  <c r="I1487" i="2" a="1"/>
  <c r="I1487" i="2" s="1"/>
  <c r="I1488" i="2" a="1"/>
  <c r="I1488" i="2" s="1"/>
  <c r="I1489" i="2" a="1"/>
  <c r="I1489" i="2" s="1"/>
  <c r="I1490" i="2" a="1"/>
  <c r="I1490" i="2" s="1"/>
  <c r="I1491" i="2" a="1"/>
  <c r="I1491" i="2" s="1"/>
  <c r="I1492" i="2" a="1"/>
  <c r="I1492" i="2" s="1"/>
  <c r="I1493" i="2" a="1"/>
  <c r="I1493" i="2" s="1"/>
  <c r="I1494" i="2" a="1"/>
  <c r="I1494" i="2" s="1"/>
  <c r="I1495" i="2" a="1"/>
  <c r="I1495" i="2" s="1"/>
  <c r="I1496" i="2" a="1"/>
  <c r="I1496" i="2" s="1"/>
  <c r="I1497" i="2" a="1"/>
  <c r="I1497" i="2" s="1"/>
  <c r="I1498" i="2" a="1"/>
  <c r="I1498" i="2" s="1"/>
  <c r="I1499" i="2" a="1"/>
  <c r="I1499" i="2" s="1"/>
  <c r="I1500" i="2" a="1"/>
  <c r="I1500" i="2" s="1"/>
  <c r="I1501" i="2" a="1"/>
  <c r="I1501" i="2" s="1"/>
  <c r="H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H529" i="2"/>
  <c r="H530" i="2"/>
  <c r="H531" i="2"/>
  <c r="H532" i="2"/>
  <c r="H533" i="2"/>
  <c r="H534" i="2"/>
  <c r="H535" i="2"/>
  <c r="H536" i="2"/>
  <c r="H537" i="2"/>
  <c r="H538" i="2"/>
  <c r="H539" i="2"/>
  <c r="H540" i="2"/>
  <c r="H541" i="2"/>
  <c r="H542" i="2"/>
  <c r="H543" i="2"/>
  <c r="H544" i="2"/>
  <c r="H545" i="2"/>
  <c r="H546" i="2"/>
  <c r="H547" i="2"/>
  <c r="H548" i="2"/>
  <c r="H549" i="2"/>
  <c r="H550" i="2"/>
  <c r="H551" i="2"/>
  <c r="H552" i="2"/>
  <c r="H553" i="2"/>
  <c r="H554" i="2"/>
  <c r="H555" i="2"/>
  <c r="H556" i="2"/>
  <c r="H557" i="2"/>
  <c r="H558" i="2"/>
  <c r="H559" i="2"/>
  <c r="H560" i="2"/>
  <c r="H561" i="2"/>
  <c r="H562" i="2"/>
  <c r="H563" i="2"/>
  <c r="H564" i="2"/>
  <c r="H565" i="2"/>
  <c r="H566" i="2"/>
  <c r="H567" i="2"/>
  <c r="H568" i="2"/>
  <c r="H569" i="2"/>
  <c r="H570" i="2"/>
  <c r="H571" i="2"/>
  <c r="H572" i="2"/>
  <c r="H573" i="2"/>
  <c r="H574" i="2"/>
  <c r="H575" i="2"/>
  <c r="H576" i="2"/>
  <c r="H577" i="2"/>
  <c r="H578" i="2"/>
  <c r="H579" i="2"/>
  <c r="H580" i="2"/>
  <c r="H581" i="2"/>
  <c r="H582" i="2"/>
  <c r="H583" i="2"/>
  <c r="H584" i="2"/>
  <c r="H585" i="2"/>
  <c r="H586" i="2"/>
  <c r="H587" i="2"/>
  <c r="H588" i="2"/>
  <c r="H589" i="2"/>
  <c r="H590" i="2"/>
  <c r="H591" i="2"/>
  <c r="H592" i="2"/>
  <c r="H593" i="2"/>
  <c r="H594" i="2"/>
  <c r="H595" i="2"/>
  <c r="H596" i="2"/>
  <c r="H597" i="2"/>
  <c r="H598" i="2"/>
  <c r="H599" i="2"/>
  <c r="H600" i="2"/>
  <c r="H601" i="2"/>
  <c r="H602" i="2"/>
  <c r="H603" i="2"/>
  <c r="H604" i="2"/>
  <c r="H605" i="2"/>
  <c r="H606" i="2"/>
  <c r="H607" i="2"/>
  <c r="H608" i="2"/>
  <c r="H609" i="2"/>
  <c r="H610" i="2"/>
  <c r="H611" i="2"/>
  <c r="H612" i="2"/>
  <c r="H613" i="2"/>
  <c r="H614" i="2"/>
  <c r="H615" i="2"/>
  <c r="H616" i="2"/>
  <c r="H617" i="2"/>
  <c r="H618" i="2"/>
  <c r="H619" i="2"/>
  <c r="H620" i="2"/>
  <c r="H621" i="2"/>
  <c r="H622" i="2"/>
  <c r="H623" i="2"/>
  <c r="H624" i="2"/>
  <c r="H625" i="2"/>
  <c r="H626" i="2"/>
  <c r="H627" i="2"/>
  <c r="H628" i="2"/>
  <c r="H629" i="2"/>
  <c r="H630" i="2"/>
  <c r="H631" i="2"/>
  <c r="H632" i="2"/>
  <c r="H633" i="2"/>
  <c r="H634" i="2"/>
  <c r="H635" i="2"/>
  <c r="H636" i="2"/>
  <c r="H637" i="2"/>
  <c r="H638" i="2"/>
  <c r="H639" i="2"/>
  <c r="H640" i="2"/>
  <c r="H641" i="2"/>
  <c r="H642" i="2"/>
  <c r="H643" i="2"/>
  <c r="H644" i="2"/>
  <c r="H645" i="2"/>
  <c r="H646" i="2"/>
  <c r="H647" i="2"/>
  <c r="H648" i="2"/>
  <c r="H649" i="2"/>
  <c r="H650" i="2"/>
  <c r="H651" i="2"/>
  <c r="H652" i="2"/>
  <c r="H653" i="2"/>
  <c r="H654" i="2"/>
  <c r="H655" i="2"/>
  <c r="H656" i="2"/>
  <c r="H657" i="2"/>
  <c r="H658" i="2"/>
  <c r="H659" i="2"/>
  <c r="H660" i="2"/>
  <c r="H661" i="2"/>
  <c r="H662" i="2"/>
  <c r="H663" i="2"/>
  <c r="H664" i="2"/>
  <c r="H665" i="2"/>
  <c r="H666" i="2"/>
  <c r="H667" i="2"/>
  <c r="H668" i="2"/>
  <c r="H669" i="2"/>
  <c r="H670" i="2"/>
  <c r="H671" i="2"/>
  <c r="H672" i="2"/>
  <c r="H673" i="2"/>
  <c r="H674" i="2"/>
  <c r="H675" i="2"/>
  <c r="H676" i="2"/>
  <c r="H677" i="2"/>
  <c r="H678" i="2"/>
  <c r="H679" i="2"/>
  <c r="H680" i="2"/>
  <c r="H681" i="2"/>
  <c r="H682" i="2"/>
  <c r="H683" i="2"/>
  <c r="H684" i="2"/>
  <c r="H685" i="2"/>
  <c r="H686" i="2"/>
  <c r="H687" i="2"/>
  <c r="H688" i="2"/>
  <c r="H689" i="2"/>
  <c r="H690" i="2"/>
  <c r="H691" i="2"/>
  <c r="H692" i="2"/>
  <c r="H693" i="2"/>
  <c r="H694" i="2"/>
  <c r="H695" i="2"/>
  <c r="H696" i="2"/>
  <c r="H697" i="2"/>
  <c r="H698" i="2"/>
  <c r="H699" i="2"/>
  <c r="H700" i="2"/>
  <c r="H701" i="2"/>
  <c r="H702" i="2"/>
  <c r="H703" i="2"/>
  <c r="H704" i="2"/>
  <c r="H705" i="2"/>
  <c r="H706" i="2"/>
  <c r="H707" i="2"/>
  <c r="H708" i="2"/>
  <c r="H709" i="2"/>
  <c r="H710" i="2"/>
  <c r="H711" i="2"/>
  <c r="H712" i="2"/>
  <c r="H713" i="2"/>
  <c r="H714" i="2"/>
  <c r="H715" i="2"/>
  <c r="H716" i="2"/>
  <c r="H717" i="2"/>
  <c r="H718" i="2"/>
  <c r="H719" i="2"/>
  <c r="H720" i="2"/>
  <c r="H721" i="2"/>
  <c r="H722" i="2"/>
  <c r="H723" i="2"/>
  <c r="H724" i="2"/>
  <c r="H725" i="2"/>
  <c r="H726" i="2"/>
  <c r="H727" i="2"/>
  <c r="H728" i="2"/>
  <c r="H729" i="2"/>
  <c r="H730" i="2"/>
  <c r="H731" i="2"/>
  <c r="H732" i="2"/>
  <c r="H733" i="2"/>
  <c r="H734" i="2"/>
  <c r="H735" i="2"/>
  <c r="H736" i="2"/>
  <c r="H737" i="2"/>
  <c r="H738" i="2"/>
  <c r="H739" i="2"/>
  <c r="H740" i="2"/>
  <c r="H741" i="2"/>
  <c r="H742" i="2"/>
  <c r="H743" i="2"/>
  <c r="H744" i="2"/>
  <c r="H745" i="2"/>
  <c r="H746" i="2"/>
  <c r="H747" i="2"/>
  <c r="H748" i="2"/>
  <c r="H749" i="2"/>
  <c r="H750" i="2"/>
  <c r="H751" i="2"/>
  <c r="H752" i="2"/>
  <c r="H753" i="2"/>
  <c r="H754" i="2"/>
  <c r="H755" i="2"/>
  <c r="H756" i="2"/>
  <c r="H757" i="2"/>
  <c r="H758" i="2"/>
  <c r="H759" i="2"/>
  <c r="H760" i="2"/>
  <c r="H761" i="2"/>
  <c r="H762" i="2"/>
  <c r="H763" i="2"/>
  <c r="H764" i="2"/>
  <c r="H765" i="2"/>
  <c r="H766" i="2"/>
  <c r="H767" i="2"/>
  <c r="H768" i="2"/>
  <c r="H769" i="2"/>
  <c r="H770" i="2"/>
  <c r="H771" i="2"/>
  <c r="H772" i="2"/>
  <c r="H773" i="2"/>
  <c r="H774" i="2"/>
  <c r="H775" i="2"/>
  <c r="H776" i="2"/>
  <c r="H777" i="2"/>
  <c r="H778" i="2"/>
  <c r="H779" i="2"/>
  <c r="H780" i="2"/>
  <c r="H781" i="2"/>
  <c r="H782" i="2"/>
  <c r="H783" i="2"/>
  <c r="H784" i="2"/>
  <c r="H785" i="2"/>
  <c r="H786" i="2"/>
  <c r="H787" i="2"/>
  <c r="H788" i="2"/>
  <c r="H789" i="2"/>
  <c r="H790" i="2"/>
  <c r="H791" i="2"/>
  <c r="H792" i="2"/>
  <c r="H793" i="2"/>
  <c r="H794" i="2"/>
  <c r="H795" i="2"/>
  <c r="H796" i="2"/>
  <c r="H797" i="2"/>
  <c r="H798" i="2"/>
  <c r="H799" i="2"/>
  <c r="H800" i="2"/>
  <c r="H801" i="2"/>
  <c r="H802" i="2"/>
  <c r="H803" i="2"/>
  <c r="H804" i="2"/>
  <c r="H805" i="2"/>
  <c r="H806" i="2"/>
  <c r="H807" i="2"/>
  <c r="H808" i="2"/>
  <c r="H809" i="2"/>
  <c r="H810" i="2"/>
  <c r="H811" i="2"/>
  <c r="H812" i="2"/>
  <c r="H813" i="2"/>
  <c r="H814" i="2"/>
  <c r="H815" i="2"/>
  <c r="H816" i="2"/>
  <c r="H817" i="2"/>
  <c r="H818" i="2"/>
  <c r="H819" i="2"/>
  <c r="H820" i="2"/>
  <c r="H821" i="2"/>
  <c r="H822" i="2"/>
  <c r="H823" i="2"/>
  <c r="H824" i="2"/>
  <c r="H825" i="2"/>
  <c r="H826" i="2"/>
  <c r="H827" i="2"/>
  <c r="H828" i="2"/>
  <c r="H829" i="2"/>
  <c r="H830" i="2"/>
  <c r="H831" i="2"/>
  <c r="H832" i="2"/>
  <c r="H833" i="2"/>
  <c r="H834" i="2"/>
  <c r="H835" i="2"/>
  <c r="H836" i="2"/>
  <c r="H837" i="2"/>
  <c r="H838" i="2"/>
  <c r="H839" i="2"/>
  <c r="H840" i="2"/>
  <c r="H841" i="2"/>
  <c r="H842" i="2"/>
  <c r="H843" i="2"/>
  <c r="H844" i="2"/>
  <c r="H845" i="2"/>
  <c r="H846" i="2"/>
  <c r="H847" i="2"/>
  <c r="H848" i="2"/>
  <c r="H849" i="2"/>
  <c r="H850" i="2"/>
  <c r="H851" i="2"/>
  <c r="H852" i="2"/>
  <c r="H853" i="2"/>
  <c r="H854" i="2"/>
  <c r="H855" i="2"/>
  <c r="H856" i="2"/>
  <c r="H857" i="2"/>
  <c r="H858" i="2"/>
  <c r="H859" i="2"/>
  <c r="H860" i="2"/>
  <c r="H861" i="2"/>
  <c r="H862" i="2"/>
  <c r="H863" i="2"/>
  <c r="H864" i="2"/>
  <c r="H865" i="2"/>
  <c r="H866" i="2"/>
  <c r="H867" i="2"/>
  <c r="H868" i="2"/>
  <c r="H869" i="2"/>
  <c r="H870" i="2"/>
  <c r="H871" i="2"/>
  <c r="H872" i="2"/>
  <c r="H873" i="2"/>
  <c r="H874" i="2"/>
  <c r="H875" i="2"/>
  <c r="H876" i="2"/>
  <c r="H877" i="2"/>
  <c r="H878" i="2"/>
  <c r="H879" i="2"/>
  <c r="H880" i="2"/>
  <c r="H881" i="2"/>
  <c r="H882" i="2"/>
  <c r="H883" i="2"/>
  <c r="H884" i="2"/>
  <c r="H885" i="2"/>
  <c r="H886" i="2"/>
  <c r="H887" i="2"/>
  <c r="H888" i="2"/>
  <c r="H889" i="2"/>
  <c r="H890" i="2"/>
  <c r="H891" i="2"/>
  <c r="H892" i="2"/>
  <c r="H893" i="2"/>
  <c r="H894" i="2"/>
  <c r="H895" i="2"/>
  <c r="H896" i="2"/>
  <c r="H897" i="2"/>
  <c r="H898" i="2"/>
  <c r="H899" i="2"/>
  <c r="H900" i="2"/>
  <c r="H901" i="2"/>
  <c r="H902" i="2"/>
  <c r="H903" i="2"/>
  <c r="H904" i="2"/>
  <c r="H905" i="2"/>
  <c r="H906" i="2"/>
  <c r="H907" i="2"/>
  <c r="H908" i="2"/>
  <c r="H909" i="2"/>
  <c r="H910" i="2"/>
  <c r="H911" i="2"/>
  <c r="H912" i="2"/>
  <c r="H913" i="2"/>
  <c r="H914" i="2"/>
  <c r="H915" i="2"/>
  <c r="H916" i="2"/>
  <c r="H917" i="2"/>
  <c r="H918" i="2"/>
  <c r="H919" i="2"/>
  <c r="H920" i="2"/>
  <c r="H921" i="2"/>
  <c r="H922" i="2"/>
  <c r="H923" i="2"/>
  <c r="H924" i="2"/>
  <c r="H925" i="2"/>
  <c r="H926" i="2"/>
  <c r="H927" i="2"/>
  <c r="H928" i="2"/>
  <c r="H929" i="2"/>
  <c r="H930" i="2"/>
  <c r="H931" i="2"/>
  <c r="H932" i="2"/>
  <c r="H933" i="2"/>
  <c r="H934" i="2"/>
  <c r="H935" i="2"/>
  <c r="H936" i="2"/>
  <c r="H937" i="2"/>
  <c r="H938" i="2"/>
  <c r="H939" i="2"/>
  <c r="H940" i="2"/>
  <c r="H941" i="2"/>
  <c r="H942" i="2"/>
  <c r="H943" i="2"/>
  <c r="H944" i="2"/>
  <c r="H945" i="2"/>
  <c r="H946" i="2"/>
  <c r="H947" i="2"/>
  <c r="H948" i="2"/>
  <c r="H949" i="2"/>
  <c r="H950" i="2"/>
  <c r="H951" i="2"/>
  <c r="H952" i="2"/>
  <c r="H953" i="2"/>
  <c r="H954" i="2"/>
  <c r="H955" i="2"/>
  <c r="H956" i="2"/>
  <c r="H957" i="2"/>
  <c r="H958" i="2"/>
  <c r="H959" i="2"/>
  <c r="H960" i="2"/>
  <c r="H961" i="2"/>
  <c r="H962" i="2"/>
  <c r="H963" i="2"/>
  <c r="H964" i="2"/>
  <c r="H965" i="2"/>
  <c r="H966" i="2"/>
  <c r="H967" i="2"/>
  <c r="H968" i="2"/>
  <c r="H969" i="2"/>
  <c r="H970" i="2"/>
  <c r="H971" i="2"/>
  <c r="H972" i="2"/>
  <c r="H973" i="2"/>
  <c r="H974" i="2"/>
  <c r="H975" i="2"/>
  <c r="H976" i="2"/>
  <c r="H977" i="2"/>
  <c r="H978" i="2"/>
  <c r="H979" i="2"/>
  <c r="H980" i="2"/>
  <c r="H981" i="2"/>
  <c r="H982" i="2"/>
  <c r="H983" i="2"/>
  <c r="H984" i="2"/>
  <c r="H985" i="2"/>
  <c r="H986" i="2"/>
  <c r="H987" i="2"/>
  <c r="H988" i="2"/>
  <c r="H989" i="2"/>
  <c r="H990" i="2"/>
  <c r="H991" i="2"/>
  <c r="H992" i="2"/>
  <c r="H993" i="2"/>
  <c r="H994" i="2"/>
  <c r="H995" i="2"/>
  <c r="H996" i="2"/>
  <c r="H997" i="2"/>
  <c r="H998" i="2"/>
  <c r="H999" i="2"/>
  <c r="H1000" i="2"/>
  <c r="H1001" i="2"/>
  <c r="H1002" i="2"/>
  <c r="H1003" i="2"/>
  <c r="H1004" i="2"/>
  <c r="H1005" i="2"/>
  <c r="H1006" i="2"/>
  <c r="H1007" i="2"/>
  <c r="H1008" i="2"/>
  <c r="H1009" i="2"/>
  <c r="H1010" i="2"/>
  <c r="H1011" i="2"/>
  <c r="H1012" i="2"/>
  <c r="H1013" i="2"/>
  <c r="H1014" i="2"/>
  <c r="H1015" i="2"/>
  <c r="H1016" i="2"/>
  <c r="H1017" i="2"/>
  <c r="H1018" i="2"/>
  <c r="H1019" i="2"/>
  <c r="H1020" i="2"/>
  <c r="H1021" i="2"/>
  <c r="H1022" i="2"/>
  <c r="H1023" i="2"/>
  <c r="H1024" i="2"/>
  <c r="H1025" i="2"/>
  <c r="H1026" i="2"/>
  <c r="H1027" i="2"/>
  <c r="H1028" i="2"/>
  <c r="H1029" i="2"/>
  <c r="H1030" i="2"/>
  <c r="H1031" i="2"/>
  <c r="H1032" i="2"/>
  <c r="H1033" i="2"/>
  <c r="H1034" i="2"/>
  <c r="H1035" i="2"/>
  <c r="H1036" i="2"/>
  <c r="H1037" i="2"/>
  <c r="H1038" i="2"/>
  <c r="H1039" i="2"/>
  <c r="H1040" i="2"/>
  <c r="H1041" i="2"/>
  <c r="H1042" i="2"/>
  <c r="H1043" i="2"/>
  <c r="H1044" i="2"/>
  <c r="H1045" i="2"/>
  <c r="H1046" i="2"/>
  <c r="H1047" i="2"/>
  <c r="H1048" i="2"/>
  <c r="H1049" i="2"/>
  <c r="H1050" i="2"/>
  <c r="H1051" i="2"/>
  <c r="H1052" i="2"/>
  <c r="H1053" i="2"/>
  <c r="H1054" i="2"/>
  <c r="H1055" i="2"/>
  <c r="H1056" i="2"/>
  <c r="H1057" i="2"/>
  <c r="H1058" i="2"/>
  <c r="H1059" i="2"/>
  <c r="H1060" i="2"/>
  <c r="H1061" i="2"/>
  <c r="H1062" i="2"/>
  <c r="H1063" i="2"/>
  <c r="H1064" i="2"/>
  <c r="H1065" i="2"/>
  <c r="H1066" i="2"/>
  <c r="H1067" i="2"/>
  <c r="H1068" i="2"/>
  <c r="H1069" i="2"/>
  <c r="H1070" i="2"/>
  <c r="H1071" i="2"/>
  <c r="H1072" i="2"/>
  <c r="H1073" i="2"/>
  <c r="H1074" i="2"/>
  <c r="H1075" i="2"/>
  <c r="H1076" i="2"/>
  <c r="H1077" i="2"/>
  <c r="H1078" i="2"/>
  <c r="H1079" i="2"/>
  <c r="H1080" i="2"/>
  <c r="H1081" i="2"/>
  <c r="H1082" i="2"/>
  <c r="H1083" i="2"/>
  <c r="H1084" i="2"/>
  <c r="H1085" i="2"/>
  <c r="H1086" i="2"/>
  <c r="H1087" i="2"/>
  <c r="H1088" i="2"/>
  <c r="H1089" i="2"/>
  <c r="H1090" i="2"/>
  <c r="H1091" i="2"/>
  <c r="H1092" i="2"/>
  <c r="H1093" i="2"/>
  <c r="H1094" i="2"/>
  <c r="H1095" i="2"/>
  <c r="H1096" i="2"/>
  <c r="H1097" i="2"/>
  <c r="H1098" i="2"/>
  <c r="H1099" i="2"/>
  <c r="H1100" i="2"/>
  <c r="H1101" i="2"/>
  <c r="H1102" i="2"/>
  <c r="H1103" i="2"/>
  <c r="H1104" i="2"/>
  <c r="H1105" i="2"/>
  <c r="H1106" i="2"/>
  <c r="H1107" i="2"/>
  <c r="H1108" i="2"/>
  <c r="H1109" i="2"/>
  <c r="H1110" i="2"/>
  <c r="H1111" i="2"/>
  <c r="H1112" i="2"/>
  <c r="H1113" i="2"/>
  <c r="H1114" i="2"/>
  <c r="H1115" i="2"/>
  <c r="H1116" i="2"/>
  <c r="H1117" i="2"/>
  <c r="H1118" i="2"/>
  <c r="H1119" i="2"/>
  <c r="H1120" i="2"/>
  <c r="H1121" i="2"/>
  <c r="H1122" i="2"/>
  <c r="H1123" i="2"/>
  <c r="H1124" i="2"/>
  <c r="H1125" i="2"/>
  <c r="H1126" i="2"/>
  <c r="H1127" i="2"/>
  <c r="H1128" i="2"/>
  <c r="H1129" i="2"/>
  <c r="H1130" i="2"/>
  <c r="H1131" i="2"/>
  <c r="H1132" i="2"/>
  <c r="H1133" i="2"/>
  <c r="H1134" i="2"/>
  <c r="H1135" i="2"/>
  <c r="H1136" i="2"/>
  <c r="H1137" i="2"/>
  <c r="H1138" i="2"/>
  <c r="H1139" i="2"/>
  <c r="H1140" i="2"/>
  <c r="H1141" i="2"/>
  <c r="H1142" i="2"/>
  <c r="H1143" i="2"/>
  <c r="H1144" i="2"/>
  <c r="H1145" i="2"/>
  <c r="H1146" i="2"/>
  <c r="H1147" i="2"/>
  <c r="H1148" i="2"/>
  <c r="H1149" i="2"/>
  <c r="H1150" i="2"/>
  <c r="H1151" i="2"/>
  <c r="H1152" i="2"/>
  <c r="H1153" i="2"/>
  <c r="H1154" i="2"/>
  <c r="H1155" i="2"/>
  <c r="H1156" i="2"/>
  <c r="H1157" i="2"/>
  <c r="H1158" i="2"/>
  <c r="H1159" i="2"/>
  <c r="H1160" i="2"/>
  <c r="H1161" i="2"/>
  <c r="H1162" i="2"/>
  <c r="H1163" i="2"/>
  <c r="H1164" i="2"/>
  <c r="H1165" i="2"/>
  <c r="H1166" i="2"/>
  <c r="H1167" i="2"/>
  <c r="H1168" i="2"/>
  <c r="H1169" i="2"/>
  <c r="H1170" i="2"/>
  <c r="H1171" i="2"/>
  <c r="H1172" i="2"/>
  <c r="H1173" i="2"/>
  <c r="H1174" i="2"/>
  <c r="H1175" i="2"/>
  <c r="H1176" i="2"/>
  <c r="H1177" i="2"/>
  <c r="H1178" i="2"/>
  <c r="H1179" i="2"/>
  <c r="H1180" i="2"/>
  <c r="H1181" i="2"/>
  <c r="H1182" i="2"/>
  <c r="H1183" i="2"/>
  <c r="H1184" i="2"/>
  <c r="H1185" i="2"/>
  <c r="H1186" i="2"/>
  <c r="H1187" i="2"/>
  <c r="H1188" i="2"/>
  <c r="H1189" i="2"/>
  <c r="H1190" i="2"/>
  <c r="H1191" i="2"/>
  <c r="H1192" i="2"/>
  <c r="H1193" i="2"/>
  <c r="H1194" i="2"/>
  <c r="H1195" i="2"/>
  <c r="H1196" i="2"/>
  <c r="H1197" i="2"/>
  <c r="H1198" i="2"/>
  <c r="H1199" i="2"/>
  <c r="H1200" i="2"/>
  <c r="H1201" i="2"/>
  <c r="H1202" i="2"/>
  <c r="H1203" i="2"/>
  <c r="H1204" i="2"/>
  <c r="H1205" i="2"/>
  <c r="H1206" i="2"/>
  <c r="H1207" i="2"/>
  <c r="H1208" i="2"/>
  <c r="H1209" i="2"/>
  <c r="H1210" i="2"/>
  <c r="H1211" i="2"/>
  <c r="H1212" i="2"/>
  <c r="H1213" i="2"/>
  <c r="H1214" i="2"/>
  <c r="H1215" i="2"/>
  <c r="H1216" i="2"/>
  <c r="H1217" i="2"/>
  <c r="H1218" i="2"/>
  <c r="H1219" i="2"/>
  <c r="H1220" i="2"/>
  <c r="H1221" i="2"/>
  <c r="H1222" i="2"/>
  <c r="H1223" i="2"/>
  <c r="H1224" i="2"/>
  <c r="H1225" i="2"/>
  <c r="H1226" i="2"/>
  <c r="H1227" i="2"/>
  <c r="H1228" i="2"/>
  <c r="H1229" i="2"/>
  <c r="H1230" i="2"/>
  <c r="H1231" i="2"/>
  <c r="H1232" i="2"/>
  <c r="H1233" i="2"/>
  <c r="H1234" i="2"/>
  <c r="H1235" i="2"/>
  <c r="H1236" i="2"/>
  <c r="H1237" i="2"/>
  <c r="H1238" i="2"/>
  <c r="H1239" i="2"/>
  <c r="H1240" i="2"/>
  <c r="H1241" i="2"/>
  <c r="H1242" i="2"/>
  <c r="H1243" i="2"/>
  <c r="H1244" i="2"/>
  <c r="H1245" i="2"/>
  <c r="H1246" i="2"/>
  <c r="H1247" i="2"/>
  <c r="H1248" i="2"/>
  <c r="H1249" i="2"/>
  <c r="H1250" i="2"/>
  <c r="H1251" i="2"/>
  <c r="H1252" i="2"/>
  <c r="H1253" i="2"/>
  <c r="H1254" i="2"/>
  <c r="H1255" i="2"/>
  <c r="H1256" i="2"/>
  <c r="H1257" i="2"/>
  <c r="H1258" i="2"/>
  <c r="H1259" i="2"/>
  <c r="H1260" i="2"/>
  <c r="H1261" i="2"/>
  <c r="H1262" i="2"/>
  <c r="H1263" i="2"/>
  <c r="H1264" i="2"/>
  <c r="H1265" i="2"/>
  <c r="H1266" i="2"/>
  <c r="H1267" i="2"/>
  <c r="H1268" i="2"/>
  <c r="H1269" i="2"/>
  <c r="H1270" i="2"/>
  <c r="H1271" i="2"/>
  <c r="H1272" i="2"/>
  <c r="H1273" i="2"/>
  <c r="H1274" i="2"/>
  <c r="H1275" i="2"/>
  <c r="H1276" i="2"/>
  <c r="H1277" i="2"/>
  <c r="H1278" i="2"/>
  <c r="H1279" i="2"/>
  <c r="H1280" i="2"/>
  <c r="H1281" i="2"/>
  <c r="H1282" i="2"/>
  <c r="H1283" i="2"/>
  <c r="H1284" i="2"/>
  <c r="H1285" i="2"/>
  <c r="H1286" i="2"/>
  <c r="H1287" i="2"/>
  <c r="H1288" i="2"/>
  <c r="H1289" i="2"/>
  <c r="H1290" i="2"/>
  <c r="H1291" i="2"/>
  <c r="H1292" i="2"/>
  <c r="H1293" i="2"/>
  <c r="H1294" i="2"/>
  <c r="H1295" i="2"/>
  <c r="H1296" i="2"/>
  <c r="H1297" i="2"/>
  <c r="H1298" i="2"/>
  <c r="H1299" i="2"/>
  <c r="H1300" i="2"/>
  <c r="H1301" i="2"/>
  <c r="H1302" i="2"/>
  <c r="H1303" i="2"/>
  <c r="H1304" i="2"/>
  <c r="H1305" i="2"/>
  <c r="H1306" i="2"/>
  <c r="H1307" i="2"/>
  <c r="H1308" i="2"/>
  <c r="H1309" i="2"/>
  <c r="H1310" i="2"/>
  <c r="H1311" i="2"/>
  <c r="H1312" i="2"/>
  <c r="H1313" i="2"/>
  <c r="H1314" i="2"/>
  <c r="H1315" i="2"/>
  <c r="H1316" i="2"/>
  <c r="H1317" i="2"/>
  <c r="H1318" i="2"/>
  <c r="H1319" i="2"/>
  <c r="H1320" i="2"/>
  <c r="H1321" i="2"/>
  <c r="H1322" i="2"/>
  <c r="H1323" i="2"/>
  <c r="H1324" i="2"/>
  <c r="H1325" i="2"/>
  <c r="H1326" i="2"/>
  <c r="H1327" i="2"/>
  <c r="H1328" i="2"/>
  <c r="H1329" i="2"/>
  <c r="H1330" i="2"/>
  <c r="H1331" i="2"/>
  <c r="H1332" i="2"/>
  <c r="H1333" i="2"/>
  <c r="H1334" i="2"/>
  <c r="H1335" i="2"/>
  <c r="H1336" i="2"/>
  <c r="H1337" i="2"/>
  <c r="H1338" i="2"/>
  <c r="H1339" i="2"/>
  <c r="H1340" i="2"/>
  <c r="H1341" i="2"/>
  <c r="H1342" i="2"/>
  <c r="H1343" i="2"/>
  <c r="H1344" i="2"/>
  <c r="H1345" i="2"/>
  <c r="H1346" i="2"/>
  <c r="H1347" i="2"/>
  <c r="H1348" i="2"/>
  <c r="H1349" i="2"/>
  <c r="H1350" i="2"/>
  <c r="H1351" i="2"/>
  <c r="H1352" i="2"/>
  <c r="H1353" i="2"/>
  <c r="H1354" i="2"/>
  <c r="H1355" i="2"/>
  <c r="H1356" i="2"/>
  <c r="H1357" i="2"/>
  <c r="H1358" i="2"/>
  <c r="H1359" i="2"/>
  <c r="H1360" i="2"/>
  <c r="H1361" i="2"/>
  <c r="H1362" i="2"/>
  <c r="H1363" i="2"/>
  <c r="H1364" i="2"/>
  <c r="H1365" i="2"/>
  <c r="H1366" i="2"/>
  <c r="H1367" i="2"/>
  <c r="H1368" i="2"/>
  <c r="H1369" i="2"/>
  <c r="H1370" i="2"/>
  <c r="H1371" i="2"/>
  <c r="H1372" i="2"/>
  <c r="H1373" i="2"/>
  <c r="H1374" i="2"/>
  <c r="H1375" i="2"/>
  <c r="H1376" i="2"/>
  <c r="H1377" i="2"/>
  <c r="H1378" i="2"/>
  <c r="H1379" i="2"/>
  <c r="H1380" i="2"/>
  <c r="H1381" i="2"/>
  <c r="H1382" i="2"/>
  <c r="H1383" i="2"/>
  <c r="H1384" i="2"/>
  <c r="H1385" i="2"/>
  <c r="H1386" i="2"/>
  <c r="H1387" i="2"/>
  <c r="H1388" i="2"/>
  <c r="H1389" i="2"/>
  <c r="H1390" i="2"/>
  <c r="H1391" i="2"/>
  <c r="H1392" i="2"/>
  <c r="H1393" i="2"/>
  <c r="H1394" i="2"/>
  <c r="H1395" i="2"/>
  <c r="H1396" i="2"/>
  <c r="H1397" i="2"/>
  <c r="H1398" i="2"/>
  <c r="H1399" i="2"/>
  <c r="H1400" i="2"/>
  <c r="H1401" i="2"/>
  <c r="H1402" i="2"/>
  <c r="H1403" i="2"/>
  <c r="H1404" i="2"/>
  <c r="H1405" i="2"/>
  <c r="H1406" i="2"/>
  <c r="H1407" i="2"/>
  <c r="H1408" i="2"/>
  <c r="H1409" i="2"/>
  <c r="H1410" i="2"/>
  <c r="H1411" i="2"/>
  <c r="H1412" i="2"/>
  <c r="H1413" i="2"/>
  <c r="H1414" i="2"/>
  <c r="H1415" i="2"/>
  <c r="H1416" i="2"/>
  <c r="H1417" i="2"/>
  <c r="H1418" i="2"/>
  <c r="H1419" i="2"/>
  <c r="H1420" i="2"/>
  <c r="H1421" i="2"/>
  <c r="H1422" i="2"/>
  <c r="H1423" i="2"/>
  <c r="H1424" i="2"/>
  <c r="H1425" i="2"/>
  <c r="H1426" i="2"/>
  <c r="H1427" i="2"/>
  <c r="H1428" i="2"/>
  <c r="H1429" i="2"/>
  <c r="H1430" i="2"/>
  <c r="H1431" i="2"/>
  <c r="H1432" i="2"/>
  <c r="H1433" i="2"/>
  <c r="H1434" i="2"/>
  <c r="H1435" i="2"/>
  <c r="H1436" i="2"/>
  <c r="H1437" i="2"/>
  <c r="H1438" i="2"/>
  <c r="H1439" i="2"/>
  <c r="H1440" i="2"/>
  <c r="H1441" i="2"/>
  <c r="H1442" i="2"/>
  <c r="H1443" i="2"/>
  <c r="H1444" i="2"/>
  <c r="H1445" i="2"/>
  <c r="H1446" i="2"/>
  <c r="H1447" i="2"/>
  <c r="H1448" i="2"/>
  <c r="H1449" i="2"/>
  <c r="H1450" i="2"/>
  <c r="H1451" i="2"/>
  <c r="H1452" i="2"/>
  <c r="H1453" i="2"/>
  <c r="H1454" i="2"/>
  <c r="H1455" i="2"/>
  <c r="H1456" i="2"/>
  <c r="H1457" i="2"/>
  <c r="H1458" i="2"/>
  <c r="H1459" i="2"/>
  <c r="H1460" i="2"/>
  <c r="H1461" i="2"/>
  <c r="H1462" i="2"/>
  <c r="H1463" i="2"/>
  <c r="H1464" i="2"/>
  <c r="H1465" i="2"/>
  <c r="H1466" i="2"/>
  <c r="H1467" i="2"/>
  <c r="H1468" i="2"/>
  <c r="H1469" i="2"/>
  <c r="H1470" i="2"/>
  <c r="H1471" i="2"/>
  <c r="H1472" i="2"/>
  <c r="H1473" i="2"/>
  <c r="H1474" i="2"/>
  <c r="H1475" i="2"/>
  <c r="H1476" i="2"/>
  <c r="H1477" i="2"/>
  <c r="H1478" i="2"/>
  <c r="H1479" i="2"/>
  <c r="H1480" i="2"/>
  <c r="H1481" i="2"/>
  <c r="H1482" i="2"/>
  <c r="H1483" i="2"/>
  <c r="H1484" i="2"/>
  <c r="H1485" i="2"/>
  <c r="H1486" i="2"/>
  <c r="H1487" i="2"/>
  <c r="H1488" i="2"/>
  <c r="H1489" i="2"/>
  <c r="H1490" i="2"/>
  <c r="H1491" i="2"/>
  <c r="H1492" i="2"/>
  <c r="H1493" i="2"/>
  <c r="H1494" i="2"/>
  <c r="H1495" i="2"/>
  <c r="H1496" i="2"/>
  <c r="H1497" i="2"/>
  <c r="H1498" i="2"/>
  <c r="H1499" i="2"/>
  <c r="H1500" i="2"/>
  <c r="H1501" i="2"/>
  <c r="N2" i="2" a="1"/>
  <c r="N2" i="2" s="1"/>
  <c r="O18" i="2" a="1"/>
  <c r="O18" i="2" s="1"/>
  <c r="O11" i="2" a="1"/>
  <c r="O11" i="2" s="1"/>
  <c r="O2" i="2" a="1"/>
  <c r="O2" i="2" s="1"/>
  <c r="A8" i="3"/>
  <c r="A4" i="3"/>
  <c r="I4" i="3"/>
  <c r="C4" i="3"/>
  <c r="G4" i="3"/>
  <c r="K4" i="3"/>
  <c r="E4"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<sst xmlns="http://schemas.openxmlformats.org/spreadsheetml/2006/main" count="12083" uniqueCount="558">
  <si>
    <t>order_id</t>
  </si>
  <si>
    <t>amount</t>
  </si>
  <si>
    <t>profit</t>
  </si>
  <si>
    <t>quantity</t>
  </si>
  <si>
    <t>category</t>
  </si>
  <si>
    <t>sub_category</t>
  </si>
  <si>
    <t>payment_mode</t>
  </si>
  <si>
    <t>B-25681</t>
  </si>
  <si>
    <t>Electronics</t>
  </si>
  <si>
    <t>Electronic Games</t>
  </si>
  <si>
    <t>COD</t>
  </si>
  <si>
    <t>B-26055</t>
  </si>
  <si>
    <t>Furniture</t>
  </si>
  <si>
    <t>Chairs</t>
  </si>
  <si>
    <t>EMI</t>
  </si>
  <si>
    <t>B-25955</t>
  </si>
  <si>
    <t>Bookcases</t>
  </si>
  <si>
    <t>B-26093</t>
  </si>
  <si>
    <t>Printers</t>
  </si>
  <si>
    <t>Credit Card</t>
  </si>
  <si>
    <t>B-25602</t>
  </si>
  <si>
    <t>Phones</t>
  </si>
  <si>
    <t>B-25881</t>
  </si>
  <si>
    <t>Clothing</t>
  </si>
  <si>
    <t>Trousers</t>
  </si>
  <si>
    <t>B-25696</t>
  </si>
  <si>
    <t>Saree</t>
  </si>
  <si>
    <t>B-25687</t>
  </si>
  <si>
    <t>UPI</t>
  </si>
  <si>
    <t>B-25643</t>
  </si>
  <si>
    <t>Handkerchief</t>
  </si>
  <si>
    <t>B-25851</t>
  </si>
  <si>
    <t>Kurti</t>
  </si>
  <si>
    <t>B-25703</t>
  </si>
  <si>
    <t>B-25887</t>
  </si>
  <si>
    <t>B-25923</t>
  </si>
  <si>
    <t>B-25756</t>
  </si>
  <si>
    <t>B-25761</t>
  </si>
  <si>
    <t>B-25655</t>
  </si>
  <si>
    <t>B-25786</t>
  </si>
  <si>
    <t>B-26095</t>
  </si>
  <si>
    <t>B-25853</t>
  </si>
  <si>
    <t>B-25735</t>
  </si>
  <si>
    <t>Skirt</t>
  </si>
  <si>
    <t>B-25910</t>
  </si>
  <si>
    <t>Tables</t>
  </si>
  <si>
    <t>B-25950</t>
  </si>
  <si>
    <t>B-25744</t>
  </si>
  <si>
    <t>B-25845</t>
  </si>
  <si>
    <t>B-26001</t>
  </si>
  <si>
    <t>B-25830</t>
  </si>
  <si>
    <t>B-25842</t>
  </si>
  <si>
    <t>B-25778</t>
  </si>
  <si>
    <t>B-25686</t>
  </si>
  <si>
    <t>B-25754</t>
  </si>
  <si>
    <t>B-26048</t>
  </si>
  <si>
    <t>B-25816</t>
  </si>
  <si>
    <t>Stole</t>
  </si>
  <si>
    <t>B-26022</t>
  </si>
  <si>
    <t>B-25883</t>
  </si>
  <si>
    <t>B-26003</t>
  </si>
  <si>
    <t>B-26097</t>
  </si>
  <si>
    <t>B-25710</t>
  </si>
  <si>
    <t>Leggings</t>
  </si>
  <si>
    <t>B-25797</t>
  </si>
  <si>
    <t>B-25618</t>
  </si>
  <si>
    <t>B-25723</t>
  </si>
  <si>
    <t>B-25755</t>
  </si>
  <si>
    <t>B-25788</t>
  </si>
  <si>
    <t>B-25991</t>
  </si>
  <si>
    <t>B-25779</t>
  </si>
  <si>
    <t>B-25909</t>
  </si>
  <si>
    <t>B-25943</t>
  </si>
  <si>
    <t>Accessories</t>
  </si>
  <si>
    <t>B-25935</t>
  </si>
  <si>
    <t>B-25613</t>
  </si>
  <si>
    <t>B-25729</t>
  </si>
  <si>
    <t>B-25772</t>
  </si>
  <si>
    <t>B-25640</t>
  </si>
  <si>
    <t>B-25810</t>
  </si>
  <si>
    <t>B-25801</t>
  </si>
  <si>
    <t>T-shirt</t>
  </si>
  <si>
    <t>Debit Card</t>
  </si>
  <si>
    <t>B-26085</t>
  </si>
  <si>
    <t>B-25868</t>
  </si>
  <si>
    <t>B-25714</t>
  </si>
  <si>
    <t>B-25784</t>
  </si>
  <si>
    <t>B-25608</t>
  </si>
  <si>
    <t>B-26051</t>
  </si>
  <si>
    <t>B-25900</t>
  </si>
  <si>
    <t>B-25760</t>
  </si>
  <si>
    <t>B-25762</t>
  </si>
  <si>
    <t>B-25995</t>
  </si>
  <si>
    <t>B-25965</t>
  </si>
  <si>
    <t>B-25967</t>
  </si>
  <si>
    <t>B-25674</t>
  </si>
  <si>
    <t>B-25929</t>
  </si>
  <si>
    <t>B-25777</t>
  </si>
  <si>
    <t>B-26006</t>
  </si>
  <si>
    <t>B-25697</t>
  </si>
  <si>
    <t>B-25667</t>
  </si>
  <si>
    <t>B-25836</t>
  </si>
  <si>
    <t>B-25984</t>
  </si>
  <si>
    <t>B-25728</t>
  </si>
  <si>
    <t>B-25757</t>
  </si>
  <si>
    <t>B-25957</t>
  </si>
  <si>
    <t>B-26061</t>
  </si>
  <si>
    <t>B-25616</t>
  </si>
  <si>
    <t>B-25666</t>
  </si>
  <si>
    <t>B-25675</t>
  </si>
  <si>
    <t>B-26079</t>
  </si>
  <si>
    <t>B-25850</t>
  </si>
  <si>
    <t>B-25693</t>
  </si>
  <si>
    <t>B-25852</t>
  </si>
  <si>
    <t>B-25860</t>
  </si>
  <si>
    <t>B-25898</t>
  </si>
  <si>
    <t>B-26100</t>
  </si>
  <si>
    <t>B-25653</t>
  </si>
  <si>
    <t>B-25839</t>
  </si>
  <si>
    <t>B-25651</t>
  </si>
  <si>
    <t>B-25704</t>
  </si>
  <si>
    <t>B-25730</t>
  </si>
  <si>
    <t>B-26052</t>
  </si>
  <si>
    <t>B-25656</t>
  </si>
  <si>
    <t>B-26033</t>
  </si>
  <si>
    <t>B-25945</t>
  </si>
  <si>
    <t>B-26086</t>
  </si>
  <si>
    <t>B-25752</t>
  </si>
  <si>
    <t>B-26098</t>
  </si>
  <si>
    <t>B-26067</t>
  </si>
  <si>
    <t>B-25986</t>
  </si>
  <si>
    <t>Furnishings</t>
  </si>
  <si>
    <t>B-25953</t>
  </si>
  <si>
    <t>B-25952</t>
  </si>
  <si>
    <t>B-25903</t>
  </si>
  <si>
    <t>B-25650</t>
  </si>
  <si>
    <t>B-25970</t>
  </si>
  <si>
    <t>B-26062</t>
  </si>
  <si>
    <t>B-25632</t>
  </si>
  <si>
    <t>B-25821</t>
  </si>
  <si>
    <t>B-25878</t>
  </si>
  <si>
    <t>B-25750</t>
  </si>
  <si>
    <t>Shirt</t>
  </si>
  <si>
    <t>B-25657</t>
  </si>
  <si>
    <t>B-25787</t>
  </si>
  <si>
    <t>B-25808</t>
  </si>
  <si>
    <t>B-25885</t>
  </si>
  <si>
    <t>B-25759</t>
  </si>
  <si>
    <t>B-25747</t>
  </si>
  <si>
    <t>B-25603</t>
  </si>
  <si>
    <t>B-25691</t>
  </si>
  <si>
    <t>B-25607</t>
  </si>
  <si>
    <t>B-25708</t>
  </si>
  <si>
    <t>B-26021</t>
  </si>
  <si>
    <t>B-25831</t>
  </si>
  <si>
    <t>B-25670</t>
  </si>
  <si>
    <t>B-26029</t>
  </si>
  <si>
    <t>B-25959</t>
  </si>
  <si>
    <t>B-25676</t>
  </si>
  <si>
    <t>B-25888</t>
  </si>
  <si>
    <t>B-25911</t>
  </si>
  <si>
    <t>B-25662</t>
  </si>
  <si>
    <t>B-25847</t>
  </si>
  <si>
    <t>B-25796</t>
  </si>
  <si>
    <t>B-25993</t>
  </si>
  <si>
    <t>B-25930</t>
  </si>
  <si>
    <t>B-25785</t>
  </si>
  <si>
    <t>B-26053</t>
  </si>
  <si>
    <t>B-26019</t>
  </si>
  <si>
    <t>B-26070</t>
  </si>
  <si>
    <t>B-25870</t>
  </si>
  <si>
    <t>B-25855</t>
  </si>
  <si>
    <t>B-25803</t>
  </si>
  <si>
    <t>B-25996</t>
  </si>
  <si>
    <t>B-26078</t>
  </si>
  <si>
    <t>B-25682</t>
  </si>
  <si>
    <t>B-25749</t>
  </si>
  <si>
    <t>B-25962</t>
  </si>
  <si>
    <t>B-25899</t>
  </si>
  <si>
    <t>B-25951</t>
  </si>
  <si>
    <t>B-25828</t>
  </si>
  <si>
    <t>B-25658</t>
  </si>
  <si>
    <t>B-25698</t>
  </si>
  <si>
    <t>B-25832</t>
  </si>
  <si>
    <t>B-25886</t>
  </si>
  <si>
    <t>B-25897</t>
  </si>
  <si>
    <t>B-25873</t>
  </si>
  <si>
    <t>B-25858</t>
  </si>
  <si>
    <t>B-25867</t>
  </si>
  <si>
    <t>B-25633</t>
  </si>
  <si>
    <t>B-25609</t>
  </si>
  <si>
    <t>B-25896</t>
  </si>
  <si>
    <t>B-26000</t>
  </si>
  <si>
    <t>B-25940</t>
  </si>
  <si>
    <t>B-26087</t>
  </si>
  <si>
    <t>B-25980</t>
  </si>
  <si>
    <t>B-25877</t>
  </si>
  <si>
    <t>B-25905</t>
  </si>
  <si>
    <t>B-25818</t>
  </si>
  <si>
    <t>B-25835</t>
  </si>
  <si>
    <t>B-26081</t>
  </si>
  <si>
    <t>B-25837</t>
  </si>
  <si>
    <t>B-25893</t>
  </si>
  <si>
    <t>B-25689</t>
  </si>
  <si>
    <t>B-26028</t>
  </si>
  <si>
    <t>B-25654</t>
  </si>
  <si>
    <t>B-25720</t>
  </si>
  <si>
    <t>B-26057</t>
  </si>
  <si>
    <t>B-25798</t>
  </si>
  <si>
    <t>B-25961</t>
  </si>
  <si>
    <t>B-25701</t>
  </si>
  <si>
    <t>B-26056</t>
  </si>
  <si>
    <t>B-26016</t>
  </si>
  <si>
    <t>B-25819</t>
  </si>
  <si>
    <t>B-25848</t>
  </si>
  <si>
    <t>B-25678</t>
  </si>
  <si>
    <t>B-25925</t>
  </si>
  <si>
    <t>B-25977</t>
  </si>
  <si>
    <t>B-25648</t>
  </si>
  <si>
    <t>B-25933</t>
  </si>
  <si>
    <t>B-25942</t>
  </si>
  <si>
    <t>B-25673</t>
  </si>
  <si>
    <t>B-25791</t>
  </si>
  <si>
    <t>B-25983</t>
  </si>
  <si>
    <t>B-25743</t>
  </si>
  <si>
    <t>B-25973</t>
  </si>
  <si>
    <t>B-25895</t>
  </si>
  <si>
    <t>B-25717</t>
  </si>
  <si>
    <t>B-26064</t>
  </si>
  <si>
    <t>B-25630</t>
  </si>
  <si>
    <t>B-26050</t>
  </si>
  <si>
    <t>B-26035</t>
  </si>
  <si>
    <t>B-25966</t>
  </si>
  <si>
    <t>B-26060</t>
  </si>
  <si>
    <t>B-25854</t>
  </si>
  <si>
    <t>B-25964</t>
  </si>
  <si>
    <t>B-25628</t>
  </si>
  <si>
    <t>B-25891</t>
  </si>
  <si>
    <t>B-26089</t>
  </si>
  <si>
    <t>B-25621</t>
  </si>
  <si>
    <t>B-25727</t>
  </si>
  <si>
    <t>B-25843</t>
  </si>
  <si>
    <t>B-25741</t>
  </si>
  <si>
    <t>B-26096</t>
  </si>
  <si>
    <t>B-26007</t>
  </si>
  <si>
    <t>B-26088</t>
  </si>
  <si>
    <t>B-25664</t>
  </si>
  <si>
    <t>B-25642</t>
  </si>
  <si>
    <t>B-25987</t>
  </si>
  <si>
    <t>B-25770</t>
  </si>
  <si>
    <t>B-25840</t>
  </si>
  <si>
    <t>B-25846</t>
  </si>
  <si>
    <t>B-25745</t>
  </si>
  <si>
    <t>B-26073</t>
  </si>
  <si>
    <t>B-26030</t>
  </si>
  <si>
    <t>B-25989</t>
  </si>
  <si>
    <t>B-26009</t>
  </si>
  <si>
    <t>B-25915</t>
  </si>
  <si>
    <t>B-25645</t>
  </si>
  <si>
    <t>B-25635</t>
  </si>
  <si>
    <t>B-26038</t>
  </si>
  <si>
    <t>B-26014</t>
  </si>
  <si>
    <t>B-25751</t>
  </si>
  <si>
    <t>B-26025</t>
  </si>
  <si>
    <t>B-25981</t>
  </si>
  <si>
    <t>B-25610</t>
  </si>
  <si>
    <t>B-25733</t>
  </si>
  <si>
    <t>B-25612</t>
  </si>
  <si>
    <t>B-25700</t>
  </si>
  <si>
    <t>B-25856</t>
  </si>
  <si>
    <t>B-26026</t>
  </si>
  <si>
    <t>B-25861</t>
  </si>
  <si>
    <t>B-25799</t>
  </si>
  <si>
    <t>B-26054</t>
  </si>
  <si>
    <t>B-25660</t>
  </si>
  <si>
    <t>B-26045</t>
  </si>
  <si>
    <t>B-25781</t>
  </si>
  <si>
    <t>B-25918</t>
  </si>
  <si>
    <t>B-25971</t>
  </si>
  <si>
    <t>B-25699</t>
  </si>
  <si>
    <t>B-25776</t>
  </si>
  <si>
    <t>B-25985</t>
  </si>
  <si>
    <t>B-26063</t>
  </si>
  <si>
    <t>B-26032</t>
  </si>
  <si>
    <t>B-25767</t>
  </si>
  <si>
    <t>B-26023</t>
  </si>
  <si>
    <t>B-25809</t>
  </si>
  <si>
    <t>B-25688</t>
  </si>
  <si>
    <t>B-25753</t>
  </si>
  <si>
    <t>B-25773</t>
  </si>
  <si>
    <t>B-25661</t>
  </si>
  <si>
    <t>B-25857</t>
  </si>
  <si>
    <t>B-25999</t>
  </si>
  <si>
    <t>B-25926</t>
  </si>
  <si>
    <t>B-26076</t>
  </si>
  <si>
    <t>B-25913</t>
  </si>
  <si>
    <t>B-26020</t>
  </si>
  <si>
    <t>B-26083</t>
  </si>
  <si>
    <t>B-25625</t>
  </si>
  <si>
    <t>B-26010</t>
  </si>
  <si>
    <t>B-25979</t>
  </si>
  <si>
    <t>B-26002</t>
  </si>
  <si>
    <t>B-26084</t>
  </si>
  <si>
    <t>B-25998</t>
  </si>
  <si>
    <t>B-25872</t>
  </si>
  <si>
    <t>B-25795</t>
  </si>
  <si>
    <t>B-25902</t>
  </si>
  <si>
    <t>B-25793</t>
  </si>
  <si>
    <t>B-25652</t>
  </si>
  <si>
    <t>B-26018</t>
  </si>
  <si>
    <t>B-25823</t>
  </si>
  <si>
    <t>B-25994</t>
  </si>
  <si>
    <t>B-25863</t>
  </si>
  <si>
    <t>B-25680</t>
  </si>
  <si>
    <t>B-25737</t>
  </si>
  <si>
    <t>B-25875</t>
  </si>
  <si>
    <t>B-26031</t>
  </si>
  <si>
    <t>B-25908</t>
  </si>
  <si>
    <t>B-26041</t>
  </si>
  <si>
    <t>B-25794</t>
  </si>
  <si>
    <t>B-25615</t>
  </si>
  <si>
    <t>B-25997</t>
  </si>
  <si>
    <t>B-25990</t>
  </si>
  <si>
    <t>B-26091</t>
  </si>
  <si>
    <t>B-25604</t>
  </si>
  <si>
    <t>B-25724</t>
  </si>
  <si>
    <t>B-25748</t>
  </si>
  <si>
    <t>B-26004</t>
  </si>
  <si>
    <t>B-25954</t>
  </si>
  <si>
    <t>B-26043</t>
  </si>
  <si>
    <t>B-25838</t>
  </si>
  <si>
    <t>B-26042</t>
  </si>
  <si>
    <t>B-26008</t>
  </si>
  <si>
    <t>B-25927</t>
  </si>
  <si>
    <t>B-25948</t>
  </si>
  <si>
    <t>B-26094</t>
  </si>
  <si>
    <t>B-25623</t>
  </si>
  <si>
    <t>B-25800</t>
  </si>
  <si>
    <t>B-26039</t>
  </si>
  <si>
    <t>B-25620</t>
  </si>
  <si>
    <t>B-25721</t>
  </si>
  <si>
    <t>B-25764</t>
  </si>
  <si>
    <t>B-26066</t>
  </si>
  <si>
    <t>B-25712</t>
  </si>
  <si>
    <t>B-25738</t>
  </si>
  <si>
    <t>B-25771</t>
  </si>
  <si>
    <t>B-25601</t>
  </si>
  <si>
    <t>B-25844</t>
  </si>
  <si>
    <t>B-26065</t>
  </si>
  <si>
    <t>B-25825</t>
  </si>
  <si>
    <t>B-25765</t>
  </si>
  <si>
    <t>B-25709</t>
  </si>
  <si>
    <t>B-25684</t>
  </si>
  <si>
    <t>B-25739</t>
  </si>
  <si>
    <t>B-26082</t>
  </si>
  <si>
    <t>B-25731</t>
  </si>
  <si>
    <t>B-25719</t>
  </si>
  <si>
    <t>B-25646</t>
  </si>
  <si>
    <t>B-25874</t>
  </si>
  <si>
    <t>B-25638</t>
  </si>
  <si>
    <t>B-25882</t>
  </si>
  <si>
    <t>B-26040</t>
  </si>
  <si>
    <t>B-26037</t>
  </si>
  <si>
    <t>B-25920</t>
  </si>
  <si>
    <t>B-25960</t>
  </si>
  <si>
    <t>B-25917</t>
  </si>
  <si>
    <t>B-25972</t>
  </si>
  <si>
    <t>B-25736</t>
  </si>
  <si>
    <t>B-25742</t>
  </si>
  <si>
    <t>B-25641</t>
  </si>
  <si>
    <t>B-25958</t>
  </si>
  <si>
    <t>B-25802</t>
  </si>
  <si>
    <t>B-25834</t>
  </si>
  <si>
    <t>B-25774</t>
  </si>
  <si>
    <t>B-25904</t>
  </si>
  <si>
    <t>B-25934</t>
  </si>
  <si>
    <t>B-25912</t>
  </si>
  <si>
    <t>B-25647</t>
  </si>
  <si>
    <t>B-25901</t>
  </si>
  <si>
    <t>B-25804</t>
  </si>
  <si>
    <t>B-25734</t>
  </si>
  <si>
    <t>B-25711</t>
  </si>
  <si>
    <t>B-25864</t>
  </si>
  <si>
    <t>B-25949</t>
  </si>
  <si>
    <t>B-25805</t>
  </si>
  <si>
    <t>B-25919</t>
  </si>
  <si>
    <t>B-25889</t>
  </si>
  <si>
    <t>B-25637</t>
  </si>
  <si>
    <t>B-25783</t>
  </si>
  <si>
    <t>B-25938</t>
  </si>
  <si>
    <t>B-25820</t>
  </si>
  <si>
    <t>B-25924</t>
  </si>
  <si>
    <t>B-25814</t>
  </si>
  <si>
    <t>B-25631</t>
  </si>
  <si>
    <t>B-25956</t>
  </si>
  <si>
    <t>B-25862</t>
  </si>
  <si>
    <t>B-25606</t>
  </si>
  <si>
    <t>B-25928</t>
  </si>
  <si>
    <t>B-26005</t>
  </si>
  <si>
    <t>B-25963</t>
  </si>
  <si>
    <t>B-25683</t>
  </si>
  <si>
    <t>B-25914</t>
  </si>
  <si>
    <t>B-25869</t>
  </si>
  <si>
    <t>B-25921</t>
  </si>
  <si>
    <t>B-25849</t>
  </si>
  <si>
    <t>B-25780</t>
  </si>
  <si>
    <t>B-25892</t>
  </si>
  <si>
    <t>B-25988</t>
  </si>
  <si>
    <t>B-25939</t>
  </si>
  <si>
    <t>B-25906</t>
  </si>
  <si>
    <t>B-26017</t>
  </si>
  <si>
    <t>B-25644</t>
  </si>
  <si>
    <t>B-25679</t>
  </si>
  <si>
    <t>B-25792</t>
  </si>
  <si>
    <t>B-25946</t>
  </si>
  <si>
    <t>B-25992</t>
  </si>
  <si>
    <t>B-25659</t>
  </si>
  <si>
    <t>B-25716</t>
  </si>
  <si>
    <t>B-25725</t>
  </si>
  <si>
    <t>B-25932</t>
  </si>
  <si>
    <t>B-25789</t>
  </si>
  <si>
    <t>B-25732</t>
  </si>
  <si>
    <t>B-25871</t>
  </si>
  <si>
    <t>B-25611</t>
  </si>
  <si>
    <t>B-25833</t>
  </si>
  <si>
    <t>B-25665</t>
  </si>
  <si>
    <t>B-25694</t>
  </si>
  <si>
    <t>B-25668</t>
  </si>
  <si>
    <t>B-26024</t>
  </si>
  <si>
    <t>B-25827</t>
  </si>
  <si>
    <t>B-25713</t>
  </si>
  <si>
    <t>B-25944</t>
  </si>
  <si>
    <t>B-25695</t>
  </si>
  <si>
    <t>B-25880</t>
  </si>
  <si>
    <t>B-25941</t>
  </si>
  <si>
    <t>B-25706</t>
  </si>
  <si>
    <t>B-25969</t>
  </si>
  <si>
    <t>B-25763</t>
  </si>
  <si>
    <t>B-25740</t>
  </si>
  <si>
    <t>B-25879</t>
  </si>
  <si>
    <t>B-25614</t>
  </si>
  <si>
    <t>B-26092</t>
  </si>
  <si>
    <t>B-26011</t>
  </si>
  <si>
    <t>B-26074</t>
  </si>
  <si>
    <t>B-25976</t>
  </si>
  <si>
    <t>B-25865</t>
  </si>
  <si>
    <t>B-26049</t>
  </si>
  <si>
    <t>B-26047</t>
  </si>
  <si>
    <t>B-25766</t>
  </si>
  <si>
    <t>B-25947</t>
  </si>
  <si>
    <t>B-26069</t>
  </si>
  <si>
    <t>B-25627</t>
  </si>
  <si>
    <t>B-26027</t>
  </si>
  <si>
    <t>B-26068</t>
  </si>
  <si>
    <t>B-26080</t>
  </si>
  <si>
    <t>B-26012</t>
  </si>
  <si>
    <t>B-25824</t>
  </si>
  <si>
    <t>B-25922</t>
  </si>
  <si>
    <t>B-26099</t>
  </si>
  <si>
    <t>B-25866</t>
  </si>
  <si>
    <t>B-25775</t>
  </si>
  <si>
    <t>B-25685</t>
  </si>
  <si>
    <t>B-26090</t>
  </si>
  <si>
    <t>B-26072</t>
  </si>
  <si>
    <t>B-25916</t>
  </si>
  <si>
    <t>B-25722</t>
  </si>
  <si>
    <t>B-25746</t>
  </si>
  <si>
    <t>B-25812</t>
  </si>
  <si>
    <t>B-25605</t>
  </si>
  <si>
    <t>B-25702</t>
  </si>
  <si>
    <t>B-25626</t>
  </si>
  <si>
    <t>B-25811</t>
  </si>
  <si>
    <t>B-25876</t>
  </si>
  <si>
    <t>B-25931</t>
  </si>
  <si>
    <t>B-25663</t>
  </si>
  <si>
    <t>B-25677</t>
  </si>
  <si>
    <t>B-25617</t>
  </si>
  <si>
    <t>B-26036</t>
  </si>
  <si>
    <t>B-25978</t>
  </si>
  <si>
    <t>B-26077</t>
  </si>
  <si>
    <t>B-25790</t>
  </si>
  <si>
    <t>B-25829</t>
  </si>
  <si>
    <t>B-25705</t>
  </si>
  <si>
    <t>B-25936</t>
  </si>
  <si>
    <t>B-25782</t>
  </si>
  <si>
    <t>B-25769</t>
  </si>
  <si>
    <t>B-25718</t>
  </si>
  <si>
    <t>B-25715</t>
  </si>
  <si>
    <t>B-26075</t>
  </si>
  <si>
    <t>B-25634</t>
  </si>
  <si>
    <t>B-26015</t>
  </si>
  <si>
    <t>B-25822</t>
  </si>
  <si>
    <t>B-26034</t>
  </si>
  <si>
    <t>B-25692</t>
  </si>
  <si>
    <t>B-26046</t>
  </si>
  <si>
    <t>B-25622</t>
  </si>
  <si>
    <t>B-25690</t>
  </si>
  <si>
    <t>B-25726</t>
  </si>
  <si>
    <t>B-25907</t>
  </si>
  <si>
    <t>B-26013</t>
  </si>
  <si>
    <t>B-25975</t>
  </si>
  <si>
    <t>B-25815</t>
  </si>
  <si>
    <t>B-25619</t>
  </si>
  <si>
    <t>B-26058</t>
  </si>
  <si>
    <t>B-26044</t>
  </si>
  <si>
    <t>B-25636</t>
  </si>
  <si>
    <t>B-25649</t>
  </si>
  <si>
    <t>B-25806</t>
  </si>
  <si>
    <t>B-25826</t>
  </si>
  <si>
    <t>B-25624</t>
  </si>
  <si>
    <t>B-25974</t>
  </si>
  <si>
    <t>B-25884</t>
  </si>
  <si>
    <t>B-25672</t>
  </si>
  <si>
    <t>B-25859</t>
  </si>
  <si>
    <t>B-25817</t>
  </si>
  <si>
    <t>B-25968</t>
  </si>
  <si>
    <t>B-25671</t>
  </si>
  <si>
    <t>B-26059</t>
  </si>
  <si>
    <t>B-25669</t>
  </si>
  <si>
    <t>B-25841</t>
  </si>
  <si>
    <t>B-26071</t>
  </si>
  <si>
    <t>B-25813</t>
  </si>
  <si>
    <t>B-25890</t>
  </si>
  <si>
    <t>B-25807</t>
  </si>
  <si>
    <t>B-25937</t>
  </si>
  <si>
    <t>B-25982</t>
  </si>
  <si>
    <t>B-25639</t>
  </si>
  <si>
    <t>B-25894</t>
  </si>
  <si>
    <t>B-25768</t>
  </si>
  <si>
    <t>B-25629</t>
  </si>
  <si>
    <t>B-25758</t>
  </si>
  <si>
    <t>B-25707</t>
  </si>
  <si>
    <t>UNIQUE PAYMENT MODE</t>
  </si>
  <si>
    <t>UNIQUE CATEGORY</t>
  </si>
  <si>
    <t>UNIQUE SUB_CATEGORY</t>
  </si>
  <si>
    <t>UNIQUE ID</t>
  </si>
  <si>
    <t>h_loss</t>
  </si>
  <si>
    <t>h_QtyBand</t>
  </si>
  <si>
    <t>h_AmtBand</t>
  </si>
  <si>
    <t>h_Firstline</t>
  </si>
  <si>
    <t>h_include</t>
  </si>
  <si>
    <t>Sum of profit</t>
  </si>
  <si>
    <t>Sum of amount</t>
  </si>
  <si>
    <t>Sum of Profit Margin %</t>
  </si>
  <si>
    <t>Units Sold</t>
  </si>
  <si>
    <t>Unique Orders</t>
  </si>
  <si>
    <t>Average of h_loss</t>
  </si>
  <si>
    <t>Row Labels</t>
  </si>
  <si>
    <t>11 and above</t>
  </si>
  <si>
    <t>1-3</t>
  </si>
  <si>
    <t>2-7</t>
  </si>
  <si>
    <t>8-10</t>
  </si>
  <si>
    <t>Total Profit</t>
  </si>
  <si>
    <t>Total Sales</t>
  </si>
  <si>
    <t>Average of amount</t>
  </si>
  <si>
    <t>Transactions</t>
  </si>
  <si>
    <t>Avg. Sale</t>
  </si>
  <si>
    <t>Order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</si>
</sst>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quot;₦&quot;#,##0"/>
    <numFmt numFmtId="165" formatCode="0.0%"/>
    <numFmt numFmtId="169" formatCode="[$₹-439]#,##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sz val="11"/>
      <color theme="9" tint="-0.499984740745262"/>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64" fontId="0" fillId="0" borderId="0" xfId="0" applyNumberFormat="1"/>
    <xf numFmtId="0" fontId="0" fillId="0" borderId="0" xfId="0" applyNumberFormat="1"/>
    <xf numFmtId="165" fontId="0" fillId="0" borderId="0" xfId="0" applyNumberFormat="1"/>
    <xf numFmtId="1" fontId="0" fillId="0" borderId="0" xfId="0" applyNumberFormat="1"/>
    <xf numFmtId="3" fontId="0" fillId="0" borderId="0" xfId="0" applyNumberFormat="1"/>
    <xf numFmtId="165" fontId="0" fillId="0" borderId="0" xfId="1" applyNumberFormat="1" applyFont="1"/>
    <xf numFmtId="0" fontId="0" fillId="0" borderId="0" xfId="0" pivotButton="1"/>
    <xf numFmtId="0" fontId="0" fillId="0" borderId="0" xfId="0" applyAlignment="1">
      <alignment horizontal="left"/>
    </xf>
    <xf numFmtId="9" fontId="0" fillId="0" borderId="0" xfId="0" applyNumberFormat="1"/>
    <xf numFmtId="0" fontId="19" fillId="33" borderId="0" xfId="0" applyFont="1" applyFill="1"/>
    <xf numFmtId="169" fontId="0" fillId="0" borderId="0" xfId="0" applyNumberForma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41">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9" formatCode="[$₹-439]#,##0"/>
    </dxf>
    <dxf>
      <numFmt numFmtId="1" formatCode="0"/>
    </dxf>
    <dxf>
      <numFmt numFmtId="164" formatCode="&quot;₦&quot;#,##0"/>
    </dxf>
    <dxf>
      <numFmt numFmtId="169" formatCode="[$₹-439]#,##0"/>
    </dxf>
    <dxf>
      <numFmt numFmtId="169" formatCode="[$₹-439]#,##0"/>
    </dxf>
    <dxf>
      <numFmt numFmtId="169" formatCode="[$₹-439]#,##0"/>
    </dxf>
    <dxf>
      <font>
        <b/>
        <i val="0"/>
        <sz val="10"/>
        <color theme="9" tint="-0.24994659260841701"/>
      </font>
      <border diagonalUp="0" diagonalDown="0">
        <left/>
        <right/>
        <top/>
        <bottom/>
        <vertical/>
        <horizontal/>
      </border>
    </dxf>
    <dxf>
      <fill>
        <patternFill patternType="solid">
          <bgColor theme="9" tint="0.59996337778862885"/>
        </patternFill>
      </fill>
      <border diagonalUp="0" diagonalDown="0">
        <left/>
        <right/>
        <top/>
        <bottom/>
        <vertical/>
        <horizontal/>
      </border>
    </dxf>
    <dxf>
      <numFmt numFmtId="13" formatCode="0%"/>
    </dxf>
    <dxf>
      <numFmt numFmtId="13" formatCode="0%"/>
    </dxf>
    <dxf>
      <numFmt numFmtId="1" formatCode="0"/>
    </dxf>
    <dxf>
      <numFmt numFmtId="1" formatCode="0"/>
    </dxf>
    <dxf>
      <numFmt numFmtId="3" formatCode="#,##0"/>
    </dxf>
    <dxf>
      <numFmt numFmtId="1" formatCode="0"/>
    </dxf>
    <dxf>
      <numFmt numFmtId="1" formatCode="0"/>
    </dxf>
    <dxf>
      <numFmt numFmtId="3" formatCode="#,##0"/>
    </dxf>
    <dxf>
      <numFmt numFmtId="1" formatCode="0"/>
    </dxf>
    <dxf>
      <numFmt numFmtId="1" formatCode="0"/>
    </dxf>
    <dxf>
      <numFmt numFmtId="165" formatCode="0.0%"/>
    </dxf>
    <dxf>
      <numFmt numFmtId="165" formatCode="0.0%"/>
    </dxf>
    <dxf>
      <numFmt numFmtId="1" formatCode="0"/>
    </dxf>
    <dxf>
      <numFmt numFmtId="1" formatCode="0"/>
    </dxf>
    <dxf>
      <numFmt numFmtId="0" formatCode="General"/>
    </dxf>
    <dxf>
      <numFmt numFmtId="0" formatCode="General"/>
    </dxf>
    <dxf>
      <numFmt numFmtId="0" formatCode="General"/>
    </dxf>
    <dxf>
      <numFmt numFmtId="0" formatCode="General"/>
    </dxf>
    <dxf>
      <numFmt numFmtId="0" formatCode="General"/>
    </dxf>
    <dxf>
      <numFmt numFmtId="164" formatCode="&quot;₦&quot;#,##0"/>
    </dxf>
    <dxf>
      <numFmt numFmtId="164" formatCode="&quot;₦&quot;#,##0"/>
    </dxf>
  </dxfs>
  <tableStyles count="1" defaultTableStyle="TableStyleMedium2" defaultPivotStyle="PivotStyleLight16">
    <tableStyle name="Slicer Style 1" pivot="0" table="0" count="6" xr9:uid="{DCACD1D8-EF3F-45B2-9929-E907FC1A77C9}">
      <tableStyleElement type="wholeTable" dxfId="19"/>
      <tableStyleElement type="headerRow" dxfId="18"/>
    </tableStyle>
  </tableStyles>
  <colors>
    <mruColors>
      <color rgb="FF9E7800"/>
      <color rgb="FFB88C00"/>
      <color rgb="FF83BC5C"/>
      <color rgb="FFC9A227"/>
      <color rgb="FFF4F6F1"/>
      <color rgb="FFFFFFFF"/>
    </mruColors>
  </colors>
  <extLst>
    <ext xmlns:x14="http://schemas.microsoft.com/office/spreadsheetml/2009/9/main" uri="{46F421CA-312F-682f-3DD2-61675219B42D}">
      <x14:dxfs count="4">
        <dxf>
          <fill>
            <patternFill>
              <bgColor theme="9" tint="-0.499984740745262"/>
            </patternFill>
          </fill>
          <border diagonalUp="0" diagonalDown="0">
            <left/>
            <right/>
            <top/>
            <bottom/>
            <vertical/>
            <horizontal/>
          </border>
        </dxf>
        <dxf>
          <fill>
            <patternFill>
              <bgColor theme="9" tint="0.59996337778862885"/>
            </patternFill>
          </fill>
          <border diagonalUp="0" diagonalDown="0">
            <left/>
            <right/>
            <top/>
            <bottom/>
            <vertical/>
            <horizontal/>
          </border>
        </dxf>
        <dxf>
          <font>
            <b/>
            <i val="0"/>
            <sz val="9"/>
          </font>
          <fill>
            <patternFill>
              <bgColor theme="9" tint="-0.24994659260841701"/>
            </patternFill>
          </fill>
          <border diagonalUp="0" diagonalDown="0">
            <left/>
            <right/>
            <top/>
            <bottom/>
            <vertical/>
            <horizontal/>
          </border>
        </dxf>
        <dxf>
          <fill>
            <patternFill>
              <bgColor theme="9" tint="0.79998168889431442"/>
            </patternFill>
          </fill>
          <border diagonalUp="0" diagonalDown="0">
            <left/>
            <right/>
            <top/>
            <bottom/>
            <vertical/>
            <horizontal/>
          </border>
        </dxf>
      </x14:dxfs>
    </ext>
    <ext xmlns:x14="http://schemas.microsoft.com/office/spreadsheetml/2009/9/main" uri="{EB79DEF2-80B8-43e5-95BD-54CBDDF9020C}">
      <x14:slicerStyles defaultSlicerStyle="Slicer Style 1">
        <x14:slicerStyle name="Slicer Style 1">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[SELF WORK 002.....xlsx]CHARTS!PivotTable4</c:name>
    <c:fmtId val="5"/>
  </c:pivotSource>
  <c:chart>
    <c:autoTitleDeleted val="1"/>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CHARTS!$B$41</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CHARTS!$A$42:$A$45</c:f>
              <c:strCache>
                <c:ptCount val="4"/>
                <c:pt idx="0">
                  <c:v>1-3</c:v>
                </c:pt>
                <c:pt idx="1">
                  <c:v>2-7</c:v>
                </c:pt>
                <c:pt idx="2">
                  <c:v>8-10</c:v>
                </c:pt>
                <c:pt idx="3">
                  <c:v>11 and above</c:v>
                </c:pt>
              </c:strCache>
            </c:strRef>
          </c:cat>
          <c:val>
            <c:numRef>
              <c:f>CHARTS!$B$42:$B$45</c:f>
              <c:numCache>
                <c:formatCode>0%</c:formatCode>
                <c:ptCount val="4"/>
                <c:pt idx="0">
                  <c:v>9.804696150784388E-2</c:v>
                </c:pt>
                <c:pt idx="1">
                  <c:v>7.3686195874446581E-2</c:v>
                </c:pt>
                <c:pt idx="2">
                  <c:v>0.10347682119205298</c:v>
                </c:pt>
                <c:pt idx="3">
                  <c:v>4.5298866509010847E-2</c:v>
                </c:pt>
              </c:numCache>
            </c:numRef>
          </c:val>
          <c:extLst>
            <c:ext xmlns:c16="http://schemas.microsoft.com/office/drawing/2014/chart" uri="{C3380CC4-5D6E-409C-BE32-E72D297353CC}">
              <c16:uniqueId val="{00000000-E887-48DA-B1CA-F9E78FD6F64A}"/>
            </c:ext>
          </c:extLst>
        </c:ser>
        <c:dLbls>
          <c:dLblPos val="outEnd"/>
          <c:showLegendKey val="0"/>
          <c:showVal val="1"/>
          <c:showCatName val="0"/>
          <c:showSerName val="0"/>
          <c:showPercent val="0"/>
          <c:showBubbleSize val="0"/>
        </c:dLbls>
        <c:gapWidth val="219"/>
        <c:overlap val="-27"/>
        <c:axId val="785821343"/>
        <c:axId val="785812607"/>
      </c:barChart>
      <c:catAx>
        <c:axId val="78582134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accent6">
                    <a:lumMod val="50000"/>
                  </a:schemeClr>
                </a:solidFill>
                <a:latin typeface="+mn-lt"/>
                <a:ea typeface="+mn-ea"/>
                <a:cs typeface="+mn-cs"/>
              </a:defRPr>
            </a:pPr>
            <a:endParaRPr lang="en-US"/>
          </a:p>
        </c:txPr>
        <c:crossAx val="785812607"/>
        <c:crosses val="autoZero"/>
        <c:auto val="1"/>
        <c:lblAlgn val="ctr"/>
        <c:lblOffset val="100"/>
        <c:noMultiLvlLbl val="0"/>
      </c:catAx>
      <c:valAx>
        <c:axId val="78581260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6">
                    <a:lumMod val="50000"/>
                  </a:schemeClr>
                </a:solidFill>
                <a:latin typeface="+mn-lt"/>
                <a:ea typeface="+mn-ea"/>
                <a:cs typeface="+mn-cs"/>
              </a:defRPr>
            </a:pPr>
            <a:endParaRPr lang="en-US"/>
          </a:p>
        </c:txPr>
        <c:crossAx val="7858213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[SELF WORK 002.....xlsx]CHARTS!PivotTable3</c:name>
    <c:fmtId val="4"/>
  </c:pivotSource>
  <c:chart>
    <c:autoTitleDeleted val="1"/>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pivotFmt>
      <c:pivotFmt>
        <c:idx val="2"/>
        <c:spPr>
          <a:solidFill>
            <a:schemeClr val="accent6">
              <a:lumMod val="75000"/>
            </a:schemeClr>
          </a:solidFill>
          <a:ln>
            <a:noFill/>
          </a:ln>
          <a:effectLst/>
        </c:spPr>
      </c:pivotFmt>
      <c:pivotFmt>
        <c:idx val="3"/>
        <c:spPr>
          <a:solidFill>
            <a:schemeClr val="accent6">
              <a:lumMod val="75000"/>
            </a:schemeClr>
          </a:solidFill>
          <a:ln>
            <a:noFill/>
          </a:ln>
          <a:effectLst/>
        </c:spPr>
      </c:pivotFmt>
      <c:pivotFmt>
        <c:idx val="4"/>
        <c:spPr>
          <a:solidFill>
            <a:schemeClr val="accent6">
              <a:lumMod val="75000"/>
            </a:schemeClr>
          </a:solidFill>
          <a:ln>
            <a:noFill/>
          </a:ln>
          <a:effectLst/>
        </c:spPr>
      </c:pivotFmt>
      <c:pivotFmt>
        <c:idx val="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CHARTS!$B$32</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CHARTS!$A$33:$A$37</c:f>
              <c:strCache>
                <c:ptCount val="5"/>
                <c:pt idx="0">
                  <c:v>Credit Card</c:v>
                </c:pt>
                <c:pt idx="1">
                  <c:v>COD</c:v>
                </c:pt>
                <c:pt idx="2">
                  <c:v>Debit Card</c:v>
                </c:pt>
                <c:pt idx="3">
                  <c:v>EMI</c:v>
                </c:pt>
                <c:pt idx="4">
                  <c:v>UPI</c:v>
                </c:pt>
              </c:strCache>
            </c:strRef>
          </c:cat>
          <c:val>
            <c:numRef>
              <c:f>CHARTS!$B$33:$B$37</c:f>
              <c:numCache>
                <c:formatCode>0%</c:formatCode>
                <c:ptCount val="5"/>
                <c:pt idx="0">
                  <c:v>0.14507891225325542</c:v>
                </c:pt>
                <c:pt idx="1">
                  <c:v>8.085397052474208E-2</c:v>
                </c:pt>
                <c:pt idx="2">
                  <c:v>7.5179094757408013E-2</c:v>
                </c:pt>
                <c:pt idx="3">
                  <c:v>6.1940653047598257E-2</c:v>
                </c:pt>
                <c:pt idx="4">
                  <c:v>4.7872262933232324E-2</c:v>
                </c:pt>
              </c:numCache>
            </c:numRef>
          </c:val>
          <c:extLst>
            <c:ext xmlns:c16="http://schemas.microsoft.com/office/drawing/2014/chart" uri="{C3380CC4-5D6E-409C-BE32-E72D297353CC}">
              <c16:uniqueId val="{00000000-218F-4654-AD72-273AD09E1562}"/>
            </c:ext>
          </c:extLst>
        </c:ser>
        <c:dLbls>
          <c:dLblPos val="outEnd"/>
          <c:showLegendKey val="0"/>
          <c:showVal val="1"/>
          <c:showCatName val="0"/>
          <c:showSerName val="0"/>
          <c:showPercent val="0"/>
          <c:showBubbleSize val="0"/>
        </c:dLbls>
        <c:gapWidth val="219"/>
        <c:overlap val="-27"/>
        <c:axId val="740702479"/>
        <c:axId val="740707471"/>
      </c:barChart>
      <c:catAx>
        <c:axId val="740702479"/>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accent6">
                    <a:lumMod val="50000"/>
                  </a:schemeClr>
                </a:solidFill>
                <a:latin typeface="+mn-lt"/>
                <a:ea typeface="+mn-ea"/>
                <a:cs typeface="+mn-cs"/>
              </a:defRPr>
            </a:pPr>
            <a:endParaRPr lang="en-US"/>
          </a:p>
        </c:txPr>
        <c:crossAx val="740707471"/>
        <c:crosses val="autoZero"/>
        <c:auto val="1"/>
        <c:lblAlgn val="ctr"/>
        <c:lblOffset val="100"/>
        <c:noMultiLvlLbl val="0"/>
      </c:catAx>
      <c:valAx>
        <c:axId val="740707471"/>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6">
                    <a:lumMod val="50000"/>
                  </a:schemeClr>
                </a:solidFill>
                <a:latin typeface="+mn-lt"/>
                <a:ea typeface="+mn-ea"/>
                <a:cs typeface="+mn-cs"/>
              </a:defRPr>
            </a:pPr>
            <a:endParaRPr lang="en-US"/>
          </a:p>
        </c:txPr>
        <c:crossAx val="7407024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[SELF WORK 002.....xlsx]CHARTS!PivotTable2</c:name>
    <c:fmtId val="3"/>
  </c:pivotSource>
  <c:chart>
    <c:autoTitleDeleted val="1"/>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pivotFmt>
      <c:pivotFmt>
        <c:idx val="2"/>
        <c:spPr>
          <a:solidFill>
            <a:schemeClr val="accent6">
              <a:lumMod val="75000"/>
            </a:schemeClr>
          </a:solidFill>
          <a:ln>
            <a:noFill/>
          </a:ln>
          <a:effectLst/>
        </c:spPr>
      </c:pivotFmt>
      <c:pivotFmt>
        <c:idx val="3"/>
        <c:spPr>
          <a:solidFill>
            <a:schemeClr val="accent6">
              <a:lumMod val="75000"/>
            </a:schemeClr>
          </a:solidFill>
          <a:ln>
            <a:noFill/>
          </a:ln>
          <a:effectLst/>
        </c:spPr>
      </c:pivotFmt>
      <c:pivotFmt>
        <c:idx val="4"/>
        <c:spPr>
          <a:solidFill>
            <a:schemeClr val="accent6">
              <a:lumMod val="75000"/>
            </a:schemeClr>
          </a:solidFill>
          <a:ln>
            <a:noFill/>
          </a:ln>
          <a:effectLst/>
        </c:spPr>
      </c:pivotFmt>
      <c:pivotFmt>
        <c:idx val="5"/>
        <c:spPr>
          <a:solidFill>
            <a:schemeClr val="accent6">
              <a:lumMod val="75000"/>
            </a:schemeClr>
          </a:solidFill>
          <a:ln>
            <a:noFill/>
          </a:ln>
          <a:effectLst/>
        </c:spPr>
      </c:pivotFmt>
      <c:pivotFmt>
        <c:idx val="6"/>
        <c:spPr>
          <a:solidFill>
            <a:schemeClr val="accent6">
              <a:lumMod val="75000"/>
            </a:schemeClr>
          </a:solidFill>
          <a:ln>
            <a:noFill/>
          </a:ln>
          <a:effectLst/>
        </c:spPr>
      </c:pivotFmt>
      <c:pivotFmt>
        <c:idx val="7"/>
        <c:spPr>
          <a:solidFill>
            <a:schemeClr val="accent6">
              <a:lumMod val="75000"/>
            </a:schemeClr>
          </a:solidFill>
          <a:ln>
            <a:noFill/>
          </a:ln>
          <a:effectLst/>
        </c:spPr>
      </c:pivotFmt>
      <c:pivotFmt>
        <c:idx val="8"/>
        <c:spPr>
          <a:solidFill>
            <a:schemeClr val="accent6">
              <a:lumMod val="75000"/>
            </a:schemeClr>
          </a:solidFill>
          <a:ln>
            <a:noFill/>
          </a:ln>
          <a:effectLst/>
        </c:spPr>
      </c:pivotFmt>
      <c:pivotFmt>
        <c:idx val="9"/>
        <c:spPr>
          <a:solidFill>
            <a:schemeClr val="accent6">
              <a:lumMod val="75000"/>
            </a:schemeClr>
          </a:solidFill>
          <a:ln>
            <a:noFill/>
          </a:ln>
          <a:effectLst/>
        </c:spPr>
      </c:pivotFmt>
      <c:pivotFmt>
        <c:idx val="10"/>
        <c:spPr>
          <a:solidFill>
            <a:schemeClr val="accent6">
              <a:lumMod val="75000"/>
            </a:schemeClr>
          </a:solidFill>
          <a:ln>
            <a:noFill/>
          </a:ln>
          <a:effectLst/>
        </c:spPr>
      </c:pivotFmt>
      <c:pivotFmt>
        <c:idx val="11"/>
        <c:spPr>
          <a:solidFill>
            <a:schemeClr val="accent6">
              <a:lumMod val="75000"/>
            </a:schemeClr>
          </a:solidFill>
          <a:ln>
            <a:noFill/>
          </a:ln>
          <a:effectLst/>
        </c:spPr>
      </c:pivotFmt>
      <c:pivotFmt>
        <c:idx val="12"/>
        <c:spPr>
          <a:solidFill>
            <a:schemeClr val="accent6">
              <a:lumMod val="75000"/>
            </a:schemeClr>
          </a:solidFill>
          <a:ln>
            <a:noFill/>
          </a:ln>
          <a:effectLst/>
        </c:spPr>
      </c:pivotFmt>
      <c:pivotFmt>
        <c:idx val="13"/>
        <c:spPr>
          <a:solidFill>
            <a:schemeClr val="accent6">
              <a:lumMod val="75000"/>
            </a:schemeClr>
          </a:solidFill>
          <a:ln>
            <a:noFill/>
          </a:ln>
          <a:effectLst/>
        </c:spPr>
      </c:pivotFmt>
      <c:pivotFmt>
        <c:idx val="14"/>
        <c:spPr>
          <a:solidFill>
            <a:schemeClr val="accent6">
              <a:lumMod val="75000"/>
            </a:schemeClr>
          </a:solidFill>
          <a:ln>
            <a:noFill/>
          </a:ln>
          <a:effectLst/>
        </c:spPr>
      </c:pivotFmt>
      <c:pivotFmt>
        <c:idx val="15"/>
        <c:spPr>
          <a:solidFill>
            <a:schemeClr val="accent6">
              <a:lumMod val="75000"/>
            </a:schemeClr>
          </a:solidFill>
          <a:ln>
            <a:noFill/>
          </a:ln>
          <a:effectLst/>
        </c:spPr>
      </c:pivotFmt>
      <c:pivotFmt>
        <c:idx val="16"/>
        <c:spPr>
          <a:solidFill>
            <a:schemeClr val="accent6">
              <a:lumMod val="75000"/>
            </a:schemeClr>
          </a:solidFill>
          <a:ln>
            <a:noFill/>
          </a:ln>
          <a:effectLst/>
        </c:spPr>
      </c:pivotFmt>
      <c:pivotFmt>
        <c:idx val="17"/>
        <c:spPr>
          <a:solidFill>
            <a:schemeClr val="accent6">
              <a:lumMod val="75000"/>
            </a:schemeClr>
          </a:solidFill>
          <a:ln>
            <a:noFill/>
          </a:ln>
          <a:effectLst/>
        </c:spPr>
      </c:pivotFmt>
      <c:pivotFmt>
        <c:idx val="18"/>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6">
              <a:lumMod val="75000"/>
            </a:schemeClr>
          </a:solidFill>
          <a:ln>
            <a:noFill/>
          </a:ln>
          <a:effectLst/>
        </c:spPr>
        <c:marker>
          <c:symbol val="none"/>
        </c:marker>
      </c:pivotFmt>
    </c:pivotFmts>
    <c:plotArea>
      <c:layout/>
      <c:barChart>
        <c:barDir val="bar"/>
        <c:grouping val="clustered"/>
        <c:varyColors val="0"/>
        <c:ser>
          <c:idx val="0"/>
          <c:order val="0"/>
          <c:tx>
            <c:strRef>
              <c:f>CHARTS!$B$12</c:f>
              <c:strCache>
                <c:ptCount val="1"/>
                <c:pt idx="0">
                  <c:v>Total</c:v>
                </c:pt>
              </c:strCache>
            </c:strRef>
          </c:tx>
          <c:spPr>
            <a:solidFill>
              <a:schemeClr val="accent6">
                <a:lumMod val="75000"/>
              </a:schemeClr>
            </a:solidFill>
            <a:ln>
              <a:noFill/>
            </a:ln>
            <a:effectLst/>
          </c:spPr>
          <c:invertIfNegative val="0"/>
          <c:cat>
            <c:strRef>
              <c:f>CHARTS!$A$13:$A$29</c:f>
              <c:strCache>
                <c:ptCount val="17"/>
                <c:pt idx="0">
                  <c:v>Printers</c:v>
                </c:pt>
                <c:pt idx="1">
                  <c:v>Bookcases</c:v>
                </c:pt>
                <c:pt idx="2">
                  <c:v>Saree</c:v>
                </c:pt>
                <c:pt idx="3">
                  <c:v>Accessories</c:v>
                </c:pt>
                <c:pt idx="4">
                  <c:v>Tables</c:v>
                </c:pt>
                <c:pt idx="5">
                  <c:v>Trousers</c:v>
                </c:pt>
                <c:pt idx="6">
                  <c:v>Stole</c:v>
                </c:pt>
                <c:pt idx="7">
                  <c:v>Phones</c:v>
                </c:pt>
                <c:pt idx="8">
                  <c:v>Handkerchief</c:v>
                </c:pt>
                <c:pt idx="9">
                  <c:v>Chairs</c:v>
                </c:pt>
                <c:pt idx="10">
                  <c:v>Shirt</c:v>
                </c:pt>
                <c:pt idx="11">
                  <c:v>T-shirt</c:v>
                </c:pt>
                <c:pt idx="12">
                  <c:v>Leggings</c:v>
                </c:pt>
                <c:pt idx="13">
                  <c:v>Skirt</c:v>
                </c:pt>
                <c:pt idx="14">
                  <c:v>Kurti</c:v>
                </c:pt>
                <c:pt idx="15">
                  <c:v>Electronic Games</c:v>
                </c:pt>
                <c:pt idx="16">
                  <c:v>Furnishings</c:v>
                </c:pt>
              </c:strCache>
            </c:strRef>
          </c:cat>
          <c:val>
            <c:numRef>
              <c:f>CHARTS!$B$13:$B$29</c:f>
              <c:numCache>
                <c:formatCode>General</c:formatCode>
                <c:ptCount val="17"/>
                <c:pt idx="0">
                  <c:v>8606</c:v>
                </c:pt>
                <c:pt idx="1">
                  <c:v>6516</c:v>
                </c:pt>
                <c:pt idx="2">
                  <c:v>4057</c:v>
                </c:pt>
                <c:pt idx="3">
                  <c:v>3353</c:v>
                </c:pt>
                <c:pt idx="4">
                  <c:v>3139</c:v>
                </c:pt>
                <c:pt idx="5">
                  <c:v>2847</c:v>
                </c:pt>
                <c:pt idx="6">
                  <c:v>2431</c:v>
                </c:pt>
                <c:pt idx="7">
                  <c:v>1847</c:v>
                </c:pt>
                <c:pt idx="8">
                  <c:v>1823</c:v>
                </c:pt>
                <c:pt idx="9">
                  <c:v>1627</c:v>
                </c:pt>
                <c:pt idx="10">
                  <c:v>1513</c:v>
                </c:pt>
                <c:pt idx="11">
                  <c:v>1500</c:v>
                </c:pt>
                <c:pt idx="12">
                  <c:v>-130</c:v>
                </c:pt>
                <c:pt idx="13">
                  <c:v>-315</c:v>
                </c:pt>
                <c:pt idx="14">
                  <c:v>-401</c:v>
                </c:pt>
                <c:pt idx="15">
                  <c:v>-644</c:v>
                </c:pt>
                <c:pt idx="16">
                  <c:v>-806</c:v>
                </c:pt>
              </c:numCache>
            </c:numRef>
          </c:val>
          <c:extLst>
            <c:ext xmlns:c16="http://schemas.microsoft.com/office/drawing/2014/chart" uri="{C3380CC4-5D6E-409C-BE32-E72D297353CC}">
              <c16:uniqueId val="{00000000-EA65-4D00-A132-2CC90F958F8A}"/>
            </c:ext>
          </c:extLst>
        </c:ser>
        <c:dLbls>
          <c:dLblPos val="outEnd"/>
          <c:showLegendKey val="0"/>
          <c:showVal val="0"/>
          <c:showCatName val="0"/>
          <c:showSerName val="0"/>
          <c:showPercent val="0"/>
          <c:showBubbleSize val="0"/>
        </c:dLbls>
        <c:gapWidth val="219"/>
        <c:axId val="740712047"/>
        <c:axId val="740697487"/>
      </c:barChart>
      <c:catAx>
        <c:axId val="740712047"/>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accent6">
                    <a:lumMod val="50000"/>
                  </a:schemeClr>
                </a:solidFill>
                <a:latin typeface="+mn-lt"/>
                <a:ea typeface="+mn-ea"/>
                <a:cs typeface="+mn-cs"/>
              </a:defRPr>
            </a:pPr>
            <a:endParaRPr lang="en-US"/>
          </a:p>
        </c:txPr>
        <c:crossAx val="740697487"/>
        <c:crosses val="autoZero"/>
        <c:auto val="1"/>
        <c:lblAlgn val="ctr"/>
        <c:lblOffset val="100"/>
        <c:noMultiLvlLbl val="0"/>
      </c:catAx>
      <c:valAx>
        <c:axId val="7406974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6">
                    <a:lumMod val="50000"/>
                  </a:schemeClr>
                </a:solidFill>
                <a:latin typeface="+mn-lt"/>
                <a:ea typeface="+mn-ea"/>
                <a:cs typeface="+mn-cs"/>
              </a:defRPr>
            </a:pPr>
            <a:endParaRPr lang="en-US"/>
          </a:p>
        </c:txPr>
        <c:crossAx val="7407120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[SELF WORK 002.....xlsx]CHARTS!PivotTable1</c:name>
    <c:fmtId val="2"/>
  </c:pivotSource>
  <c:chart>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CHARTS!$B$2</c:f>
              <c:strCache>
                <c:ptCount val="1"/>
                <c:pt idx="0">
                  <c:v>Total Sales</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CHARTS!$A$3:$A$5</c:f>
              <c:strCache>
                <c:ptCount val="3"/>
                <c:pt idx="0">
                  <c:v>Clothing</c:v>
                </c:pt>
                <c:pt idx="1">
                  <c:v>Electronics</c:v>
                </c:pt>
                <c:pt idx="2">
                  <c:v>Furniture</c:v>
                </c:pt>
              </c:strCache>
            </c:strRef>
          </c:cat>
          <c:val>
            <c:numRef>
              <c:f>CHARTS!$B$3:$B$5</c:f>
              <c:numCache>
                <c:formatCode>[$₹-439]#,##0</c:formatCode>
                <c:ptCount val="3"/>
                <c:pt idx="0">
                  <c:v>144323</c:v>
                </c:pt>
                <c:pt idx="1">
                  <c:v>166267</c:v>
                </c:pt>
                <c:pt idx="2">
                  <c:v>127181</c:v>
                </c:pt>
              </c:numCache>
            </c:numRef>
          </c:val>
          <c:extLst>
            <c:ext xmlns:c16="http://schemas.microsoft.com/office/drawing/2014/chart" uri="{C3380CC4-5D6E-409C-BE32-E72D297353CC}">
              <c16:uniqueId val="{00000000-4CE9-480E-BDC6-40ACE697C19E}"/>
            </c:ext>
          </c:extLst>
        </c:ser>
        <c:ser>
          <c:idx val="1"/>
          <c:order val="1"/>
          <c:tx>
            <c:strRef>
              <c:f>CHARTS!$C$2</c:f>
              <c:strCache>
                <c:ptCount val="1"/>
                <c:pt idx="0">
                  <c:v>Total Profit</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CHARTS!$A$3:$A$5</c:f>
              <c:strCache>
                <c:ptCount val="3"/>
                <c:pt idx="0">
                  <c:v>Clothing</c:v>
                </c:pt>
                <c:pt idx="1">
                  <c:v>Electronics</c:v>
                </c:pt>
                <c:pt idx="2">
                  <c:v>Furniture</c:v>
                </c:pt>
              </c:strCache>
            </c:strRef>
          </c:cat>
          <c:val>
            <c:numRef>
              <c:f>CHARTS!$C$3:$C$5</c:f>
              <c:numCache>
                <c:formatCode>[$₹-439]#,##0</c:formatCode>
                <c:ptCount val="3"/>
                <c:pt idx="0">
                  <c:v>13325</c:v>
                </c:pt>
                <c:pt idx="1">
                  <c:v>13162</c:v>
                </c:pt>
                <c:pt idx="2">
                  <c:v>10476</c:v>
                </c:pt>
              </c:numCache>
            </c:numRef>
          </c:val>
          <c:extLst>
            <c:ext xmlns:c16="http://schemas.microsoft.com/office/drawing/2014/chart" uri="{C3380CC4-5D6E-409C-BE32-E72D297353CC}">
              <c16:uniqueId val="{00000001-4CE9-480E-BDC6-40ACE697C19E}"/>
            </c:ext>
          </c:extLst>
        </c:ser>
        <c:dLbls>
          <c:dLblPos val="outEnd"/>
          <c:showLegendKey val="0"/>
          <c:showVal val="1"/>
          <c:showCatName val="0"/>
          <c:showSerName val="0"/>
          <c:showPercent val="0"/>
          <c:showBubbleSize val="0"/>
        </c:dLbls>
        <c:gapWidth val="182"/>
        <c:axId val="685677519"/>
        <c:axId val="685690415"/>
      </c:barChart>
      <c:catAx>
        <c:axId val="685677519"/>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accent6">
                    <a:lumMod val="50000"/>
                  </a:schemeClr>
                </a:solidFill>
                <a:latin typeface="+mn-lt"/>
                <a:ea typeface="+mn-ea"/>
                <a:cs typeface="+mn-cs"/>
              </a:defRPr>
            </a:pPr>
            <a:endParaRPr lang="en-US"/>
          </a:p>
        </c:txPr>
        <c:crossAx val="685690415"/>
        <c:crosses val="autoZero"/>
        <c:auto val="1"/>
        <c:lblAlgn val="ctr"/>
        <c:lblOffset val="100"/>
        <c:noMultiLvlLbl val="0"/>
      </c:catAx>
      <c:valAx>
        <c:axId val="685690415"/>
        <c:scaling>
          <c:orientation val="minMax"/>
        </c:scaling>
        <c:delete val="0"/>
        <c:axPos val="b"/>
        <c:numFmt formatCode="[$₹-439]#,##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6">
                    <a:lumMod val="50000"/>
                  </a:schemeClr>
                </a:solidFill>
                <a:latin typeface="+mn-lt"/>
                <a:ea typeface="+mn-ea"/>
                <a:cs typeface="+mn-cs"/>
              </a:defRPr>
            </a:pPr>
            <a:endParaRPr lang="en-US"/>
          </a:p>
        </c:txPr>
        <c:crossAx val="685677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accent6">
                  <a:lumMod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[SELF WORK 002.....xlsx]CHARTS!PivotTable5</c:name>
    <c:fmtId val="8"/>
  </c:pivotSource>
  <c:chart>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4">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4">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4">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CHARTS!$B$53</c:f>
              <c:strCache>
                <c:ptCount val="1"/>
                <c:pt idx="0">
                  <c:v>Order</c:v>
                </c:pt>
              </c:strCache>
            </c:strRef>
          </c:tx>
          <c:spPr>
            <a:solidFill>
              <a:schemeClr val="accent6">
                <a:lumMod val="75000"/>
              </a:schemeClr>
            </a:solidFill>
            <a:ln>
              <a:noFill/>
            </a:ln>
            <a:effectLst/>
          </c:spPr>
          <c:invertIfNegative val="0"/>
          <c:cat>
            <c:strRef>
              <c:f>CHARTS!$A$54:$A$58</c:f>
              <c:strCache>
                <c:ptCount val="5"/>
                <c:pt idx="0">
                  <c:v>COD</c:v>
                </c:pt>
                <c:pt idx="1">
                  <c:v>Credit Card</c:v>
                </c:pt>
                <c:pt idx="2">
                  <c:v>Debit Card</c:v>
                </c:pt>
                <c:pt idx="3">
                  <c:v>EMI</c:v>
                </c:pt>
                <c:pt idx="4">
                  <c:v>UPI</c:v>
                </c:pt>
              </c:strCache>
            </c:strRef>
          </c:cat>
          <c:val>
            <c:numRef>
              <c:f>CHARTS!$B$54:$B$58</c:f>
              <c:numCache>
                <c:formatCode>0</c:formatCode>
                <c:ptCount val="5"/>
                <c:pt idx="0">
                  <c:v>684</c:v>
                </c:pt>
                <c:pt idx="1">
                  <c:v>163</c:v>
                </c:pt>
                <c:pt idx="2">
                  <c:v>202</c:v>
                </c:pt>
                <c:pt idx="3">
                  <c:v>120</c:v>
                </c:pt>
                <c:pt idx="4">
                  <c:v>331</c:v>
                </c:pt>
              </c:numCache>
            </c:numRef>
          </c:val>
          <c:extLst>
            <c:ext xmlns:c16="http://schemas.microsoft.com/office/drawing/2014/chart" uri="{C3380CC4-5D6E-409C-BE32-E72D297353CC}">
              <c16:uniqueId val="{00000000-9C6A-4321-88B8-F970BBBCDD35}"/>
            </c:ext>
          </c:extLst>
        </c:ser>
        <c:dLbls>
          <c:showLegendKey val="0"/>
          <c:showVal val="0"/>
          <c:showCatName val="0"/>
          <c:showSerName val="0"/>
          <c:showPercent val="0"/>
          <c:showBubbleSize val="0"/>
        </c:dLbls>
        <c:gapWidth val="219"/>
        <c:overlap val="-27"/>
        <c:axId val="745896127"/>
        <c:axId val="745896543"/>
      </c:barChart>
      <c:lineChart>
        <c:grouping val="standard"/>
        <c:varyColors val="0"/>
        <c:ser>
          <c:idx val="1"/>
          <c:order val="1"/>
          <c:tx>
            <c:strRef>
              <c:f>CHARTS!$C$53</c:f>
              <c:strCache>
                <c:ptCount val="1"/>
                <c:pt idx="0">
                  <c:v>Avg. Sale</c:v>
                </c:pt>
              </c:strCache>
            </c:strRef>
          </c:tx>
          <c:spPr>
            <a:ln w="28575" cap="rnd">
              <a:solidFill>
                <a:schemeClr val="accent4">
                  <a:lumMod val="75000"/>
                </a:schemeClr>
              </a:solidFill>
              <a:round/>
            </a:ln>
            <a:effectLst/>
          </c:spPr>
          <c:marker>
            <c:symbol val="none"/>
          </c:marker>
          <c:cat>
            <c:strRef>
              <c:f>CHARTS!$A$54:$A$58</c:f>
              <c:strCache>
                <c:ptCount val="5"/>
                <c:pt idx="0">
                  <c:v>COD</c:v>
                </c:pt>
                <c:pt idx="1">
                  <c:v>Credit Card</c:v>
                </c:pt>
                <c:pt idx="2">
                  <c:v>Debit Card</c:v>
                </c:pt>
                <c:pt idx="3">
                  <c:v>EMI</c:v>
                </c:pt>
                <c:pt idx="4">
                  <c:v>UPI</c:v>
                </c:pt>
              </c:strCache>
            </c:strRef>
          </c:cat>
          <c:val>
            <c:numRef>
              <c:f>CHARTS!$C$54:$C$58</c:f>
              <c:numCache>
                <c:formatCode>0</c:formatCode>
                <c:ptCount val="5"/>
                <c:pt idx="0">
                  <c:v>226.87280701754386</c:v>
                </c:pt>
                <c:pt idx="1">
                  <c:v>533.32515337423308</c:v>
                </c:pt>
                <c:pt idx="2">
                  <c:v>243.24752475247524</c:v>
                </c:pt>
                <c:pt idx="3">
                  <c:v>649.00833333333333</c:v>
                </c:pt>
                <c:pt idx="4">
                  <c:v>207.37462235649548</c:v>
                </c:pt>
              </c:numCache>
            </c:numRef>
          </c:val>
          <c:smooth val="0"/>
          <c:extLst>
            <c:ext xmlns:c16="http://schemas.microsoft.com/office/drawing/2014/chart" uri="{C3380CC4-5D6E-409C-BE32-E72D297353CC}">
              <c16:uniqueId val="{00000001-9C6A-4321-88B8-F970BBBCDD35}"/>
            </c:ext>
          </c:extLst>
        </c:ser>
        <c:dLbls>
          <c:showLegendKey val="0"/>
          <c:showVal val="0"/>
          <c:showCatName val="0"/>
          <c:showSerName val="0"/>
          <c:showPercent val="0"/>
          <c:showBubbleSize val="0"/>
        </c:dLbls>
        <c:marker val="1"/>
        <c:smooth val="0"/>
        <c:axId val="820287391"/>
        <c:axId val="820286975"/>
      </c:lineChart>
      <c:catAx>
        <c:axId val="745896127"/>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accent6">
                    <a:lumMod val="50000"/>
                  </a:schemeClr>
                </a:solidFill>
                <a:latin typeface="+mn-lt"/>
                <a:ea typeface="+mn-ea"/>
                <a:cs typeface="+mn-cs"/>
              </a:defRPr>
            </a:pPr>
            <a:endParaRPr lang="en-US"/>
          </a:p>
        </c:txPr>
        <c:crossAx val="745896543"/>
        <c:crosses val="autoZero"/>
        <c:auto val="1"/>
        <c:lblAlgn val="ctr"/>
        <c:lblOffset val="100"/>
        <c:noMultiLvlLbl val="0"/>
      </c:catAx>
      <c:valAx>
        <c:axId val="74589654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6">
                    <a:lumMod val="50000"/>
                  </a:schemeClr>
                </a:solidFill>
                <a:latin typeface="+mn-lt"/>
                <a:ea typeface="+mn-ea"/>
                <a:cs typeface="+mn-cs"/>
              </a:defRPr>
            </a:pPr>
            <a:endParaRPr lang="en-US"/>
          </a:p>
        </c:txPr>
        <c:crossAx val="745896127"/>
        <c:crosses val="autoZero"/>
        <c:crossBetween val="between"/>
      </c:valAx>
      <c:valAx>
        <c:axId val="820286975"/>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6">
                    <a:lumMod val="50000"/>
                  </a:schemeClr>
                </a:solidFill>
                <a:latin typeface="+mn-lt"/>
                <a:ea typeface="+mn-ea"/>
                <a:cs typeface="+mn-cs"/>
              </a:defRPr>
            </a:pPr>
            <a:endParaRPr lang="en-US"/>
          </a:p>
        </c:txPr>
        <c:crossAx val="820287391"/>
        <c:crosses val="max"/>
        <c:crossBetween val="between"/>
      </c:valAx>
      <c:catAx>
        <c:axId val="820287391"/>
        <c:scaling>
          <c:orientation val="minMax"/>
        </c:scaling>
        <c:delete val="1"/>
        <c:axPos val="b"/>
        <c:numFmt formatCode="General" sourceLinked="1"/>
        <c:majorTickMark val="out"/>
        <c:minorTickMark val="none"/>
        <c:tickLblPos val="nextTo"/>
        <c:crossAx val="820286975"/>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accent6">
                  <a:lumMod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[SELF WORK 002.....xlsx]CHARTS!PivotTable6</c:name>
    <c:fmtId val="1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C9A227"/>
          </a:solidFill>
          <a:ln w="19050">
            <a:solidFill>
              <a:schemeClr val="lt1"/>
            </a:solidFill>
          </a:ln>
          <a:effectLst/>
        </c:spPr>
      </c:pivotFmt>
      <c:pivotFmt>
        <c:idx val="2"/>
        <c:spPr>
          <a:solidFill>
            <a:schemeClr val="accent6">
              <a:lumMod val="50000"/>
            </a:schemeClr>
          </a:solidFill>
          <a:ln w="19050">
            <a:solidFill>
              <a:schemeClr val="lt1"/>
            </a:solidFill>
          </a:ln>
          <a:effectLst/>
        </c:spPr>
      </c:pivotFmt>
      <c:pivotFmt>
        <c:idx val="3"/>
        <c:spPr>
          <a:solidFill>
            <a:srgbClr val="9E7800"/>
          </a:solidFill>
          <a:ln w="19050">
            <a:solidFill>
              <a:schemeClr val="lt1"/>
            </a:solidFill>
          </a:ln>
          <a:effectLst/>
        </c:spPr>
      </c:pivotFmt>
      <c:pivotFmt>
        <c:idx val="4"/>
        <c:spPr>
          <a:solidFill>
            <a:srgbClr val="83BC5C"/>
          </a:solidFill>
          <a:ln w="19050">
            <a:solidFill>
              <a:schemeClr val="lt1"/>
            </a:solidFill>
          </a:ln>
          <a:effectLst/>
        </c:spPr>
      </c:pivotFmt>
      <c:pivotFmt>
        <c:idx val="5"/>
        <c:spPr>
          <a:solidFill>
            <a:schemeClr val="accent6">
              <a:lumMod val="75000"/>
            </a:schemeClr>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C9A227"/>
          </a:solidFill>
          <a:ln w="19050">
            <a:solidFill>
              <a:schemeClr val="lt1"/>
            </a:solidFill>
          </a:ln>
          <a:effectLst/>
        </c:spPr>
      </c:pivotFmt>
      <c:pivotFmt>
        <c:idx val="8"/>
        <c:spPr>
          <a:solidFill>
            <a:schemeClr val="accent6">
              <a:lumMod val="50000"/>
            </a:schemeClr>
          </a:solidFill>
          <a:ln w="19050">
            <a:solidFill>
              <a:schemeClr val="lt1"/>
            </a:solidFill>
          </a:ln>
          <a:effectLst/>
        </c:spPr>
      </c:pivotFmt>
      <c:pivotFmt>
        <c:idx val="9"/>
        <c:spPr>
          <a:solidFill>
            <a:schemeClr val="accent6">
              <a:lumMod val="75000"/>
            </a:schemeClr>
          </a:solidFill>
          <a:ln w="19050">
            <a:solidFill>
              <a:schemeClr val="lt1"/>
            </a:solidFill>
          </a:ln>
          <a:effectLst/>
        </c:spPr>
      </c:pivotFmt>
      <c:pivotFmt>
        <c:idx val="10"/>
        <c:spPr>
          <a:solidFill>
            <a:srgbClr val="83BC5C"/>
          </a:solidFill>
          <a:ln w="19050">
            <a:solidFill>
              <a:schemeClr val="lt1"/>
            </a:solidFill>
          </a:ln>
          <a:effectLst/>
        </c:spPr>
      </c:pivotFmt>
      <c:pivotFmt>
        <c:idx val="11"/>
        <c:spPr>
          <a:solidFill>
            <a:srgbClr val="9E7800"/>
          </a:solidFill>
          <a:ln w="19050">
            <a:solidFill>
              <a:schemeClr val="lt1"/>
            </a:solidFill>
          </a:ln>
          <a:effectLst/>
        </c:spPr>
      </c:pivotFmt>
      <c:pivotFmt>
        <c:idx val="12"/>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40000"/>
                      <a:lumOff val="6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rgbClr val="C9A227"/>
          </a:solidFill>
          <a:ln w="19050">
            <a:noFill/>
          </a:ln>
          <a:effectLst/>
        </c:spPr>
      </c:pivotFmt>
      <c:pivotFmt>
        <c:idx val="14"/>
        <c:spPr>
          <a:solidFill>
            <a:schemeClr val="accent6">
              <a:lumMod val="50000"/>
            </a:schemeClr>
          </a:solidFill>
          <a:ln w="19050">
            <a:noFill/>
          </a:ln>
          <a:effectLst/>
        </c:spPr>
      </c:pivotFmt>
      <c:pivotFmt>
        <c:idx val="15"/>
        <c:spPr>
          <a:solidFill>
            <a:schemeClr val="accent6">
              <a:lumMod val="75000"/>
            </a:schemeClr>
          </a:solidFill>
          <a:ln w="19050">
            <a:noFill/>
          </a:ln>
          <a:effectLst/>
        </c:spPr>
      </c:pivotFmt>
      <c:pivotFmt>
        <c:idx val="16"/>
        <c:spPr>
          <a:solidFill>
            <a:srgbClr val="83BC5C"/>
          </a:solidFill>
          <a:ln w="19050">
            <a:noFill/>
          </a:ln>
          <a:effectLst/>
        </c:spPr>
      </c:pivotFmt>
      <c:pivotFmt>
        <c:idx val="17"/>
        <c:spPr>
          <a:solidFill>
            <a:srgbClr val="9E7800"/>
          </a:solidFill>
          <a:ln w="19050">
            <a:noFill/>
          </a:ln>
          <a:effectLst/>
        </c:spPr>
      </c:pivotFmt>
    </c:pivotFmts>
    <c:plotArea>
      <c:layout/>
      <c:doughnutChart>
        <c:varyColors val="1"/>
        <c:ser>
          <c:idx val="0"/>
          <c:order val="0"/>
          <c:tx>
            <c:strRef>
              <c:f>CHARTS!$B$65</c:f>
              <c:strCache>
                <c:ptCount val="1"/>
                <c:pt idx="0">
                  <c:v>Total</c:v>
                </c:pt>
              </c:strCache>
            </c:strRef>
          </c:tx>
          <c:spPr>
            <a:ln>
              <a:noFill/>
            </a:ln>
          </c:spPr>
          <c:dPt>
            <c:idx val="0"/>
            <c:bubble3D val="0"/>
            <c:spPr>
              <a:solidFill>
                <a:srgbClr val="C9A227"/>
              </a:solidFill>
              <a:ln w="19050">
                <a:noFill/>
              </a:ln>
              <a:effectLst/>
            </c:spPr>
            <c:extLst>
              <c:ext xmlns:c16="http://schemas.microsoft.com/office/drawing/2014/chart" uri="{C3380CC4-5D6E-409C-BE32-E72D297353CC}">
                <c16:uniqueId val="{00000001-3B93-4C93-9BD3-9138FEBBE110}"/>
              </c:ext>
            </c:extLst>
          </c:dPt>
          <c:dPt>
            <c:idx val="1"/>
            <c:bubble3D val="0"/>
            <c:spPr>
              <a:solidFill>
                <a:schemeClr val="accent6">
                  <a:lumMod val="50000"/>
                </a:schemeClr>
              </a:solidFill>
              <a:ln w="19050">
                <a:noFill/>
              </a:ln>
              <a:effectLst/>
            </c:spPr>
            <c:extLst>
              <c:ext xmlns:c16="http://schemas.microsoft.com/office/drawing/2014/chart" uri="{C3380CC4-5D6E-409C-BE32-E72D297353CC}">
                <c16:uniqueId val="{00000003-3B93-4C93-9BD3-9138FEBBE110}"/>
              </c:ext>
            </c:extLst>
          </c:dPt>
          <c:dPt>
            <c:idx val="2"/>
            <c:bubble3D val="0"/>
            <c:spPr>
              <a:solidFill>
                <a:schemeClr val="accent6">
                  <a:lumMod val="75000"/>
                </a:schemeClr>
              </a:solidFill>
              <a:ln w="19050">
                <a:noFill/>
              </a:ln>
              <a:effectLst/>
            </c:spPr>
            <c:extLst>
              <c:ext xmlns:c16="http://schemas.microsoft.com/office/drawing/2014/chart" uri="{C3380CC4-5D6E-409C-BE32-E72D297353CC}">
                <c16:uniqueId val="{00000005-3B93-4C93-9BD3-9138FEBBE110}"/>
              </c:ext>
            </c:extLst>
          </c:dPt>
          <c:dPt>
            <c:idx val="3"/>
            <c:bubble3D val="0"/>
            <c:spPr>
              <a:solidFill>
                <a:srgbClr val="83BC5C"/>
              </a:solidFill>
              <a:ln w="19050">
                <a:noFill/>
              </a:ln>
              <a:effectLst/>
            </c:spPr>
            <c:extLst>
              <c:ext xmlns:c16="http://schemas.microsoft.com/office/drawing/2014/chart" uri="{C3380CC4-5D6E-409C-BE32-E72D297353CC}">
                <c16:uniqueId val="{00000007-3B93-4C93-9BD3-9138FEBBE110}"/>
              </c:ext>
            </c:extLst>
          </c:dPt>
          <c:dPt>
            <c:idx val="4"/>
            <c:bubble3D val="0"/>
            <c:spPr>
              <a:solidFill>
                <a:srgbClr val="9E7800"/>
              </a:solidFill>
              <a:ln w="19050">
                <a:noFill/>
              </a:ln>
              <a:effectLst/>
            </c:spPr>
            <c:extLst>
              <c:ext xmlns:c16="http://schemas.microsoft.com/office/drawing/2014/chart" uri="{C3380CC4-5D6E-409C-BE32-E72D297353CC}">
                <c16:uniqueId val="{00000009-3B93-4C93-9BD3-9138FEBBE11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40000"/>
                        <a:lumOff val="60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CHARTS!$A$66:$A$70</c:f>
              <c:strCache>
                <c:ptCount val="5"/>
                <c:pt idx="0">
                  <c:v>COD</c:v>
                </c:pt>
                <c:pt idx="1">
                  <c:v>UPI</c:v>
                </c:pt>
                <c:pt idx="2">
                  <c:v>Debit Card</c:v>
                </c:pt>
                <c:pt idx="3">
                  <c:v>Credit Card</c:v>
                </c:pt>
                <c:pt idx="4">
                  <c:v>EMI</c:v>
                </c:pt>
              </c:strCache>
            </c:strRef>
          </c:cat>
          <c:val>
            <c:numRef>
              <c:f>CHARTS!$B$66:$B$70</c:f>
              <c:numCache>
                <c:formatCode>0</c:formatCode>
                <c:ptCount val="5"/>
                <c:pt idx="0">
                  <c:v>684</c:v>
                </c:pt>
                <c:pt idx="1">
                  <c:v>331</c:v>
                </c:pt>
                <c:pt idx="2">
                  <c:v>202</c:v>
                </c:pt>
                <c:pt idx="3">
                  <c:v>163</c:v>
                </c:pt>
                <c:pt idx="4">
                  <c:v>120</c:v>
                </c:pt>
              </c:numCache>
            </c:numRef>
          </c:val>
          <c:extLst>
            <c:ext xmlns:c16="http://schemas.microsoft.com/office/drawing/2014/chart" uri="{C3380CC4-5D6E-409C-BE32-E72D297353CC}">
              <c16:uniqueId val="{0000000A-3B93-4C93-9BD3-9138FEBBE110}"/>
            </c:ext>
          </c:extLst>
        </c:ser>
        <c:dLbls>
          <c:showLegendKey val="0"/>
          <c:showVal val="1"/>
          <c:showCatName val="0"/>
          <c:showSerName val="0"/>
          <c:showPercent val="0"/>
          <c:showBubbleSize val="0"/>
          <c:showLeaderLines val="1"/>
        </c:dLbls>
        <c:firstSliceAng val="0"/>
        <c:holeSize val="56"/>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[SELF WORK 002.....xlsx]CHARTS!PivotTable1</c:name>
    <c:fmtId val="0"/>
  </c:pivotSource>
  <c:chart>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CHARTS!$B$2</c:f>
              <c:strCache>
                <c:ptCount val="1"/>
                <c:pt idx="0">
                  <c:v>Total Sales</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CHARTS!$A$3:$A$5</c:f>
              <c:strCache>
                <c:ptCount val="3"/>
                <c:pt idx="0">
                  <c:v>Clothing</c:v>
                </c:pt>
                <c:pt idx="1">
                  <c:v>Electronics</c:v>
                </c:pt>
                <c:pt idx="2">
                  <c:v>Furniture</c:v>
                </c:pt>
              </c:strCache>
            </c:strRef>
          </c:cat>
          <c:val>
            <c:numRef>
              <c:f>CHARTS!$B$3:$B$5</c:f>
              <c:numCache>
                <c:formatCode>[$₹-439]#,##0</c:formatCode>
                <c:ptCount val="3"/>
                <c:pt idx="0">
                  <c:v>144323</c:v>
                </c:pt>
                <c:pt idx="1">
                  <c:v>166267</c:v>
                </c:pt>
                <c:pt idx="2">
                  <c:v>127181</c:v>
                </c:pt>
              </c:numCache>
            </c:numRef>
          </c:val>
          <c:extLst>
            <c:ext xmlns:c16="http://schemas.microsoft.com/office/drawing/2014/chart" uri="{C3380CC4-5D6E-409C-BE32-E72D297353CC}">
              <c16:uniqueId val="{00000000-68AC-4EC1-9FAE-F0C8D36986C8}"/>
            </c:ext>
          </c:extLst>
        </c:ser>
        <c:ser>
          <c:idx val="1"/>
          <c:order val="1"/>
          <c:tx>
            <c:strRef>
              <c:f>CHARTS!$C$2</c:f>
              <c:strCache>
                <c:ptCount val="1"/>
                <c:pt idx="0">
                  <c:v>Total Profit</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CHARTS!$A$3:$A$5</c:f>
              <c:strCache>
                <c:ptCount val="3"/>
                <c:pt idx="0">
                  <c:v>Clothing</c:v>
                </c:pt>
                <c:pt idx="1">
                  <c:v>Electronics</c:v>
                </c:pt>
                <c:pt idx="2">
                  <c:v>Furniture</c:v>
                </c:pt>
              </c:strCache>
            </c:strRef>
          </c:cat>
          <c:val>
            <c:numRef>
              <c:f>CHARTS!$C$3:$C$5</c:f>
              <c:numCache>
                <c:formatCode>[$₹-439]#,##0</c:formatCode>
                <c:ptCount val="3"/>
                <c:pt idx="0">
                  <c:v>13325</c:v>
                </c:pt>
                <c:pt idx="1">
                  <c:v>13162</c:v>
                </c:pt>
                <c:pt idx="2">
                  <c:v>10476</c:v>
                </c:pt>
              </c:numCache>
            </c:numRef>
          </c:val>
          <c:extLst>
            <c:ext xmlns:c16="http://schemas.microsoft.com/office/drawing/2014/chart" uri="{C3380CC4-5D6E-409C-BE32-E72D297353CC}">
              <c16:uniqueId val="{00000001-68AC-4EC1-9FAE-F0C8D36986C8}"/>
            </c:ext>
          </c:extLst>
        </c:ser>
        <c:dLbls>
          <c:dLblPos val="outEnd"/>
          <c:showLegendKey val="0"/>
          <c:showVal val="1"/>
          <c:showCatName val="0"/>
          <c:showSerName val="0"/>
          <c:showPercent val="0"/>
          <c:showBubbleSize val="0"/>
        </c:dLbls>
        <c:gapWidth val="182"/>
        <c:axId val="685677519"/>
        <c:axId val="685690415"/>
      </c:barChart>
      <c:catAx>
        <c:axId val="685677519"/>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5690415"/>
        <c:crosses val="autoZero"/>
        <c:auto val="1"/>
        <c:lblAlgn val="ctr"/>
        <c:lblOffset val="100"/>
        <c:noMultiLvlLbl val="0"/>
      </c:catAx>
      <c:valAx>
        <c:axId val="685690415"/>
        <c:scaling>
          <c:orientation val="minMax"/>
        </c:scaling>
        <c:delete val="0"/>
        <c:axPos val="b"/>
        <c:numFmt formatCode="[$₹-43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5677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[SELF WORK 002.....xlsx]CHARTS!PivotTable2</c:name>
    <c:fmtId val="1"/>
  </c:pivotSource>
  <c:chart>
    <c:autoTitleDeleted val="1"/>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pivotFmt>
      <c:pivotFmt>
        <c:idx val="2"/>
        <c:spPr>
          <a:solidFill>
            <a:schemeClr val="accent6">
              <a:lumMod val="75000"/>
            </a:schemeClr>
          </a:solidFill>
          <a:ln>
            <a:noFill/>
          </a:ln>
          <a:effectLst/>
        </c:spPr>
      </c:pivotFmt>
      <c:pivotFmt>
        <c:idx val="3"/>
        <c:spPr>
          <a:solidFill>
            <a:schemeClr val="accent6">
              <a:lumMod val="75000"/>
            </a:schemeClr>
          </a:solidFill>
          <a:ln>
            <a:noFill/>
          </a:ln>
          <a:effectLst/>
        </c:spPr>
      </c:pivotFmt>
      <c:pivotFmt>
        <c:idx val="4"/>
        <c:spPr>
          <a:solidFill>
            <a:schemeClr val="accent6">
              <a:lumMod val="75000"/>
            </a:schemeClr>
          </a:solidFill>
          <a:ln>
            <a:noFill/>
          </a:ln>
          <a:effectLst/>
        </c:spPr>
      </c:pivotFmt>
      <c:pivotFmt>
        <c:idx val="5"/>
        <c:spPr>
          <a:solidFill>
            <a:schemeClr val="accent6">
              <a:lumMod val="75000"/>
            </a:schemeClr>
          </a:solidFill>
          <a:ln>
            <a:noFill/>
          </a:ln>
          <a:effectLst/>
        </c:spPr>
      </c:pivotFmt>
      <c:pivotFmt>
        <c:idx val="6"/>
        <c:spPr>
          <a:solidFill>
            <a:schemeClr val="accent6">
              <a:lumMod val="75000"/>
            </a:schemeClr>
          </a:solidFill>
          <a:ln>
            <a:noFill/>
          </a:ln>
          <a:effectLst/>
        </c:spPr>
      </c:pivotFmt>
      <c:pivotFmt>
        <c:idx val="7"/>
        <c:spPr>
          <a:solidFill>
            <a:schemeClr val="accent6">
              <a:lumMod val="75000"/>
            </a:schemeClr>
          </a:solidFill>
          <a:ln>
            <a:noFill/>
          </a:ln>
          <a:effectLst/>
        </c:spPr>
      </c:pivotFmt>
      <c:pivotFmt>
        <c:idx val="8"/>
        <c:spPr>
          <a:solidFill>
            <a:schemeClr val="accent6">
              <a:lumMod val="75000"/>
            </a:schemeClr>
          </a:solidFill>
          <a:ln>
            <a:noFill/>
          </a:ln>
          <a:effectLst/>
        </c:spPr>
      </c:pivotFmt>
      <c:pivotFmt>
        <c:idx val="9"/>
        <c:spPr>
          <a:solidFill>
            <a:schemeClr val="accent6">
              <a:lumMod val="75000"/>
            </a:schemeClr>
          </a:solidFill>
          <a:ln>
            <a:noFill/>
          </a:ln>
          <a:effectLst/>
        </c:spPr>
      </c:pivotFmt>
      <c:pivotFmt>
        <c:idx val="10"/>
        <c:spPr>
          <a:solidFill>
            <a:schemeClr val="accent6">
              <a:lumMod val="75000"/>
            </a:schemeClr>
          </a:solidFill>
          <a:ln>
            <a:noFill/>
          </a:ln>
          <a:effectLst/>
        </c:spPr>
      </c:pivotFmt>
      <c:pivotFmt>
        <c:idx val="11"/>
        <c:spPr>
          <a:solidFill>
            <a:schemeClr val="accent6">
              <a:lumMod val="75000"/>
            </a:schemeClr>
          </a:solidFill>
          <a:ln>
            <a:noFill/>
          </a:ln>
          <a:effectLst/>
        </c:spPr>
      </c:pivotFmt>
      <c:pivotFmt>
        <c:idx val="12"/>
        <c:spPr>
          <a:solidFill>
            <a:schemeClr val="accent6">
              <a:lumMod val="75000"/>
            </a:schemeClr>
          </a:solidFill>
          <a:ln>
            <a:noFill/>
          </a:ln>
          <a:effectLst/>
        </c:spPr>
      </c:pivotFmt>
      <c:pivotFmt>
        <c:idx val="13"/>
        <c:spPr>
          <a:solidFill>
            <a:schemeClr val="accent6">
              <a:lumMod val="75000"/>
            </a:schemeClr>
          </a:solidFill>
          <a:ln>
            <a:noFill/>
          </a:ln>
          <a:effectLst/>
        </c:spPr>
      </c:pivotFmt>
      <c:pivotFmt>
        <c:idx val="14"/>
        <c:spPr>
          <a:solidFill>
            <a:schemeClr val="accent6">
              <a:lumMod val="75000"/>
            </a:schemeClr>
          </a:solidFill>
          <a:ln>
            <a:noFill/>
          </a:ln>
          <a:effectLst/>
        </c:spPr>
      </c:pivotFmt>
      <c:pivotFmt>
        <c:idx val="15"/>
        <c:spPr>
          <a:solidFill>
            <a:schemeClr val="accent6">
              <a:lumMod val="75000"/>
            </a:schemeClr>
          </a:solidFill>
          <a:ln>
            <a:noFill/>
          </a:ln>
          <a:effectLst/>
        </c:spPr>
      </c:pivotFmt>
      <c:pivotFmt>
        <c:idx val="16"/>
        <c:spPr>
          <a:solidFill>
            <a:schemeClr val="accent6">
              <a:lumMod val="75000"/>
            </a:schemeClr>
          </a:solidFill>
          <a:ln>
            <a:noFill/>
          </a:ln>
          <a:effectLst/>
        </c:spPr>
      </c:pivotFmt>
      <c:pivotFmt>
        <c:idx val="17"/>
        <c:spPr>
          <a:solidFill>
            <a:schemeClr val="accent6">
              <a:lumMod val="75000"/>
            </a:schemeClr>
          </a:solidFill>
          <a:ln>
            <a:noFill/>
          </a:ln>
          <a:effectLst/>
        </c:spPr>
      </c:pivotFmt>
    </c:pivotFmts>
    <c:plotArea>
      <c:layout/>
      <c:barChart>
        <c:barDir val="bar"/>
        <c:grouping val="clustered"/>
        <c:varyColors val="0"/>
        <c:ser>
          <c:idx val="0"/>
          <c:order val="0"/>
          <c:tx>
            <c:strRef>
              <c:f>CHARTS!$B$12</c:f>
              <c:strCache>
                <c:ptCount val="1"/>
                <c:pt idx="0">
                  <c:v>Total</c:v>
                </c:pt>
              </c:strCache>
            </c:strRef>
          </c:tx>
          <c:spPr>
            <a:solidFill>
              <a:schemeClr val="accent6">
                <a:lumMod val="75000"/>
              </a:schemeClr>
            </a:solidFill>
            <a:ln>
              <a:noFill/>
            </a:ln>
            <a:effectLst/>
          </c:spPr>
          <c:invertIfNegative val="0"/>
          <c:cat>
            <c:strRef>
              <c:f>CHARTS!$A$13:$A$29</c:f>
              <c:strCache>
                <c:ptCount val="17"/>
                <c:pt idx="0">
                  <c:v>Printers</c:v>
                </c:pt>
                <c:pt idx="1">
                  <c:v>Bookcases</c:v>
                </c:pt>
                <c:pt idx="2">
                  <c:v>Saree</c:v>
                </c:pt>
                <c:pt idx="3">
                  <c:v>Accessories</c:v>
                </c:pt>
                <c:pt idx="4">
                  <c:v>Tables</c:v>
                </c:pt>
                <c:pt idx="5">
                  <c:v>Trousers</c:v>
                </c:pt>
                <c:pt idx="6">
                  <c:v>Stole</c:v>
                </c:pt>
                <c:pt idx="7">
                  <c:v>Phones</c:v>
                </c:pt>
                <c:pt idx="8">
                  <c:v>Handkerchief</c:v>
                </c:pt>
                <c:pt idx="9">
                  <c:v>Chairs</c:v>
                </c:pt>
                <c:pt idx="10">
                  <c:v>Shirt</c:v>
                </c:pt>
                <c:pt idx="11">
                  <c:v>T-shirt</c:v>
                </c:pt>
                <c:pt idx="12">
                  <c:v>Leggings</c:v>
                </c:pt>
                <c:pt idx="13">
                  <c:v>Skirt</c:v>
                </c:pt>
                <c:pt idx="14">
                  <c:v>Kurti</c:v>
                </c:pt>
                <c:pt idx="15">
                  <c:v>Electronic Games</c:v>
                </c:pt>
                <c:pt idx="16">
                  <c:v>Furnishings</c:v>
                </c:pt>
              </c:strCache>
            </c:strRef>
          </c:cat>
          <c:val>
            <c:numRef>
              <c:f>CHARTS!$B$13:$B$29</c:f>
              <c:numCache>
                <c:formatCode>General</c:formatCode>
                <c:ptCount val="17"/>
                <c:pt idx="0">
                  <c:v>8606</c:v>
                </c:pt>
                <c:pt idx="1">
                  <c:v>6516</c:v>
                </c:pt>
                <c:pt idx="2">
                  <c:v>4057</c:v>
                </c:pt>
                <c:pt idx="3">
                  <c:v>3353</c:v>
                </c:pt>
                <c:pt idx="4">
                  <c:v>3139</c:v>
                </c:pt>
                <c:pt idx="5">
                  <c:v>2847</c:v>
                </c:pt>
                <c:pt idx="6">
                  <c:v>2431</c:v>
                </c:pt>
                <c:pt idx="7">
                  <c:v>1847</c:v>
                </c:pt>
                <c:pt idx="8">
                  <c:v>1823</c:v>
                </c:pt>
                <c:pt idx="9">
                  <c:v>1627</c:v>
                </c:pt>
                <c:pt idx="10">
                  <c:v>1513</c:v>
                </c:pt>
                <c:pt idx="11">
                  <c:v>1500</c:v>
                </c:pt>
                <c:pt idx="12">
                  <c:v>-130</c:v>
                </c:pt>
                <c:pt idx="13">
                  <c:v>-315</c:v>
                </c:pt>
                <c:pt idx="14">
                  <c:v>-401</c:v>
                </c:pt>
                <c:pt idx="15">
                  <c:v>-644</c:v>
                </c:pt>
                <c:pt idx="16">
                  <c:v>-806</c:v>
                </c:pt>
              </c:numCache>
            </c:numRef>
          </c:val>
          <c:extLst>
            <c:ext xmlns:c16="http://schemas.microsoft.com/office/drawing/2014/chart" uri="{C3380CC4-5D6E-409C-BE32-E72D297353CC}">
              <c16:uniqueId val="{00000000-4091-465B-B97B-0A954BB52B58}"/>
            </c:ext>
          </c:extLst>
        </c:ser>
        <c:dLbls>
          <c:showLegendKey val="0"/>
          <c:showVal val="0"/>
          <c:showCatName val="0"/>
          <c:showSerName val="0"/>
          <c:showPercent val="0"/>
          <c:showBubbleSize val="0"/>
        </c:dLbls>
        <c:gapWidth val="219"/>
        <c:axId val="740712047"/>
        <c:axId val="740697487"/>
      </c:barChart>
      <c:catAx>
        <c:axId val="740712047"/>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0697487"/>
        <c:crosses val="autoZero"/>
        <c:auto val="1"/>
        <c:lblAlgn val="ctr"/>
        <c:lblOffset val="100"/>
        <c:noMultiLvlLbl val="0"/>
      </c:catAx>
      <c:valAx>
        <c:axId val="7406974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07120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[SELF WORK 002.....xlsx]CHARTS!PivotTable3</c:name>
    <c:fmtId val="2"/>
  </c:pivotSource>
  <c:chart>
    <c:autoTitleDeleted val="1"/>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pivotFmt>
      <c:pivotFmt>
        <c:idx val="2"/>
        <c:spPr>
          <a:solidFill>
            <a:schemeClr val="accent6">
              <a:lumMod val="75000"/>
            </a:schemeClr>
          </a:solidFill>
          <a:ln>
            <a:noFill/>
          </a:ln>
          <a:effectLst/>
        </c:spPr>
      </c:pivotFmt>
      <c:pivotFmt>
        <c:idx val="3"/>
        <c:spPr>
          <a:solidFill>
            <a:schemeClr val="accent6">
              <a:lumMod val="75000"/>
            </a:schemeClr>
          </a:solidFill>
          <a:ln>
            <a:noFill/>
          </a:ln>
          <a:effectLst/>
        </c:spPr>
      </c:pivotFmt>
      <c:pivotFmt>
        <c:idx val="4"/>
        <c:spPr>
          <a:solidFill>
            <a:schemeClr val="accent6">
              <a:lumMod val="75000"/>
            </a:schemeClr>
          </a:solidFill>
          <a:ln>
            <a:noFill/>
          </a:ln>
          <a:effectLst/>
        </c:spPr>
      </c:pivotFmt>
    </c:pivotFmts>
    <c:plotArea>
      <c:layout/>
      <c:barChart>
        <c:barDir val="col"/>
        <c:grouping val="clustered"/>
        <c:varyColors val="0"/>
        <c:ser>
          <c:idx val="0"/>
          <c:order val="0"/>
          <c:tx>
            <c:strRef>
              <c:f>CHARTS!$B$32</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CHARTS!$A$33:$A$37</c:f>
              <c:strCache>
                <c:ptCount val="5"/>
                <c:pt idx="0">
                  <c:v>Credit Card</c:v>
                </c:pt>
                <c:pt idx="1">
                  <c:v>COD</c:v>
                </c:pt>
                <c:pt idx="2">
                  <c:v>Debit Card</c:v>
                </c:pt>
                <c:pt idx="3">
                  <c:v>EMI</c:v>
                </c:pt>
                <c:pt idx="4">
                  <c:v>UPI</c:v>
                </c:pt>
              </c:strCache>
            </c:strRef>
          </c:cat>
          <c:val>
            <c:numRef>
              <c:f>CHARTS!$B$33:$B$37</c:f>
              <c:numCache>
                <c:formatCode>0%</c:formatCode>
                <c:ptCount val="5"/>
                <c:pt idx="0">
                  <c:v>0.14507891225325542</c:v>
                </c:pt>
                <c:pt idx="1">
                  <c:v>8.085397052474208E-2</c:v>
                </c:pt>
                <c:pt idx="2">
                  <c:v>7.5179094757408013E-2</c:v>
                </c:pt>
                <c:pt idx="3">
                  <c:v>6.1940653047598257E-2</c:v>
                </c:pt>
                <c:pt idx="4">
                  <c:v>4.7872262933232324E-2</c:v>
                </c:pt>
              </c:numCache>
            </c:numRef>
          </c:val>
          <c:extLst>
            <c:ext xmlns:c16="http://schemas.microsoft.com/office/drawing/2014/chart" uri="{C3380CC4-5D6E-409C-BE32-E72D297353CC}">
              <c16:uniqueId val="{00000000-2166-4DE7-B540-202651AD167C}"/>
            </c:ext>
          </c:extLst>
        </c:ser>
        <c:dLbls>
          <c:dLblPos val="outEnd"/>
          <c:showLegendKey val="0"/>
          <c:showVal val="1"/>
          <c:showCatName val="0"/>
          <c:showSerName val="0"/>
          <c:showPercent val="0"/>
          <c:showBubbleSize val="0"/>
        </c:dLbls>
        <c:gapWidth val="219"/>
        <c:overlap val="-27"/>
        <c:axId val="740702479"/>
        <c:axId val="740707471"/>
      </c:barChart>
      <c:catAx>
        <c:axId val="740702479"/>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0707471"/>
        <c:crosses val="autoZero"/>
        <c:auto val="1"/>
        <c:lblAlgn val="ctr"/>
        <c:lblOffset val="100"/>
        <c:noMultiLvlLbl val="0"/>
      </c:catAx>
      <c:valAx>
        <c:axId val="740707471"/>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07024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[SELF WORK 002.....xlsx]CHARTS!PivotTable4</c:name>
    <c:fmtId val="3"/>
  </c:pivotSource>
  <c:chart>
    <c:autoTitleDeleted val="1"/>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CHARTS!$B$41</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CHARTS!$A$42:$A$45</c:f>
              <c:strCache>
                <c:ptCount val="4"/>
                <c:pt idx="0">
                  <c:v>1-3</c:v>
                </c:pt>
                <c:pt idx="1">
                  <c:v>2-7</c:v>
                </c:pt>
                <c:pt idx="2">
                  <c:v>8-10</c:v>
                </c:pt>
                <c:pt idx="3">
                  <c:v>11 and above</c:v>
                </c:pt>
              </c:strCache>
            </c:strRef>
          </c:cat>
          <c:val>
            <c:numRef>
              <c:f>CHARTS!$B$42:$B$45</c:f>
              <c:numCache>
                <c:formatCode>0%</c:formatCode>
                <c:ptCount val="4"/>
                <c:pt idx="0">
                  <c:v>9.804696150784388E-2</c:v>
                </c:pt>
                <c:pt idx="1">
                  <c:v>7.3686195874446581E-2</c:v>
                </c:pt>
                <c:pt idx="2">
                  <c:v>0.10347682119205298</c:v>
                </c:pt>
                <c:pt idx="3">
                  <c:v>4.5298866509010847E-2</c:v>
                </c:pt>
              </c:numCache>
            </c:numRef>
          </c:val>
          <c:extLst>
            <c:ext xmlns:c16="http://schemas.microsoft.com/office/drawing/2014/chart" uri="{C3380CC4-5D6E-409C-BE32-E72D297353CC}">
              <c16:uniqueId val="{00000000-53EE-4BED-9619-C944D5B2DB98}"/>
            </c:ext>
          </c:extLst>
        </c:ser>
        <c:dLbls>
          <c:dLblPos val="outEnd"/>
          <c:showLegendKey val="0"/>
          <c:showVal val="1"/>
          <c:showCatName val="0"/>
          <c:showSerName val="0"/>
          <c:showPercent val="0"/>
          <c:showBubbleSize val="0"/>
        </c:dLbls>
        <c:gapWidth val="219"/>
        <c:overlap val="-27"/>
        <c:axId val="785821343"/>
        <c:axId val="785812607"/>
      </c:barChart>
      <c:catAx>
        <c:axId val="78582134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5812607"/>
        <c:crosses val="autoZero"/>
        <c:auto val="1"/>
        <c:lblAlgn val="ctr"/>
        <c:lblOffset val="100"/>
        <c:noMultiLvlLbl val="0"/>
      </c:catAx>
      <c:valAx>
        <c:axId val="78581260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58213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[SELF WORK 002.....xlsx]CHARTS!PivotTable5</c:name>
    <c:fmtId val="6"/>
  </c:pivotSource>
  <c:chart>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4">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CHARTS!$B$53</c:f>
              <c:strCache>
                <c:ptCount val="1"/>
                <c:pt idx="0">
                  <c:v>Order</c:v>
                </c:pt>
              </c:strCache>
            </c:strRef>
          </c:tx>
          <c:spPr>
            <a:solidFill>
              <a:schemeClr val="accent6">
                <a:lumMod val="75000"/>
              </a:schemeClr>
            </a:solidFill>
            <a:ln>
              <a:noFill/>
            </a:ln>
            <a:effectLst/>
          </c:spPr>
          <c:invertIfNegative val="0"/>
          <c:cat>
            <c:strRef>
              <c:f>CHARTS!$A$54:$A$58</c:f>
              <c:strCache>
                <c:ptCount val="5"/>
                <c:pt idx="0">
                  <c:v>COD</c:v>
                </c:pt>
                <c:pt idx="1">
                  <c:v>Credit Card</c:v>
                </c:pt>
                <c:pt idx="2">
                  <c:v>Debit Card</c:v>
                </c:pt>
                <c:pt idx="3">
                  <c:v>EMI</c:v>
                </c:pt>
                <c:pt idx="4">
                  <c:v>UPI</c:v>
                </c:pt>
              </c:strCache>
            </c:strRef>
          </c:cat>
          <c:val>
            <c:numRef>
              <c:f>CHARTS!$B$54:$B$58</c:f>
              <c:numCache>
                <c:formatCode>0</c:formatCode>
                <c:ptCount val="5"/>
                <c:pt idx="0">
                  <c:v>684</c:v>
                </c:pt>
                <c:pt idx="1">
                  <c:v>163</c:v>
                </c:pt>
                <c:pt idx="2">
                  <c:v>202</c:v>
                </c:pt>
                <c:pt idx="3">
                  <c:v>120</c:v>
                </c:pt>
                <c:pt idx="4">
                  <c:v>331</c:v>
                </c:pt>
              </c:numCache>
            </c:numRef>
          </c:val>
          <c:extLst>
            <c:ext xmlns:c16="http://schemas.microsoft.com/office/drawing/2014/chart" uri="{C3380CC4-5D6E-409C-BE32-E72D297353CC}">
              <c16:uniqueId val="{00000000-4115-422E-A3E6-635CA2250D08}"/>
            </c:ext>
          </c:extLst>
        </c:ser>
        <c:dLbls>
          <c:showLegendKey val="0"/>
          <c:showVal val="0"/>
          <c:showCatName val="0"/>
          <c:showSerName val="0"/>
          <c:showPercent val="0"/>
          <c:showBubbleSize val="0"/>
        </c:dLbls>
        <c:gapWidth val="219"/>
        <c:overlap val="-27"/>
        <c:axId val="745896127"/>
        <c:axId val="745896543"/>
      </c:barChart>
      <c:lineChart>
        <c:grouping val="standard"/>
        <c:varyColors val="0"/>
        <c:ser>
          <c:idx val="1"/>
          <c:order val="1"/>
          <c:tx>
            <c:strRef>
              <c:f>CHARTS!$C$53</c:f>
              <c:strCache>
                <c:ptCount val="1"/>
                <c:pt idx="0">
                  <c:v>Avg. Sale</c:v>
                </c:pt>
              </c:strCache>
            </c:strRef>
          </c:tx>
          <c:spPr>
            <a:ln w="28575" cap="rnd">
              <a:solidFill>
                <a:schemeClr val="accent4">
                  <a:lumMod val="75000"/>
                </a:schemeClr>
              </a:solidFill>
              <a:round/>
            </a:ln>
            <a:effectLst/>
          </c:spPr>
          <c:marker>
            <c:symbol val="none"/>
          </c:marker>
          <c:cat>
            <c:strRef>
              <c:f>CHARTS!$A$54:$A$58</c:f>
              <c:strCache>
                <c:ptCount val="5"/>
                <c:pt idx="0">
                  <c:v>COD</c:v>
                </c:pt>
                <c:pt idx="1">
                  <c:v>Credit Card</c:v>
                </c:pt>
                <c:pt idx="2">
                  <c:v>Debit Card</c:v>
                </c:pt>
                <c:pt idx="3">
                  <c:v>EMI</c:v>
                </c:pt>
                <c:pt idx="4">
                  <c:v>UPI</c:v>
                </c:pt>
              </c:strCache>
            </c:strRef>
          </c:cat>
          <c:val>
            <c:numRef>
              <c:f>CHARTS!$C$54:$C$58</c:f>
              <c:numCache>
                <c:formatCode>0</c:formatCode>
                <c:ptCount val="5"/>
                <c:pt idx="0">
                  <c:v>226.87280701754386</c:v>
                </c:pt>
                <c:pt idx="1">
                  <c:v>533.32515337423308</c:v>
                </c:pt>
                <c:pt idx="2">
                  <c:v>243.24752475247524</c:v>
                </c:pt>
                <c:pt idx="3">
                  <c:v>649.00833333333333</c:v>
                </c:pt>
                <c:pt idx="4">
                  <c:v>207.37462235649548</c:v>
                </c:pt>
              </c:numCache>
            </c:numRef>
          </c:val>
          <c:smooth val="0"/>
          <c:extLst>
            <c:ext xmlns:c16="http://schemas.microsoft.com/office/drawing/2014/chart" uri="{C3380CC4-5D6E-409C-BE32-E72D297353CC}">
              <c16:uniqueId val="{00000001-4115-422E-A3E6-635CA2250D08}"/>
            </c:ext>
          </c:extLst>
        </c:ser>
        <c:dLbls>
          <c:showLegendKey val="0"/>
          <c:showVal val="0"/>
          <c:showCatName val="0"/>
          <c:showSerName val="0"/>
          <c:showPercent val="0"/>
          <c:showBubbleSize val="0"/>
        </c:dLbls>
        <c:marker val="1"/>
        <c:smooth val="0"/>
        <c:axId val="820287391"/>
        <c:axId val="820286975"/>
      </c:lineChart>
      <c:catAx>
        <c:axId val="745896127"/>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5896543"/>
        <c:crosses val="autoZero"/>
        <c:auto val="1"/>
        <c:lblAlgn val="ctr"/>
        <c:lblOffset val="100"/>
        <c:noMultiLvlLbl val="0"/>
      </c:catAx>
      <c:valAx>
        <c:axId val="74589654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5896127"/>
        <c:crosses val="autoZero"/>
        <c:crossBetween val="between"/>
      </c:valAx>
      <c:valAx>
        <c:axId val="820286975"/>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0287391"/>
        <c:crosses val="max"/>
        <c:crossBetween val="between"/>
      </c:valAx>
      <c:catAx>
        <c:axId val="820287391"/>
        <c:scaling>
          <c:orientation val="minMax"/>
        </c:scaling>
        <c:delete val="1"/>
        <c:axPos val="b"/>
        <c:numFmt formatCode="General" sourceLinked="1"/>
        <c:majorTickMark val="out"/>
        <c:minorTickMark val="none"/>
        <c:tickLblPos val="nextTo"/>
        <c:crossAx val="820286975"/>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[SELF WORK 002.....xlsx]CHARTS!PivotTable6</c:name>
    <c:fmtId val="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C9A227"/>
          </a:solidFill>
          <a:ln w="19050">
            <a:solidFill>
              <a:schemeClr val="lt1"/>
            </a:solidFill>
          </a:ln>
          <a:effectLst/>
        </c:spPr>
      </c:pivotFmt>
      <c:pivotFmt>
        <c:idx val="2"/>
        <c:spPr>
          <a:solidFill>
            <a:schemeClr val="accent6">
              <a:lumMod val="50000"/>
            </a:schemeClr>
          </a:solidFill>
          <a:ln w="19050">
            <a:solidFill>
              <a:schemeClr val="lt1"/>
            </a:solidFill>
          </a:ln>
          <a:effectLst/>
        </c:spPr>
      </c:pivotFmt>
      <c:pivotFmt>
        <c:idx val="3"/>
        <c:spPr>
          <a:solidFill>
            <a:srgbClr val="9E7800"/>
          </a:solidFill>
          <a:ln w="19050">
            <a:solidFill>
              <a:schemeClr val="lt1"/>
            </a:solidFill>
          </a:ln>
          <a:effectLst/>
        </c:spPr>
      </c:pivotFmt>
      <c:pivotFmt>
        <c:idx val="4"/>
        <c:spPr>
          <a:solidFill>
            <a:srgbClr val="83BC5C"/>
          </a:solidFill>
          <a:ln w="19050">
            <a:solidFill>
              <a:schemeClr val="lt1"/>
            </a:solidFill>
          </a:ln>
          <a:effectLst/>
        </c:spPr>
      </c:pivotFmt>
      <c:pivotFmt>
        <c:idx val="5"/>
        <c:spPr>
          <a:solidFill>
            <a:schemeClr val="accent6">
              <a:lumMod val="75000"/>
            </a:schemeClr>
          </a:solidFill>
          <a:ln w="19050">
            <a:solidFill>
              <a:schemeClr val="lt1"/>
            </a:solidFill>
          </a:ln>
          <a:effectLst/>
        </c:spPr>
      </c:pivotFmt>
    </c:pivotFmts>
    <c:plotArea>
      <c:layout/>
      <c:doughnutChart>
        <c:varyColors val="1"/>
        <c:ser>
          <c:idx val="0"/>
          <c:order val="0"/>
          <c:tx>
            <c:strRef>
              <c:f>CHARTS!$B$65</c:f>
              <c:strCache>
                <c:ptCount val="1"/>
                <c:pt idx="0">
                  <c:v>Total</c:v>
                </c:pt>
              </c:strCache>
            </c:strRef>
          </c:tx>
          <c:dPt>
            <c:idx val="0"/>
            <c:bubble3D val="0"/>
            <c:spPr>
              <a:solidFill>
                <a:srgbClr val="C9A227"/>
              </a:solidFill>
              <a:ln w="19050">
                <a:solidFill>
                  <a:schemeClr val="lt1"/>
                </a:solidFill>
              </a:ln>
              <a:effectLst/>
            </c:spPr>
            <c:extLst>
              <c:ext xmlns:c16="http://schemas.microsoft.com/office/drawing/2014/chart" uri="{C3380CC4-5D6E-409C-BE32-E72D297353CC}">
                <c16:uniqueId val="{00000002-82F8-4B49-BE18-C1701D2E00D7}"/>
              </c:ext>
            </c:extLst>
          </c:dPt>
          <c:dPt>
            <c:idx val="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5-82F8-4B49-BE18-C1701D2E00D7}"/>
              </c:ext>
            </c:extLst>
          </c:dPt>
          <c:dPt>
            <c:idx val="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6-82F8-4B49-BE18-C1701D2E00D7}"/>
              </c:ext>
            </c:extLst>
          </c:dPt>
          <c:dPt>
            <c:idx val="3"/>
            <c:bubble3D val="0"/>
            <c:spPr>
              <a:solidFill>
                <a:srgbClr val="83BC5C"/>
              </a:solidFill>
              <a:ln w="19050">
                <a:solidFill>
                  <a:schemeClr val="lt1"/>
                </a:solidFill>
              </a:ln>
              <a:effectLst/>
            </c:spPr>
            <c:extLst>
              <c:ext xmlns:c16="http://schemas.microsoft.com/office/drawing/2014/chart" uri="{C3380CC4-5D6E-409C-BE32-E72D297353CC}">
                <c16:uniqueId val="{00000004-82F8-4B49-BE18-C1701D2E00D7}"/>
              </c:ext>
            </c:extLst>
          </c:dPt>
          <c:dPt>
            <c:idx val="4"/>
            <c:bubble3D val="0"/>
            <c:spPr>
              <a:solidFill>
                <a:srgbClr val="9E7800"/>
              </a:solidFill>
              <a:ln w="19050">
                <a:solidFill>
                  <a:schemeClr val="lt1"/>
                </a:solidFill>
              </a:ln>
              <a:effectLst/>
            </c:spPr>
            <c:extLst>
              <c:ext xmlns:c16="http://schemas.microsoft.com/office/drawing/2014/chart" uri="{C3380CC4-5D6E-409C-BE32-E72D297353CC}">
                <c16:uniqueId val="{00000003-82F8-4B49-BE18-C1701D2E00D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CHARTS!$A$66:$A$70</c:f>
              <c:strCache>
                <c:ptCount val="5"/>
                <c:pt idx="0">
                  <c:v>COD</c:v>
                </c:pt>
                <c:pt idx="1">
                  <c:v>UPI</c:v>
                </c:pt>
                <c:pt idx="2">
                  <c:v>Debit Card</c:v>
                </c:pt>
                <c:pt idx="3">
                  <c:v>Credit Card</c:v>
                </c:pt>
                <c:pt idx="4">
                  <c:v>EMI</c:v>
                </c:pt>
              </c:strCache>
            </c:strRef>
          </c:cat>
          <c:val>
            <c:numRef>
              <c:f>CHARTS!$B$66:$B$70</c:f>
              <c:numCache>
                <c:formatCode>0</c:formatCode>
                <c:ptCount val="5"/>
                <c:pt idx="0">
                  <c:v>684</c:v>
                </c:pt>
                <c:pt idx="1">
                  <c:v>331</c:v>
                </c:pt>
                <c:pt idx="2">
                  <c:v>202</c:v>
                </c:pt>
                <c:pt idx="3">
                  <c:v>163</c:v>
                </c:pt>
                <c:pt idx="4">
                  <c:v>120</c:v>
                </c:pt>
              </c:numCache>
            </c:numRef>
          </c:val>
          <c:extLst>
            <c:ext xmlns:c16="http://schemas.microsoft.com/office/drawing/2014/chart" uri="{C3380CC4-5D6E-409C-BE32-E72D297353CC}">
              <c16:uniqueId val="{00000000-82F8-4B49-BE18-C1701D2E00D7}"/>
            </c:ext>
          </c:extLst>
        </c:ser>
        <c:dLbls>
          <c:showLegendKey val="0"/>
          <c:showVal val="1"/>
          <c:showCatName val="0"/>
          <c:showSerName val="0"/>
          <c:showPercent val="0"/>
          <c:showBubbleSize val="0"/>
          <c:showLeaderLines val="1"/>
        </c:dLbls>
        <c:firstSliceAng val="0"/>
        <c:holeSize val="56"/>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8</xdr:col>
      <xdr:colOff>75762</xdr:colOff>
      <xdr:row>0</xdr:row>
      <xdr:rowOff>0</xdr:rowOff>
    </xdr:from>
    <xdr:to>
      <xdr:col>23</xdr:col>
      <xdr:colOff>533400</xdr:colOff>
      <xdr:row>44</xdr:row>
      <xdr:rowOff>43793</xdr:rowOff>
    </xdr:to>
    <xdr:sp macro="" textlink="">
      <xdr:nvSpPr>
        <xdr:cNvPr id="50" name="Rectangle: Beveled 49">
          <a:extLst>
            <a:ext uri="{FF2B5EF4-FFF2-40B4-BE49-F238E27FC236}">
              <a16:creationId xmlns:a16="http://schemas.microsoft.com/office/drawing/2014/main" id="{3E8FEEAC-178F-489D-8F3D-A1DB8F05D98A}"/>
            </a:ext>
          </a:extLst>
        </xdr:cNvPr>
        <xdr:cNvSpPr/>
      </xdr:nvSpPr>
      <xdr:spPr>
        <a:xfrm>
          <a:off x="4952562" y="0"/>
          <a:ext cx="9601638" cy="8425793"/>
        </a:xfrm>
        <a:prstGeom prst="bevel">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21897</xdr:colOff>
      <xdr:row>0</xdr:row>
      <xdr:rowOff>0</xdr:rowOff>
    </xdr:from>
    <xdr:to>
      <xdr:col>8</xdr:col>
      <xdr:colOff>76637</xdr:colOff>
      <xdr:row>44</xdr:row>
      <xdr:rowOff>43796</xdr:rowOff>
    </xdr:to>
    <xdr:sp macro="" textlink="">
      <xdr:nvSpPr>
        <xdr:cNvPr id="49" name="Rectangle: Beveled 48">
          <a:extLst>
            <a:ext uri="{FF2B5EF4-FFF2-40B4-BE49-F238E27FC236}">
              <a16:creationId xmlns:a16="http://schemas.microsoft.com/office/drawing/2014/main" id="{AA9F4752-2F03-4089-BDAA-E474997ADD1C}"/>
            </a:ext>
          </a:extLst>
        </xdr:cNvPr>
        <xdr:cNvSpPr/>
      </xdr:nvSpPr>
      <xdr:spPr>
        <a:xfrm rot="5400000">
          <a:off x="-1614872" y="1636769"/>
          <a:ext cx="8233106" cy="4959568"/>
        </a:xfrm>
        <a:prstGeom prst="bevel">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146520</xdr:colOff>
      <xdr:row>0</xdr:row>
      <xdr:rowOff>161925</xdr:rowOff>
    </xdr:from>
    <xdr:to>
      <xdr:col>23</xdr:col>
      <xdr:colOff>304800</xdr:colOff>
      <xdr:row>3</xdr:row>
      <xdr:rowOff>152400</xdr:rowOff>
    </xdr:to>
    <xdr:sp macro="" textlink="">
      <xdr:nvSpPr>
        <xdr:cNvPr id="8" name="Rectangle 7">
          <a:extLst>
            <a:ext uri="{FF2B5EF4-FFF2-40B4-BE49-F238E27FC236}">
              <a16:creationId xmlns:a16="http://schemas.microsoft.com/office/drawing/2014/main" id="{6035E04D-1F27-4AF8-A788-4F549E05B874}"/>
            </a:ext>
          </a:extLst>
        </xdr:cNvPr>
        <xdr:cNvSpPr/>
      </xdr:nvSpPr>
      <xdr:spPr>
        <a:xfrm>
          <a:off x="146520" y="161925"/>
          <a:ext cx="14179080" cy="561975"/>
        </a:xfrm>
        <a:prstGeom prst="rect">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xdr:col>
      <xdr:colOff>85724</xdr:colOff>
      <xdr:row>0</xdr:row>
      <xdr:rowOff>161925</xdr:rowOff>
    </xdr:from>
    <xdr:ext cx="12963525" cy="561949"/>
    <xdr:sp macro="" textlink="">
      <xdr:nvSpPr>
        <xdr:cNvPr id="3" name="TextBox 2">
          <a:extLst>
            <a:ext uri="{FF2B5EF4-FFF2-40B4-BE49-F238E27FC236}">
              <a16:creationId xmlns:a16="http://schemas.microsoft.com/office/drawing/2014/main" id="{0C00C6C6-DE01-4A70-9AFF-E09813A4D332}"/>
            </a:ext>
          </a:extLst>
        </xdr:cNvPr>
        <xdr:cNvSpPr txBox="1"/>
      </xdr:nvSpPr>
      <xdr:spPr>
        <a:xfrm>
          <a:off x="695324" y="161925"/>
          <a:ext cx="12963525" cy="5619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3000" b="1">
              <a:solidFill>
                <a:schemeClr val="accent6">
                  <a:lumMod val="60000"/>
                  <a:lumOff val="40000"/>
                </a:schemeClr>
              </a:solidFill>
            </a:rPr>
            <a:t>E - COMMERCE</a:t>
          </a:r>
          <a:r>
            <a:rPr lang="en-US" sz="3000" b="1" baseline="0">
              <a:solidFill>
                <a:schemeClr val="accent6">
                  <a:lumMod val="60000"/>
                  <a:lumOff val="40000"/>
                </a:schemeClr>
              </a:solidFill>
            </a:rPr>
            <a:t> SALES &amp; PROFIT DASHBOARD</a:t>
          </a:r>
          <a:endParaRPr lang="en-US" sz="3000" b="1">
            <a:solidFill>
              <a:schemeClr val="accent6">
                <a:lumMod val="60000"/>
                <a:lumOff val="40000"/>
              </a:schemeClr>
            </a:solidFill>
          </a:endParaRPr>
        </a:p>
      </xdr:txBody>
    </xdr:sp>
    <xdr:clientData/>
  </xdr:oneCellAnchor>
  <xdr:twoCellAnchor editAs="oneCell">
    <xdr:from>
      <xdr:col>0</xdr:col>
      <xdr:colOff>451710</xdr:colOff>
      <xdr:row>3</xdr:row>
      <xdr:rowOff>152400</xdr:rowOff>
    </xdr:from>
    <xdr:to>
      <xdr:col>13</xdr:col>
      <xdr:colOff>209550</xdr:colOff>
      <xdr:row>7</xdr:row>
      <xdr:rowOff>38100</xdr:rowOff>
    </xdr:to>
    <mc:AlternateContent xmlns:mc="http://schemas.openxmlformats.org/markup-compatibility/2006">
      <mc:Choice xmlns:a14="http://schemas.microsoft.com/office/drawing/2010/main" Requires="a14">
        <xdr:graphicFrame macro="">
          <xdr:nvGraphicFramePr>
            <xdr:cNvPr id="4" name="payment_mode">
              <a:extLst>
                <a:ext uri="{FF2B5EF4-FFF2-40B4-BE49-F238E27FC236}">
                  <a16:creationId xmlns:a16="http://schemas.microsoft.com/office/drawing/2014/main" id="{E9BD24D6-F02C-4B10-B1D5-AA3E27F09977}"/>
                </a:ext>
              </a:extLst>
            </xdr:cNvPr>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dr:sp macro="" textlink="">
          <xdr:nvSpPr>
            <xdr:cNvPr id="0" name=""/>
            <xdr:cNvSpPr>
              <a:spLocks noTextEdit="1"/>
            </xdr:cNvSpPr>
          </xdr:nvSpPr>
          <xdr:spPr>
            <a:xfrm>
              <a:off x="451710" y="723900"/>
              <a:ext cx="7682640" cy="647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190501</xdr:colOff>
      <xdr:row>3</xdr:row>
      <xdr:rowOff>142875</xdr:rowOff>
    </xdr:from>
    <xdr:to>
      <xdr:col>23</xdr:col>
      <xdr:colOff>174705</xdr:colOff>
      <xdr:row>7</xdr:row>
      <xdr:rowOff>38100</xdr:rowOff>
    </xdr:to>
    <mc:AlternateContent xmlns:mc="http://schemas.openxmlformats.org/markup-compatibility/2006">
      <mc:Choice xmlns:a14="http://schemas.microsoft.com/office/drawing/2010/main" Requires="a14">
        <xdr:graphicFrame macro="">
          <xdr:nvGraphicFramePr>
            <xdr:cNvPr id="5" name="category">
              <a:extLst>
                <a:ext uri="{FF2B5EF4-FFF2-40B4-BE49-F238E27FC236}">
                  <a16:creationId xmlns:a16="http://schemas.microsoft.com/office/drawing/2014/main" id="{B6DF80B0-023D-4975-AB82-7AE24488398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8115301" y="714375"/>
              <a:ext cx="6080204" cy="6572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498928</xdr:colOff>
      <xdr:row>7</xdr:row>
      <xdr:rowOff>102960</xdr:rowOff>
    </xdr:from>
    <xdr:to>
      <xdr:col>4</xdr:col>
      <xdr:colOff>249463</xdr:colOff>
      <xdr:row>12</xdr:row>
      <xdr:rowOff>87586</xdr:rowOff>
    </xdr:to>
    <xdr:sp macro="" textlink="">
      <xdr:nvSpPr>
        <xdr:cNvPr id="16" name="Rectangle: Diagonal Corners Rounded 15">
          <a:extLst>
            <a:ext uri="{FF2B5EF4-FFF2-40B4-BE49-F238E27FC236}">
              <a16:creationId xmlns:a16="http://schemas.microsoft.com/office/drawing/2014/main" id="{384537B8-7312-48A2-87E2-EBA789B2FD18}"/>
            </a:ext>
          </a:extLst>
        </xdr:cNvPr>
        <xdr:cNvSpPr/>
      </xdr:nvSpPr>
      <xdr:spPr>
        <a:xfrm>
          <a:off x="498928" y="1405805"/>
          <a:ext cx="2202949" cy="915229"/>
        </a:xfrm>
        <a:prstGeom prst="round2DiagRect">
          <a:avLst/>
        </a:prstGeom>
        <a:solidFill>
          <a:schemeClr val="accent6">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333827</xdr:colOff>
      <xdr:row>7</xdr:row>
      <xdr:rowOff>102959</xdr:rowOff>
    </xdr:from>
    <xdr:to>
      <xdr:col>8</xdr:col>
      <xdr:colOff>84363</xdr:colOff>
      <xdr:row>12</xdr:row>
      <xdr:rowOff>109483</xdr:rowOff>
    </xdr:to>
    <xdr:sp macro="" textlink="">
      <xdr:nvSpPr>
        <xdr:cNvPr id="23" name="Rectangle: Diagonal Corners Rounded 22">
          <a:extLst>
            <a:ext uri="{FF2B5EF4-FFF2-40B4-BE49-F238E27FC236}">
              <a16:creationId xmlns:a16="http://schemas.microsoft.com/office/drawing/2014/main" id="{2A44C69C-DF32-47CB-944D-FAE063E962C2}"/>
            </a:ext>
          </a:extLst>
        </xdr:cNvPr>
        <xdr:cNvSpPr/>
      </xdr:nvSpPr>
      <xdr:spPr>
        <a:xfrm>
          <a:off x="2786241" y="1405804"/>
          <a:ext cx="2202950" cy="937127"/>
        </a:xfrm>
        <a:prstGeom prst="round2DiagRect">
          <a:avLst/>
        </a:prstGeom>
        <a:solidFill>
          <a:schemeClr val="accent6">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168727</xdr:colOff>
      <xdr:row>7</xdr:row>
      <xdr:rowOff>102959</xdr:rowOff>
    </xdr:from>
    <xdr:to>
      <xdr:col>11</xdr:col>
      <xdr:colOff>531583</xdr:colOff>
      <xdr:row>12</xdr:row>
      <xdr:rowOff>98535</xdr:rowOff>
    </xdr:to>
    <xdr:sp macro="" textlink="">
      <xdr:nvSpPr>
        <xdr:cNvPr id="24" name="Rectangle: Diagonal Corners Rounded 23">
          <a:extLst>
            <a:ext uri="{FF2B5EF4-FFF2-40B4-BE49-F238E27FC236}">
              <a16:creationId xmlns:a16="http://schemas.microsoft.com/office/drawing/2014/main" id="{889566E1-D481-4260-BC9E-FF5129B4F426}"/>
            </a:ext>
          </a:extLst>
        </xdr:cNvPr>
        <xdr:cNvSpPr/>
      </xdr:nvSpPr>
      <xdr:spPr>
        <a:xfrm>
          <a:off x="5073555" y="1405804"/>
          <a:ext cx="2202166" cy="926179"/>
        </a:xfrm>
        <a:prstGeom prst="round2DiagRect">
          <a:avLst/>
        </a:prstGeom>
        <a:solidFill>
          <a:schemeClr val="accent6">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3626</xdr:colOff>
      <xdr:row>7</xdr:row>
      <xdr:rowOff>102960</xdr:rowOff>
    </xdr:from>
    <xdr:to>
      <xdr:col>15</xdr:col>
      <xdr:colOff>366483</xdr:colOff>
      <xdr:row>12</xdr:row>
      <xdr:rowOff>65691</xdr:rowOff>
    </xdr:to>
    <xdr:sp macro="" textlink="">
      <xdr:nvSpPr>
        <xdr:cNvPr id="25" name="Rectangle: Diagonal Corners Rounded 24">
          <a:extLst>
            <a:ext uri="{FF2B5EF4-FFF2-40B4-BE49-F238E27FC236}">
              <a16:creationId xmlns:a16="http://schemas.microsoft.com/office/drawing/2014/main" id="{87600868-6DA9-4577-989C-AF6D52DFDB63}"/>
            </a:ext>
          </a:extLst>
        </xdr:cNvPr>
        <xdr:cNvSpPr/>
      </xdr:nvSpPr>
      <xdr:spPr>
        <a:xfrm>
          <a:off x="7360867" y="1405805"/>
          <a:ext cx="2202168" cy="893334"/>
        </a:xfrm>
        <a:prstGeom prst="round2DiagRect">
          <a:avLst/>
        </a:prstGeom>
        <a:solidFill>
          <a:schemeClr val="accent6">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156482</xdr:colOff>
      <xdr:row>13</xdr:row>
      <xdr:rowOff>134055</xdr:rowOff>
    </xdr:from>
    <xdr:to>
      <xdr:col>8</xdr:col>
      <xdr:colOff>29482</xdr:colOff>
      <xdr:row>27</xdr:row>
      <xdr:rowOff>21414</xdr:rowOff>
    </xdr:to>
    <xdr:sp macro="" textlink="">
      <xdr:nvSpPr>
        <xdr:cNvPr id="26" name="Rectangle: Diagonal Corners Rounded 25">
          <a:extLst>
            <a:ext uri="{FF2B5EF4-FFF2-40B4-BE49-F238E27FC236}">
              <a16:creationId xmlns:a16="http://schemas.microsoft.com/office/drawing/2014/main" id="{8016DB8B-23F1-4D2B-B28D-0ED85815AA0C}"/>
            </a:ext>
          </a:extLst>
        </xdr:cNvPr>
        <xdr:cNvSpPr/>
      </xdr:nvSpPr>
      <xdr:spPr>
        <a:xfrm>
          <a:off x="156482" y="2610555"/>
          <a:ext cx="4749800" cy="2554359"/>
        </a:xfrm>
        <a:prstGeom prst="round2DiagRect">
          <a:avLst/>
        </a:prstGeom>
        <a:solidFill>
          <a:schemeClr val="accent6">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174171</xdr:colOff>
      <xdr:row>13</xdr:row>
      <xdr:rowOff>134055</xdr:rowOff>
    </xdr:from>
    <xdr:to>
      <xdr:col>15</xdr:col>
      <xdr:colOff>394607</xdr:colOff>
      <xdr:row>27</xdr:row>
      <xdr:rowOff>21414</xdr:rowOff>
    </xdr:to>
    <xdr:sp macro="" textlink="">
      <xdr:nvSpPr>
        <xdr:cNvPr id="27" name="Rectangle: Diagonal Corners Rounded 26">
          <a:extLst>
            <a:ext uri="{FF2B5EF4-FFF2-40B4-BE49-F238E27FC236}">
              <a16:creationId xmlns:a16="http://schemas.microsoft.com/office/drawing/2014/main" id="{691384F8-C8F2-45A5-B55D-AAB03A3DBD2B}"/>
            </a:ext>
          </a:extLst>
        </xdr:cNvPr>
        <xdr:cNvSpPr/>
      </xdr:nvSpPr>
      <xdr:spPr>
        <a:xfrm>
          <a:off x="5050971" y="2610555"/>
          <a:ext cx="4487636" cy="2554359"/>
        </a:xfrm>
        <a:prstGeom prst="round2DiagRect">
          <a:avLst/>
        </a:prstGeom>
        <a:solidFill>
          <a:schemeClr val="accent6">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150130</xdr:colOff>
      <xdr:row>27</xdr:row>
      <xdr:rowOff>126090</xdr:rowOff>
    </xdr:from>
    <xdr:to>
      <xdr:col>7</xdr:col>
      <xdr:colOff>370566</xdr:colOff>
      <xdr:row>41</xdr:row>
      <xdr:rowOff>9070</xdr:rowOff>
    </xdr:to>
    <xdr:sp macro="" textlink="">
      <xdr:nvSpPr>
        <xdr:cNvPr id="28" name="Rectangle: Diagonal Corners Rounded 27">
          <a:extLst>
            <a:ext uri="{FF2B5EF4-FFF2-40B4-BE49-F238E27FC236}">
              <a16:creationId xmlns:a16="http://schemas.microsoft.com/office/drawing/2014/main" id="{E685BC2C-F808-4C7B-A86B-CEE8AD978C4D}"/>
            </a:ext>
          </a:extLst>
        </xdr:cNvPr>
        <xdr:cNvSpPr/>
      </xdr:nvSpPr>
      <xdr:spPr>
        <a:xfrm>
          <a:off x="150130" y="5269590"/>
          <a:ext cx="4487636" cy="2549980"/>
        </a:xfrm>
        <a:prstGeom prst="round2DiagRect">
          <a:avLst/>
        </a:prstGeom>
        <a:solidFill>
          <a:schemeClr val="accent6">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506639</xdr:colOff>
      <xdr:row>13</xdr:row>
      <xdr:rowOff>107040</xdr:rowOff>
    </xdr:from>
    <xdr:to>
      <xdr:col>23</xdr:col>
      <xdr:colOff>303892</xdr:colOff>
      <xdr:row>26</xdr:row>
      <xdr:rowOff>180520</xdr:rowOff>
    </xdr:to>
    <xdr:sp macro="" textlink="">
      <xdr:nvSpPr>
        <xdr:cNvPr id="29" name="Rectangle: Diagonal Corners Rounded 28">
          <a:extLst>
            <a:ext uri="{FF2B5EF4-FFF2-40B4-BE49-F238E27FC236}">
              <a16:creationId xmlns:a16="http://schemas.microsoft.com/office/drawing/2014/main" id="{FDC478BC-0269-42E7-AC46-273018D9411C}"/>
            </a:ext>
          </a:extLst>
        </xdr:cNvPr>
        <xdr:cNvSpPr/>
      </xdr:nvSpPr>
      <xdr:spPr>
        <a:xfrm>
          <a:off x="9650639" y="2583540"/>
          <a:ext cx="4674053" cy="2549980"/>
        </a:xfrm>
        <a:prstGeom prst="round2DiagRect">
          <a:avLst/>
        </a:prstGeom>
        <a:solidFill>
          <a:schemeClr val="accent6">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22680</xdr:colOff>
      <xdr:row>41</xdr:row>
      <xdr:rowOff>181427</xdr:rowOff>
    </xdr:from>
    <xdr:to>
      <xdr:col>23</xdr:col>
      <xdr:colOff>514350</xdr:colOff>
      <xdr:row>44</xdr:row>
      <xdr:rowOff>19050</xdr:rowOff>
    </xdr:to>
    <xdr:sp macro="" textlink="">
      <xdr:nvSpPr>
        <xdr:cNvPr id="30" name="Rectangle: Diagonal Corners Rounded 29">
          <a:extLst>
            <a:ext uri="{FF2B5EF4-FFF2-40B4-BE49-F238E27FC236}">
              <a16:creationId xmlns:a16="http://schemas.microsoft.com/office/drawing/2014/main" id="{17A6FB00-7657-4B52-9091-70C1AF67CCDA}"/>
            </a:ext>
          </a:extLst>
        </xdr:cNvPr>
        <xdr:cNvSpPr/>
      </xdr:nvSpPr>
      <xdr:spPr>
        <a:xfrm>
          <a:off x="22680" y="7991927"/>
          <a:ext cx="14512470" cy="409123"/>
        </a:xfrm>
        <a:prstGeom prst="round2DiagRect">
          <a:avLst/>
        </a:prstGeom>
        <a:solidFill>
          <a:schemeClr val="accent6">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388255</xdr:colOff>
      <xdr:row>28</xdr:row>
      <xdr:rowOff>67129</xdr:rowOff>
    </xdr:from>
    <xdr:to>
      <xdr:col>7</xdr:col>
      <xdr:colOff>177800</xdr:colOff>
      <xdr:row>40</xdr:row>
      <xdr:rowOff>159201</xdr:rowOff>
    </xdr:to>
    <xdr:graphicFrame macro="">
      <xdr:nvGraphicFramePr>
        <xdr:cNvPr id="32" name="Chart 31">
          <a:extLst>
            <a:ext uri="{FF2B5EF4-FFF2-40B4-BE49-F238E27FC236}">
              <a16:creationId xmlns:a16="http://schemas.microsoft.com/office/drawing/2014/main" id="{0AE20933-CC63-4FBF-8975-5AE33ACE2C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112906</xdr:colOff>
      <xdr:row>15</xdr:row>
      <xdr:rowOff>20532</xdr:rowOff>
    </xdr:from>
    <xdr:to>
      <xdr:col>23</xdr:col>
      <xdr:colOff>33734</xdr:colOff>
      <xdr:row>26</xdr:row>
      <xdr:rowOff>113669</xdr:rowOff>
    </xdr:to>
    <xdr:graphicFrame macro="">
      <xdr:nvGraphicFramePr>
        <xdr:cNvPr id="33" name="Chart 32">
          <a:extLst>
            <a:ext uri="{FF2B5EF4-FFF2-40B4-BE49-F238E27FC236}">
              <a16:creationId xmlns:a16="http://schemas.microsoft.com/office/drawing/2014/main" id="{358F3E49-D66F-41D8-A5EE-D3283685AF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283090</xdr:colOff>
      <xdr:row>14</xdr:row>
      <xdr:rowOff>161423</xdr:rowOff>
    </xdr:from>
    <xdr:to>
      <xdr:col>15</xdr:col>
      <xdr:colOff>142327</xdr:colOff>
      <xdr:row>27</xdr:row>
      <xdr:rowOff>13567</xdr:rowOff>
    </xdr:to>
    <xdr:graphicFrame macro="">
      <xdr:nvGraphicFramePr>
        <xdr:cNvPr id="34" name="Chart 33">
          <a:extLst>
            <a:ext uri="{FF2B5EF4-FFF2-40B4-BE49-F238E27FC236}">
              <a16:creationId xmlns:a16="http://schemas.microsoft.com/office/drawing/2014/main" id="{5EE8F489-5093-4473-ACD3-9F474DBABE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197069</xdr:colOff>
      <xdr:row>15</xdr:row>
      <xdr:rowOff>76641</xdr:rowOff>
    </xdr:from>
    <xdr:to>
      <xdr:col>7</xdr:col>
      <xdr:colOff>448879</xdr:colOff>
      <xdr:row>26</xdr:row>
      <xdr:rowOff>98537</xdr:rowOff>
    </xdr:to>
    <xdr:graphicFrame macro="">
      <xdr:nvGraphicFramePr>
        <xdr:cNvPr id="35" name="Chart 34">
          <a:extLst>
            <a:ext uri="{FF2B5EF4-FFF2-40B4-BE49-F238E27FC236}">
              <a16:creationId xmlns:a16="http://schemas.microsoft.com/office/drawing/2014/main" id="{39F0F559-60FF-41F5-BF2B-0AB85E2DEF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1</xdr:col>
      <xdr:colOff>223797</xdr:colOff>
      <xdr:row>7</xdr:row>
      <xdr:rowOff>170342</xdr:rowOff>
    </xdr:from>
    <xdr:ext cx="1565300" cy="405432"/>
    <xdr:sp macro="" textlink="">
      <xdr:nvSpPr>
        <xdr:cNvPr id="36" name="TextBox 35">
          <a:extLst>
            <a:ext uri="{FF2B5EF4-FFF2-40B4-BE49-F238E27FC236}">
              <a16:creationId xmlns:a16="http://schemas.microsoft.com/office/drawing/2014/main" id="{0A678702-6708-4DAD-A070-3C1433D32B4A}"/>
            </a:ext>
          </a:extLst>
        </xdr:cNvPr>
        <xdr:cNvSpPr txBox="1"/>
      </xdr:nvSpPr>
      <xdr:spPr>
        <a:xfrm>
          <a:off x="840121" y="1543063"/>
          <a:ext cx="1565300"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000" b="1">
              <a:solidFill>
                <a:schemeClr val="accent6">
                  <a:lumMod val="50000"/>
                </a:schemeClr>
              </a:solidFill>
            </a:rPr>
            <a:t>TOTAL SALES</a:t>
          </a:r>
        </a:p>
      </xdr:txBody>
    </xdr:sp>
    <xdr:clientData/>
  </xdr:oneCellAnchor>
  <xdr:oneCellAnchor>
    <xdr:from>
      <xdr:col>4</xdr:col>
      <xdr:colOff>590331</xdr:colOff>
      <xdr:row>7</xdr:row>
      <xdr:rowOff>163348</xdr:rowOff>
    </xdr:from>
    <xdr:ext cx="1701235" cy="405432"/>
    <xdr:sp macro="" textlink="">
      <xdr:nvSpPr>
        <xdr:cNvPr id="37" name="TextBox 36">
          <a:extLst>
            <a:ext uri="{FF2B5EF4-FFF2-40B4-BE49-F238E27FC236}">
              <a16:creationId xmlns:a16="http://schemas.microsoft.com/office/drawing/2014/main" id="{0CAE9864-E2CF-4909-989F-1DC82E98B1E3}"/>
            </a:ext>
          </a:extLst>
        </xdr:cNvPr>
        <xdr:cNvSpPr txBox="1"/>
      </xdr:nvSpPr>
      <xdr:spPr>
        <a:xfrm>
          <a:off x="3042745" y="1466193"/>
          <a:ext cx="1701235"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000" b="1">
              <a:solidFill>
                <a:schemeClr val="accent6">
                  <a:lumMod val="50000"/>
                </a:schemeClr>
              </a:solidFill>
            </a:rPr>
            <a:t>TOTAL PROFIT</a:t>
          </a:r>
        </a:p>
      </xdr:txBody>
    </xdr:sp>
    <xdr:clientData/>
  </xdr:oneCellAnchor>
  <xdr:oneCellAnchor>
    <xdr:from>
      <xdr:col>8</xdr:col>
      <xdr:colOff>206265</xdr:colOff>
      <xdr:row>7</xdr:row>
      <xdr:rowOff>162472</xdr:rowOff>
    </xdr:from>
    <xdr:ext cx="2179699" cy="405432"/>
    <xdr:sp macro="" textlink="">
      <xdr:nvSpPr>
        <xdr:cNvPr id="38" name="TextBox 37">
          <a:extLst>
            <a:ext uri="{FF2B5EF4-FFF2-40B4-BE49-F238E27FC236}">
              <a16:creationId xmlns:a16="http://schemas.microsoft.com/office/drawing/2014/main" id="{A6573FA1-D378-475F-BBBD-8ED9FAECB14E}"/>
            </a:ext>
          </a:extLst>
        </xdr:cNvPr>
        <xdr:cNvSpPr txBox="1"/>
      </xdr:nvSpPr>
      <xdr:spPr>
        <a:xfrm>
          <a:off x="5111093" y="1465317"/>
          <a:ext cx="2179699"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000" b="1">
              <a:solidFill>
                <a:schemeClr val="accent6">
                  <a:lumMod val="50000"/>
                </a:schemeClr>
              </a:solidFill>
            </a:rPr>
            <a:t>PROFIT</a:t>
          </a:r>
          <a:r>
            <a:rPr lang="en-US" sz="2000" b="1" baseline="0">
              <a:solidFill>
                <a:schemeClr val="accent6">
                  <a:lumMod val="50000"/>
                </a:schemeClr>
              </a:solidFill>
            </a:rPr>
            <a:t> MARGIN %</a:t>
          </a:r>
          <a:endParaRPr lang="en-US" sz="2000" b="1">
            <a:solidFill>
              <a:schemeClr val="accent6">
                <a:lumMod val="50000"/>
              </a:schemeClr>
            </a:solidFill>
          </a:endParaRPr>
        </a:p>
      </xdr:txBody>
    </xdr:sp>
    <xdr:clientData/>
  </xdr:oneCellAnchor>
  <xdr:oneCellAnchor>
    <xdr:from>
      <xdr:col>12</xdr:col>
      <xdr:colOff>282028</xdr:colOff>
      <xdr:row>7</xdr:row>
      <xdr:rowOff>63061</xdr:rowOff>
    </xdr:from>
    <xdr:ext cx="1745606" cy="718530"/>
    <xdr:sp macro="" textlink="">
      <xdr:nvSpPr>
        <xdr:cNvPr id="39" name="TextBox 38">
          <a:extLst>
            <a:ext uri="{FF2B5EF4-FFF2-40B4-BE49-F238E27FC236}">
              <a16:creationId xmlns:a16="http://schemas.microsoft.com/office/drawing/2014/main" id="{697F7FDB-871E-4182-BA30-4A1F8B7C36A1}"/>
            </a:ext>
          </a:extLst>
        </xdr:cNvPr>
        <xdr:cNvSpPr txBox="1"/>
      </xdr:nvSpPr>
      <xdr:spPr>
        <a:xfrm>
          <a:off x="7639269" y="1365906"/>
          <a:ext cx="1745606" cy="7185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000" b="1" baseline="0">
              <a:solidFill>
                <a:schemeClr val="accent6">
                  <a:lumMod val="50000"/>
                </a:schemeClr>
              </a:solidFill>
            </a:rPr>
            <a:t>LOSS MAKING </a:t>
          </a:r>
        </a:p>
        <a:p>
          <a:pPr algn="ctr"/>
          <a:r>
            <a:rPr lang="en-US" sz="2000" b="1" baseline="0">
              <a:solidFill>
                <a:schemeClr val="accent6">
                  <a:lumMod val="50000"/>
                </a:schemeClr>
              </a:solidFill>
            </a:rPr>
            <a:t>LINES %</a:t>
          </a:r>
          <a:endParaRPr lang="en-US" sz="2000" b="1">
            <a:solidFill>
              <a:schemeClr val="accent6">
                <a:lumMod val="50000"/>
              </a:schemeClr>
            </a:solidFill>
          </a:endParaRPr>
        </a:p>
      </xdr:txBody>
    </xdr:sp>
    <xdr:clientData/>
  </xdr:oneCellAnchor>
  <xdr:oneCellAnchor>
    <xdr:from>
      <xdr:col>1</xdr:col>
      <xdr:colOff>350784</xdr:colOff>
      <xdr:row>10</xdr:row>
      <xdr:rowOff>7084</xdr:rowOff>
    </xdr:from>
    <xdr:ext cx="1404680" cy="483722"/>
    <xdr:sp macro="" textlink="KPIs!A4">
      <xdr:nvSpPr>
        <xdr:cNvPr id="40" name="TextBox 39">
          <a:extLst>
            <a:ext uri="{FF2B5EF4-FFF2-40B4-BE49-F238E27FC236}">
              <a16:creationId xmlns:a16="http://schemas.microsoft.com/office/drawing/2014/main" id="{98833E31-50CE-411F-B785-A886B8F277DF}"/>
            </a:ext>
          </a:extLst>
        </xdr:cNvPr>
        <xdr:cNvSpPr txBox="1"/>
      </xdr:nvSpPr>
      <xdr:spPr>
        <a:xfrm>
          <a:off x="960384" y="1912084"/>
          <a:ext cx="1404680" cy="4837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8F141DD3-53EE-4691-BE93-9DD34C6A354B}" type="TxLink">
            <a:rPr lang="en-US" sz="2500" b="1" i="0" u="none" strike="noStrike">
              <a:solidFill>
                <a:schemeClr val="accent6">
                  <a:lumMod val="50000"/>
                </a:schemeClr>
              </a:solidFill>
              <a:latin typeface="Calibri"/>
              <a:cs typeface="Calibri"/>
            </a:rPr>
            <a:t>₹437,771</a:t>
          </a:fld>
          <a:endParaRPr lang="en-US" sz="2500" b="1">
            <a:solidFill>
              <a:schemeClr val="accent6">
                <a:lumMod val="50000"/>
              </a:schemeClr>
            </a:solidFill>
          </a:endParaRPr>
        </a:p>
      </xdr:txBody>
    </xdr:sp>
    <xdr:clientData/>
  </xdr:oneCellAnchor>
  <xdr:oneCellAnchor>
    <xdr:from>
      <xdr:col>4</xdr:col>
      <xdr:colOff>53865</xdr:colOff>
      <xdr:row>11</xdr:row>
      <xdr:rowOff>141451</xdr:rowOff>
    </xdr:from>
    <xdr:ext cx="242631" cy="405432"/>
    <xdr:sp macro="" textlink="KPIs!R16">
      <xdr:nvSpPr>
        <xdr:cNvPr id="41" name="TextBox 40">
          <a:extLst>
            <a:ext uri="{FF2B5EF4-FFF2-40B4-BE49-F238E27FC236}">
              <a16:creationId xmlns:a16="http://schemas.microsoft.com/office/drawing/2014/main" id="{68219D15-A56B-499F-AF6E-F91895E7F70D}"/>
            </a:ext>
          </a:extLst>
        </xdr:cNvPr>
        <xdr:cNvSpPr txBox="1"/>
      </xdr:nvSpPr>
      <xdr:spPr>
        <a:xfrm>
          <a:off x="2492265" y="2236951"/>
          <a:ext cx="242631"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10FB7714-099B-4A8B-A3EE-AE8BFC1317D9}" type="TxLink">
            <a:rPr lang="en-US" sz="2000" b="1" i="0" u="none" strike="noStrike">
              <a:solidFill>
                <a:srgbClr val="000000"/>
              </a:solidFill>
              <a:latin typeface="Calibri"/>
              <a:cs typeface="Calibri"/>
            </a:rPr>
            <a:t> </a:t>
          </a:fld>
          <a:endParaRPr lang="en-US" sz="2000" b="1"/>
        </a:p>
      </xdr:txBody>
    </xdr:sp>
    <xdr:clientData/>
  </xdr:oneCellAnchor>
  <xdr:oneCellAnchor>
    <xdr:from>
      <xdr:col>5</xdr:col>
      <xdr:colOff>163788</xdr:colOff>
      <xdr:row>9</xdr:row>
      <xdr:rowOff>184370</xdr:rowOff>
    </xdr:from>
    <xdr:ext cx="1242200" cy="483722"/>
    <xdr:sp macro="" textlink="KPIs!C4">
      <xdr:nvSpPr>
        <xdr:cNvPr id="42" name="TextBox 41">
          <a:extLst>
            <a:ext uri="{FF2B5EF4-FFF2-40B4-BE49-F238E27FC236}">
              <a16:creationId xmlns:a16="http://schemas.microsoft.com/office/drawing/2014/main" id="{DF9CE20B-88FB-4F1C-A365-7FD21C436273}"/>
            </a:ext>
          </a:extLst>
        </xdr:cNvPr>
        <xdr:cNvSpPr txBox="1"/>
      </xdr:nvSpPr>
      <xdr:spPr>
        <a:xfrm>
          <a:off x="3211788" y="1898870"/>
          <a:ext cx="1242200" cy="4837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118142E2-7F13-40C7-AFCB-7DEE9C0D60F5}" type="TxLink">
            <a:rPr lang="en-US" sz="2500" b="1" i="0" u="none" strike="noStrike">
              <a:solidFill>
                <a:schemeClr val="accent6">
                  <a:lumMod val="50000"/>
                </a:schemeClr>
              </a:solidFill>
              <a:latin typeface="Calibri"/>
              <a:cs typeface="Calibri"/>
            </a:rPr>
            <a:t>₹36,963</a:t>
          </a:fld>
          <a:endParaRPr lang="en-US" sz="2500" b="1">
            <a:solidFill>
              <a:schemeClr val="accent6">
                <a:lumMod val="50000"/>
              </a:schemeClr>
            </a:solidFill>
          </a:endParaRPr>
        </a:p>
      </xdr:txBody>
    </xdr:sp>
    <xdr:clientData/>
  </xdr:oneCellAnchor>
  <xdr:oneCellAnchor>
    <xdr:from>
      <xdr:col>9</xdr:col>
      <xdr:colOff>258600</xdr:colOff>
      <xdr:row>10</xdr:row>
      <xdr:rowOff>9198</xdr:rowOff>
    </xdr:from>
    <xdr:ext cx="828945" cy="483722"/>
    <xdr:sp macro="" textlink="KPIs!E4">
      <xdr:nvSpPr>
        <xdr:cNvPr id="43" name="TextBox 42">
          <a:extLst>
            <a:ext uri="{FF2B5EF4-FFF2-40B4-BE49-F238E27FC236}">
              <a16:creationId xmlns:a16="http://schemas.microsoft.com/office/drawing/2014/main" id="{2DA92704-3A2F-441E-934C-E5096E1CB3FC}"/>
            </a:ext>
          </a:extLst>
        </xdr:cNvPr>
        <xdr:cNvSpPr txBox="1"/>
      </xdr:nvSpPr>
      <xdr:spPr>
        <a:xfrm>
          <a:off x="5745000" y="1914198"/>
          <a:ext cx="828945" cy="4837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96EC2594-6F1C-45CC-8550-FFA87B18F290}" type="TxLink">
            <a:rPr lang="en-US" sz="2500" b="1" i="0" u="none" strike="noStrike">
              <a:solidFill>
                <a:schemeClr val="accent6">
                  <a:lumMod val="50000"/>
                </a:schemeClr>
              </a:solidFill>
              <a:latin typeface="Calibri"/>
              <a:cs typeface="Calibri"/>
            </a:rPr>
            <a:t>8.4%</a:t>
          </a:fld>
          <a:endParaRPr lang="en-US" sz="2500" b="1">
            <a:solidFill>
              <a:schemeClr val="accent6">
                <a:lumMod val="50000"/>
              </a:schemeClr>
            </a:solidFill>
          </a:endParaRPr>
        </a:p>
      </xdr:txBody>
    </xdr:sp>
    <xdr:clientData/>
  </xdr:oneCellAnchor>
  <xdr:oneCellAnchor>
    <xdr:from>
      <xdr:col>13</xdr:col>
      <xdr:colOff>658</xdr:colOff>
      <xdr:row>10</xdr:row>
      <xdr:rowOff>46860</xdr:rowOff>
    </xdr:from>
    <xdr:ext cx="991425" cy="483722"/>
    <xdr:sp macro="" textlink="KPIs!K4">
      <xdr:nvSpPr>
        <xdr:cNvPr id="44" name="TextBox 43">
          <a:extLst>
            <a:ext uri="{FF2B5EF4-FFF2-40B4-BE49-F238E27FC236}">
              <a16:creationId xmlns:a16="http://schemas.microsoft.com/office/drawing/2014/main" id="{55E5B65E-9B19-41AD-BA6B-5839D6EC402D}"/>
            </a:ext>
          </a:extLst>
        </xdr:cNvPr>
        <xdr:cNvSpPr txBox="1"/>
      </xdr:nvSpPr>
      <xdr:spPr>
        <a:xfrm>
          <a:off x="7925458" y="1951860"/>
          <a:ext cx="991425" cy="4837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96AB412A-FD35-4BE1-BD4A-221A47796D1B}" type="TxLink">
            <a:rPr lang="en-US" sz="2500" b="1" i="0" u="none" strike="noStrike">
              <a:solidFill>
                <a:schemeClr val="accent6">
                  <a:lumMod val="50000"/>
                </a:schemeClr>
              </a:solidFill>
              <a:latin typeface="Calibri"/>
              <a:cs typeface="Calibri"/>
            </a:rPr>
            <a:t>35.3%</a:t>
          </a:fld>
          <a:endParaRPr lang="en-US" sz="2500" b="1">
            <a:solidFill>
              <a:schemeClr val="accent6">
                <a:lumMod val="50000"/>
              </a:schemeClr>
            </a:solidFill>
          </a:endParaRPr>
        </a:p>
      </xdr:txBody>
    </xdr:sp>
    <xdr:clientData/>
  </xdr:oneCellAnchor>
  <xdr:oneCellAnchor>
    <xdr:from>
      <xdr:col>2</xdr:col>
      <xdr:colOff>10948</xdr:colOff>
      <xdr:row>14</xdr:row>
      <xdr:rowOff>54741</xdr:rowOff>
    </xdr:from>
    <xdr:ext cx="2619500" cy="327141"/>
    <xdr:sp macro="" textlink="">
      <xdr:nvSpPr>
        <xdr:cNvPr id="45" name="TextBox 44">
          <a:extLst>
            <a:ext uri="{FF2B5EF4-FFF2-40B4-BE49-F238E27FC236}">
              <a16:creationId xmlns:a16="http://schemas.microsoft.com/office/drawing/2014/main" id="{A1A0246C-2634-48E8-82C3-0CBE38B88D22}"/>
            </a:ext>
          </a:extLst>
        </xdr:cNvPr>
        <xdr:cNvSpPr txBox="1"/>
      </xdr:nvSpPr>
      <xdr:spPr>
        <a:xfrm>
          <a:off x="1237155" y="2660431"/>
          <a:ext cx="2619500" cy="327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500" b="1">
              <a:solidFill>
                <a:schemeClr val="accent6">
                  <a:lumMod val="50000"/>
                </a:schemeClr>
              </a:solidFill>
            </a:rPr>
            <a:t>SALES &amp; PROFIT BY CATEGORY</a:t>
          </a:r>
        </a:p>
      </xdr:txBody>
    </xdr:sp>
    <xdr:clientData/>
  </xdr:oneCellAnchor>
  <xdr:oneCellAnchor>
    <xdr:from>
      <xdr:col>10</xdr:col>
      <xdr:colOff>97659</xdr:colOff>
      <xdr:row>14</xdr:row>
      <xdr:rowOff>10072</xdr:rowOff>
    </xdr:from>
    <xdr:ext cx="2397516" cy="327141"/>
    <xdr:sp macro="" textlink="">
      <xdr:nvSpPr>
        <xdr:cNvPr id="46" name="TextBox 45">
          <a:extLst>
            <a:ext uri="{FF2B5EF4-FFF2-40B4-BE49-F238E27FC236}">
              <a16:creationId xmlns:a16="http://schemas.microsoft.com/office/drawing/2014/main" id="{1348267D-10D9-4EAA-BFB2-9702725AF5AE}"/>
            </a:ext>
          </a:extLst>
        </xdr:cNvPr>
        <xdr:cNvSpPr txBox="1"/>
      </xdr:nvSpPr>
      <xdr:spPr>
        <a:xfrm>
          <a:off x="6228693" y="2615762"/>
          <a:ext cx="2397516" cy="327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500" b="1">
              <a:solidFill>
                <a:schemeClr val="accent6">
                  <a:lumMod val="50000"/>
                </a:schemeClr>
              </a:solidFill>
            </a:rPr>
            <a:t>PROFIT BY SUB-CATEGORY</a:t>
          </a:r>
        </a:p>
      </xdr:txBody>
    </xdr:sp>
    <xdr:clientData/>
  </xdr:oneCellAnchor>
  <xdr:oneCellAnchor>
    <xdr:from>
      <xdr:col>17</xdr:col>
      <xdr:colOff>450193</xdr:colOff>
      <xdr:row>14</xdr:row>
      <xdr:rowOff>61530</xdr:rowOff>
    </xdr:from>
    <xdr:ext cx="2532553" cy="327141"/>
    <xdr:sp macro="" textlink="">
      <xdr:nvSpPr>
        <xdr:cNvPr id="47" name="TextBox 46">
          <a:extLst>
            <a:ext uri="{FF2B5EF4-FFF2-40B4-BE49-F238E27FC236}">
              <a16:creationId xmlns:a16="http://schemas.microsoft.com/office/drawing/2014/main" id="{C57321C4-838B-437F-93B6-E7F9FED376A3}"/>
            </a:ext>
          </a:extLst>
        </xdr:cNvPr>
        <xdr:cNvSpPr txBox="1"/>
      </xdr:nvSpPr>
      <xdr:spPr>
        <a:xfrm>
          <a:off x="10813393" y="2728530"/>
          <a:ext cx="2532553" cy="327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500" b="1">
              <a:solidFill>
                <a:schemeClr val="accent6">
                  <a:lumMod val="50000"/>
                </a:schemeClr>
              </a:solidFill>
            </a:rPr>
            <a:t>MARGIN</a:t>
          </a:r>
          <a:r>
            <a:rPr lang="en-US" sz="1500" b="1" baseline="0">
              <a:solidFill>
                <a:schemeClr val="accent6">
                  <a:lumMod val="50000"/>
                </a:schemeClr>
              </a:solidFill>
            </a:rPr>
            <a:t> BY PAYMENT MODE</a:t>
          </a:r>
          <a:endParaRPr lang="en-US" sz="1500" b="1">
            <a:solidFill>
              <a:schemeClr val="accent6">
                <a:lumMod val="50000"/>
              </a:schemeClr>
            </a:solidFill>
          </a:endParaRPr>
        </a:p>
      </xdr:txBody>
    </xdr:sp>
    <xdr:clientData/>
  </xdr:oneCellAnchor>
  <xdr:oneCellAnchor>
    <xdr:from>
      <xdr:col>2</xdr:col>
      <xdr:colOff>93061</xdr:colOff>
      <xdr:row>27</xdr:row>
      <xdr:rowOff>128315</xdr:rowOff>
    </xdr:from>
    <xdr:ext cx="2517484" cy="327141"/>
    <xdr:sp macro="" textlink="">
      <xdr:nvSpPr>
        <xdr:cNvPr id="48" name="TextBox 47">
          <a:extLst>
            <a:ext uri="{FF2B5EF4-FFF2-40B4-BE49-F238E27FC236}">
              <a16:creationId xmlns:a16="http://schemas.microsoft.com/office/drawing/2014/main" id="{4EF281E2-9DF0-4B4D-B238-3DEFF1C50E60}"/>
            </a:ext>
          </a:extLst>
        </xdr:cNvPr>
        <xdr:cNvSpPr txBox="1"/>
      </xdr:nvSpPr>
      <xdr:spPr>
        <a:xfrm>
          <a:off x="1312261" y="5271815"/>
          <a:ext cx="2517484" cy="327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500" b="1">
              <a:solidFill>
                <a:schemeClr val="accent6">
                  <a:lumMod val="50000"/>
                </a:schemeClr>
              </a:solidFill>
            </a:rPr>
            <a:t>MARGIN</a:t>
          </a:r>
          <a:r>
            <a:rPr lang="en-US" sz="1500" b="1" baseline="0">
              <a:solidFill>
                <a:schemeClr val="accent6">
                  <a:lumMod val="50000"/>
                </a:schemeClr>
              </a:solidFill>
            </a:rPr>
            <a:t> BY QUANTITY BAND</a:t>
          </a:r>
          <a:endParaRPr lang="en-US" sz="1500" b="1">
            <a:solidFill>
              <a:schemeClr val="accent6">
                <a:lumMod val="50000"/>
              </a:schemeClr>
            </a:solidFill>
          </a:endParaRPr>
        </a:p>
      </xdr:txBody>
    </xdr:sp>
    <xdr:clientData/>
  </xdr:oneCellAnchor>
  <xdr:oneCellAnchor>
    <xdr:from>
      <xdr:col>6</xdr:col>
      <xdr:colOff>378198</xdr:colOff>
      <xdr:row>42</xdr:row>
      <xdr:rowOff>35859</xdr:rowOff>
    </xdr:from>
    <xdr:ext cx="5729007" cy="327141"/>
    <xdr:sp macro="" textlink="">
      <xdr:nvSpPr>
        <xdr:cNvPr id="51" name="TextBox 50">
          <a:extLst>
            <a:ext uri="{FF2B5EF4-FFF2-40B4-BE49-F238E27FC236}">
              <a16:creationId xmlns:a16="http://schemas.microsoft.com/office/drawing/2014/main" id="{B039A5AE-64B4-452B-9799-3CF5EB6D7567}"/>
            </a:ext>
          </a:extLst>
        </xdr:cNvPr>
        <xdr:cNvSpPr txBox="1"/>
      </xdr:nvSpPr>
      <xdr:spPr>
        <a:xfrm>
          <a:off x="4035798" y="8036859"/>
          <a:ext cx="5729007" cy="327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500" b="1">
              <a:solidFill>
                <a:schemeClr val="accent6">
                  <a:lumMod val="50000"/>
                </a:schemeClr>
              </a:solidFill>
            </a:rPr>
            <a:t>“Source: E-commerce sales dataset | #dataforgechallenge”</a:t>
          </a:r>
        </a:p>
      </xdr:txBody>
    </xdr:sp>
    <xdr:clientData/>
  </xdr:oneCellAnchor>
  <xdr:twoCellAnchor>
    <xdr:from>
      <xdr:col>7</xdr:col>
      <xdr:colOff>506639</xdr:colOff>
      <xdr:row>27</xdr:row>
      <xdr:rowOff>145140</xdr:rowOff>
    </xdr:from>
    <xdr:to>
      <xdr:col>16</xdr:col>
      <xdr:colOff>95250</xdr:colOff>
      <xdr:row>41</xdr:row>
      <xdr:rowOff>28120</xdr:rowOff>
    </xdr:to>
    <xdr:sp macro="" textlink="">
      <xdr:nvSpPr>
        <xdr:cNvPr id="53" name="Rectangle: Diagonal Corners Rounded 52">
          <a:extLst>
            <a:ext uri="{FF2B5EF4-FFF2-40B4-BE49-F238E27FC236}">
              <a16:creationId xmlns:a16="http://schemas.microsoft.com/office/drawing/2014/main" id="{7C546A59-4EA0-4FDA-8246-1A029557928C}"/>
            </a:ext>
          </a:extLst>
        </xdr:cNvPr>
        <xdr:cNvSpPr/>
      </xdr:nvSpPr>
      <xdr:spPr>
        <a:xfrm>
          <a:off x="4773839" y="5288640"/>
          <a:ext cx="5075011" cy="2549980"/>
        </a:xfrm>
        <a:prstGeom prst="round2DiagRect">
          <a:avLst/>
        </a:prstGeom>
        <a:solidFill>
          <a:schemeClr val="accent6">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163738</xdr:colOff>
      <xdr:row>28</xdr:row>
      <xdr:rowOff>145140</xdr:rowOff>
    </xdr:from>
    <xdr:to>
      <xdr:col>15</xdr:col>
      <xdr:colOff>533399</xdr:colOff>
      <xdr:row>40</xdr:row>
      <xdr:rowOff>92753</xdr:rowOff>
    </xdr:to>
    <xdr:graphicFrame macro="">
      <xdr:nvGraphicFramePr>
        <xdr:cNvPr id="54" name="Chart 53">
          <a:extLst>
            <a:ext uri="{FF2B5EF4-FFF2-40B4-BE49-F238E27FC236}">
              <a16:creationId xmlns:a16="http://schemas.microsoft.com/office/drawing/2014/main" id="{6277445B-E545-4FC6-B113-A6E41340E5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9</xdr:col>
      <xdr:colOff>526393</xdr:colOff>
      <xdr:row>27</xdr:row>
      <xdr:rowOff>156780</xdr:rowOff>
    </xdr:from>
    <xdr:ext cx="2766078" cy="327141"/>
    <xdr:sp macro="" textlink="">
      <xdr:nvSpPr>
        <xdr:cNvPr id="52" name="TextBox 51">
          <a:extLst>
            <a:ext uri="{FF2B5EF4-FFF2-40B4-BE49-F238E27FC236}">
              <a16:creationId xmlns:a16="http://schemas.microsoft.com/office/drawing/2014/main" id="{3D07A554-A429-4771-B9C3-B4DBEF7946B9}"/>
            </a:ext>
          </a:extLst>
        </xdr:cNvPr>
        <xdr:cNvSpPr txBox="1"/>
      </xdr:nvSpPr>
      <xdr:spPr>
        <a:xfrm>
          <a:off x="6012793" y="5300280"/>
          <a:ext cx="2766078" cy="327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500" b="1">
              <a:solidFill>
                <a:schemeClr val="accent6">
                  <a:lumMod val="50000"/>
                </a:schemeClr>
              </a:solidFill>
            </a:rPr>
            <a:t>AVG. SALE PER PAYMENT</a:t>
          </a:r>
          <a:r>
            <a:rPr lang="en-US" sz="1500" b="1" baseline="0">
              <a:solidFill>
                <a:schemeClr val="accent6">
                  <a:lumMod val="50000"/>
                </a:schemeClr>
              </a:solidFill>
            </a:rPr>
            <a:t> MODE</a:t>
          </a:r>
          <a:endParaRPr lang="en-US" sz="1500" b="1">
            <a:solidFill>
              <a:schemeClr val="accent6">
                <a:lumMod val="50000"/>
              </a:schemeClr>
            </a:solidFill>
          </a:endParaRPr>
        </a:p>
      </xdr:txBody>
    </xdr:sp>
    <xdr:clientData/>
  </xdr:oneCellAnchor>
  <xdr:twoCellAnchor>
    <xdr:from>
      <xdr:col>15</xdr:col>
      <xdr:colOff>441776</xdr:colOff>
      <xdr:row>7</xdr:row>
      <xdr:rowOff>102960</xdr:rowOff>
    </xdr:from>
    <xdr:to>
      <xdr:col>19</xdr:col>
      <xdr:colOff>195033</xdr:colOff>
      <xdr:row>12</xdr:row>
      <xdr:rowOff>65691</xdr:rowOff>
    </xdr:to>
    <xdr:sp macro="" textlink="">
      <xdr:nvSpPr>
        <xdr:cNvPr id="55" name="Rectangle: Diagonal Corners Rounded 54">
          <a:extLst>
            <a:ext uri="{FF2B5EF4-FFF2-40B4-BE49-F238E27FC236}">
              <a16:creationId xmlns:a16="http://schemas.microsoft.com/office/drawing/2014/main" id="{51DF7447-E9B9-48A6-BF76-815C5396BBBE}"/>
            </a:ext>
          </a:extLst>
        </xdr:cNvPr>
        <xdr:cNvSpPr/>
      </xdr:nvSpPr>
      <xdr:spPr>
        <a:xfrm>
          <a:off x="9585776" y="1436460"/>
          <a:ext cx="2191657" cy="915231"/>
        </a:xfrm>
        <a:prstGeom prst="round2DiagRect">
          <a:avLst/>
        </a:prstGeom>
        <a:solidFill>
          <a:schemeClr val="accent6">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16</xdr:col>
      <xdr:colOff>243928</xdr:colOff>
      <xdr:row>7</xdr:row>
      <xdr:rowOff>139261</xdr:rowOff>
    </xdr:from>
    <xdr:ext cx="1460336" cy="405432"/>
    <xdr:sp macro="" textlink="">
      <xdr:nvSpPr>
        <xdr:cNvPr id="56" name="TextBox 55">
          <a:extLst>
            <a:ext uri="{FF2B5EF4-FFF2-40B4-BE49-F238E27FC236}">
              <a16:creationId xmlns:a16="http://schemas.microsoft.com/office/drawing/2014/main" id="{A60C1085-4A79-4FB4-9280-2CA6F9DC4D46}"/>
            </a:ext>
          </a:extLst>
        </xdr:cNvPr>
        <xdr:cNvSpPr txBox="1"/>
      </xdr:nvSpPr>
      <xdr:spPr>
        <a:xfrm>
          <a:off x="9997528" y="1472761"/>
          <a:ext cx="1460336"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000" b="1" baseline="0">
              <a:solidFill>
                <a:schemeClr val="accent6">
                  <a:lumMod val="50000"/>
                </a:schemeClr>
              </a:solidFill>
            </a:rPr>
            <a:t>UNITS SOLD</a:t>
          </a:r>
        </a:p>
      </xdr:txBody>
    </xdr:sp>
    <xdr:clientData/>
  </xdr:oneCellAnchor>
  <xdr:oneCellAnchor>
    <xdr:from>
      <xdr:col>16</xdr:col>
      <xdr:colOff>534058</xdr:colOff>
      <xdr:row>9</xdr:row>
      <xdr:rowOff>142110</xdr:rowOff>
    </xdr:from>
    <xdr:ext cx="917239" cy="483722"/>
    <xdr:sp macro="" textlink="KPIs!G4">
      <xdr:nvSpPr>
        <xdr:cNvPr id="57" name="TextBox 56">
          <a:extLst>
            <a:ext uri="{FF2B5EF4-FFF2-40B4-BE49-F238E27FC236}">
              <a16:creationId xmlns:a16="http://schemas.microsoft.com/office/drawing/2014/main" id="{B8BC0118-268A-40CE-89C1-84CF79CCCAD4}"/>
            </a:ext>
          </a:extLst>
        </xdr:cNvPr>
        <xdr:cNvSpPr txBox="1"/>
      </xdr:nvSpPr>
      <xdr:spPr>
        <a:xfrm>
          <a:off x="10287658" y="1856610"/>
          <a:ext cx="917239" cy="4837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46B9080E-5AC3-4AFB-BE25-1BE5AF49BFF8}" type="TxLink">
            <a:rPr lang="en-US" sz="2500" b="1" i="0" u="none" strike="noStrike">
              <a:solidFill>
                <a:schemeClr val="accent6">
                  <a:lumMod val="50000"/>
                </a:schemeClr>
              </a:solidFill>
              <a:latin typeface="Calibri"/>
              <a:cs typeface="Calibri"/>
            </a:rPr>
            <a:t>5,615</a:t>
          </a:fld>
          <a:endParaRPr lang="en-US" sz="2500" b="1">
            <a:solidFill>
              <a:schemeClr val="accent6">
                <a:lumMod val="50000"/>
              </a:schemeClr>
            </a:solidFill>
          </a:endParaRPr>
        </a:p>
      </xdr:txBody>
    </xdr:sp>
    <xdr:clientData/>
  </xdr:oneCellAnchor>
  <xdr:twoCellAnchor>
    <xdr:from>
      <xdr:col>19</xdr:col>
      <xdr:colOff>289376</xdr:colOff>
      <xdr:row>7</xdr:row>
      <xdr:rowOff>122010</xdr:rowOff>
    </xdr:from>
    <xdr:to>
      <xdr:col>23</xdr:col>
      <xdr:colOff>209550</xdr:colOff>
      <xdr:row>12</xdr:row>
      <xdr:rowOff>84741</xdr:rowOff>
    </xdr:to>
    <xdr:sp macro="" textlink="">
      <xdr:nvSpPr>
        <xdr:cNvPr id="58" name="Rectangle: Diagonal Corners Rounded 57">
          <a:extLst>
            <a:ext uri="{FF2B5EF4-FFF2-40B4-BE49-F238E27FC236}">
              <a16:creationId xmlns:a16="http://schemas.microsoft.com/office/drawing/2014/main" id="{6370FC6A-B196-4651-B4C6-FDAD91C6884A}"/>
            </a:ext>
          </a:extLst>
        </xdr:cNvPr>
        <xdr:cNvSpPr/>
      </xdr:nvSpPr>
      <xdr:spPr>
        <a:xfrm>
          <a:off x="11871776" y="1455510"/>
          <a:ext cx="2358574" cy="915231"/>
        </a:xfrm>
        <a:prstGeom prst="round2DiagRect">
          <a:avLst/>
        </a:prstGeom>
        <a:solidFill>
          <a:schemeClr val="accent6">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19</xdr:col>
      <xdr:colOff>320128</xdr:colOff>
      <xdr:row>7</xdr:row>
      <xdr:rowOff>158311</xdr:rowOff>
    </xdr:from>
    <xdr:ext cx="2284600" cy="405432"/>
    <xdr:sp macro="" textlink="">
      <xdr:nvSpPr>
        <xdr:cNvPr id="59" name="TextBox 58">
          <a:extLst>
            <a:ext uri="{FF2B5EF4-FFF2-40B4-BE49-F238E27FC236}">
              <a16:creationId xmlns:a16="http://schemas.microsoft.com/office/drawing/2014/main" id="{492B7DD2-2F81-4B1D-A1CD-F35097EF1E62}"/>
            </a:ext>
          </a:extLst>
        </xdr:cNvPr>
        <xdr:cNvSpPr txBox="1"/>
      </xdr:nvSpPr>
      <xdr:spPr>
        <a:xfrm>
          <a:off x="11902528" y="1491811"/>
          <a:ext cx="2284600"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000" b="1" baseline="0">
              <a:solidFill>
                <a:schemeClr val="accent6">
                  <a:lumMod val="50000"/>
                </a:schemeClr>
              </a:solidFill>
            </a:rPr>
            <a:t>AVG. SALE PER LINE</a:t>
          </a:r>
        </a:p>
      </xdr:txBody>
    </xdr:sp>
    <xdr:clientData/>
  </xdr:oneCellAnchor>
  <xdr:oneCellAnchor>
    <xdr:from>
      <xdr:col>20</xdr:col>
      <xdr:colOff>305458</xdr:colOff>
      <xdr:row>9</xdr:row>
      <xdr:rowOff>142110</xdr:rowOff>
    </xdr:from>
    <xdr:ext cx="834587" cy="483722"/>
    <xdr:sp macro="" textlink="KPIs!A8">
      <xdr:nvSpPr>
        <xdr:cNvPr id="60" name="TextBox 59">
          <a:extLst>
            <a:ext uri="{FF2B5EF4-FFF2-40B4-BE49-F238E27FC236}">
              <a16:creationId xmlns:a16="http://schemas.microsoft.com/office/drawing/2014/main" id="{8D2B2526-0175-41AE-8A94-DA8848CEB49E}"/>
            </a:ext>
          </a:extLst>
        </xdr:cNvPr>
        <xdr:cNvSpPr txBox="1"/>
      </xdr:nvSpPr>
      <xdr:spPr>
        <a:xfrm>
          <a:off x="12497458" y="1856610"/>
          <a:ext cx="834587" cy="4837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E2D5914F-DE13-4456-8FD0-6F0B85642482}" type="TxLink">
            <a:rPr lang="en-US" sz="2500" b="1" i="0" u="none" strike="noStrike">
              <a:solidFill>
                <a:schemeClr val="accent6">
                  <a:lumMod val="50000"/>
                </a:schemeClr>
              </a:solidFill>
              <a:latin typeface="Calibri"/>
              <a:cs typeface="Calibri"/>
            </a:rPr>
            <a:t>₹292</a:t>
          </a:fld>
          <a:endParaRPr lang="en-US" sz="2500" b="1">
            <a:solidFill>
              <a:schemeClr val="accent6">
                <a:lumMod val="50000"/>
              </a:schemeClr>
            </a:solidFill>
          </a:endParaRPr>
        </a:p>
      </xdr:txBody>
    </xdr:sp>
    <xdr:clientData/>
  </xdr:oneCellAnchor>
  <xdr:twoCellAnchor>
    <xdr:from>
      <xdr:col>16</xdr:col>
      <xdr:colOff>297089</xdr:colOff>
      <xdr:row>27</xdr:row>
      <xdr:rowOff>107040</xdr:rowOff>
    </xdr:from>
    <xdr:to>
      <xdr:col>23</xdr:col>
      <xdr:colOff>285750</xdr:colOff>
      <xdr:row>40</xdr:row>
      <xdr:rowOff>180520</xdr:rowOff>
    </xdr:to>
    <xdr:sp macro="" textlink="">
      <xdr:nvSpPr>
        <xdr:cNvPr id="62" name="Rectangle: Diagonal Corners Rounded 61">
          <a:extLst>
            <a:ext uri="{FF2B5EF4-FFF2-40B4-BE49-F238E27FC236}">
              <a16:creationId xmlns:a16="http://schemas.microsoft.com/office/drawing/2014/main" id="{3986BAED-209C-46BD-A23C-4BAF7F0C5DFC}"/>
            </a:ext>
          </a:extLst>
        </xdr:cNvPr>
        <xdr:cNvSpPr/>
      </xdr:nvSpPr>
      <xdr:spPr>
        <a:xfrm>
          <a:off x="10050689" y="5250540"/>
          <a:ext cx="4255861" cy="2549980"/>
        </a:xfrm>
        <a:prstGeom prst="round2DiagRect">
          <a:avLst/>
        </a:prstGeom>
        <a:solidFill>
          <a:schemeClr val="accent6">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17</xdr:col>
      <xdr:colOff>259693</xdr:colOff>
      <xdr:row>28</xdr:row>
      <xdr:rowOff>23430</xdr:rowOff>
    </xdr:from>
    <xdr:ext cx="3180230" cy="327141"/>
    <xdr:sp macro="" textlink="">
      <xdr:nvSpPr>
        <xdr:cNvPr id="61" name="TextBox 60">
          <a:extLst>
            <a:ext uri="{FF2B5EF4-FFF2-40B4-BE49-F238E27FC236}">
              <a16:creationId xmlns:a16="http://schemas.microsoft.com/office/drawing/2014/main" id="{32C205ED-F164-4450-824C-FBECE7A52296}"/>
            </a:ext>
          </a:extLst>
        </xdr:cNvPr>
        <xdr:cNvSpPr txBox="1"/>
      </xdr:nvSpPr>
      <xdr:spPr>
        <a:xfrm>
          <a:off x="10622893" y="5357430"/>
          <a:ext cx="3180230" cy="327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500" b="1">
              <a:solidFill>
                <a:schemeClr val="accent6">
                  <a:lumMod val="50000"/>
                </a:schemeClr>
              </a:solidFill>
            </a:rPr>
            <a:t>TRANSACTIONS BY PAYMENT MODE</a:t>
          </a:r>
        </a:p>
      </xdr:txBody>
    </xdr:sp>
    <xdr:clientData/>
  </xdr:oneCellAnchor>
  <xdr:twoCellAnchor>
    <xdr:from>
      <xdr:col>16</xdr:col>
      <xdr:colOff>95250</xdr:colOff>
      <xdr:row>29</xdr:row>
      <xdr:rowOff>38100</xdr:rowOff>
    </xdr:from>
    <xdr:to>
      <xdr:col>23</xdr:col>
      <xdr:colOff>247650</xdr:colOff>
      <xdr:row>40</xdr:row>
      <xdr:rowOff>95250</xdr:rowOff>
    </xdr:to>
    <xdr:graphicFrame macro="">
      <xdr:nvGraphicFramePr>
        <xdr:cNvPr id="63" name="Chart 62">
          <a:extLst>
            <a:ext uri="{FF2B5EF4-FFF2-40B4-BE49-F238E27FC236}">
              <a16:creationId xmlns:a16="http://schemas.microsoft.com/office/drawing/2014/main" id="{61F8B945-39E5-4DFA-B169-34D223BBBE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266700</xdr:colOff>
      <xdr:row>0</xdr:row>
      <xdr:rowOff>0</xdr:rowOff>
    </xdr:from>
    <xdr:to>
      <xdr:col>9</xdr:col>
      <xdr:colOff>381000</xdr:colOff>
      <xdr:row>8</xdr:row>
      <xdr:rowOff>61913</xdr:rowOff>
    </xdr:to>
    <xdr:graphicFrame macro="">
      <xdr:nvGraphicFramePr>
        <xdr:cNvPr id="2" name="Chart 1">
          <a:extLst>
            <a:ext uri="{FF2B5EF4-FFF2-40B4-BE49-F238E27FC236}">
              <a16:creationId xmlns:a16="http://schemas.microsoft.com/office/drawing/2014/main" id="{33F557B1-C2B0-4387-9EA7-A4C1EE05C0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628650</xdr:colOff>
      <xdr:row>9</xdr:row>
      <xdr:rowOff>42862</xdr:rowOff>
    </xdr:from>
    <xdr:to>
      <xdr:col>8</xdr:col>
      <xdr:colOff>28575</xdr:colOff>
      <xdr:row>21</xdr:row>
      <xdr:rowOff>28575</xdr:rowOff>
    </xdr:to>
    <xdr:graphicFrame macro="">
      <xdr:nvGraphicFramePr>
        <xdr:cNvPr id="3" name="Chart 2">
          <a:extLst>
            <a:ext uri="{FF2B5EF4-FFF2-40B4-BE49-F238E27FC236}">
              <a16:creationId xmlns:a16="http://schemas.microsoft.com/office/drawing/2014/main" id="{13ED1E02-19DC-422F-B656-1067514FF7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428625</xdr:colOff>
      <xdr:row>22</xdr:row>
      <xdr:rowOff>176212</xdr:rowOff>
    </xdr:from>
    <xdr:to>
      <xdr:col>9</xdr:col>
      <xdr:colOff>504825</xdr:colOff>
      <xdr:row>37</xdr:row>
      <xdr:rowOff>61912</xdr:rowOff>
    </xdr:to>
    <xdr:graphicFrame macro="">
      <xdr:nvGraphicFramePr>
        <xdr:cNvPr id="4" name="Chart 3">
          <a:extLst>
            <a:ext uri="{FF2B5EF4-FFF2-40B4-BE49-F238E27FC236}">
              <a16:creationId xmlns:a16="http://schemas.microsoft.com/office/drawing/2014/main" id="{3C1B0E0B-585F-42A9-8553-4937070D6A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390525</xdr:colOff>
      <xdr:row>37</xdr:row>
      <xdr:rowOff>109537</xdr:rowOff>
    </xdr:from>
    <xdr:to>
      <xdr:col>9</xdr:col>
      <xdr:colOff>466725</xdr:colOff>
      <xdr:row>51</xdr:row>
      <xdr:rowOff>185737</xdr:rowOff>
    </xdr:to>
    <xdr:graphicFrame macro="">
      <xdr:nvGraphicFramePr>
        <xdr:cNvPr id="5" name="Chart 4">
          <a:extLst>
            <a:ext uri="{FF2B5EF4-FFF2-40B4-BE49-F238E27FC236}">
              <a16:creationId xmlns:a16="http://schemas.microsoft.com/office/drawing/2014/main" id="{53B543F9-DF94-4F47-83C9-AEF4CA1DB7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409575</xdr:colOff>
      <xdr:row>51</xdr:row>
      <xdr:rowOff>109537</xdr:rowOff>
    </xdr:from>
    <xdr:to>
      <xdr:col>9</xdr:col>
      <xdr:colOff>542925</xdr:colOff>
      <xdr:row>63</xdr:row>
      <xdr:rowOff>57150</xdr:rowOff>
    </xdr:to>
    <xdr:graphicFrame macro="">
      <xdr:nvGraphicFramePr>
        <xdr:cNvPr id="6" name="Chart 5">
          <a:extLst>
            <a:ext uri="{FF2B5EF4-FFF2-40B4-BE49-F238E27FC236}">
              <a16:creationId xmlns:a16="http://schemas.microsoft.com/office/drawing/2014/main" id="{A0F0D503-B43E-484B-B920-8CA91B7B4B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647700</xdr:colOff>
      <xdr:row>62</xdr:row>
      <xdr:rowOff>71437</xdr:rowOff>
    </xdr:from>
    <xdr:to>
      <xdr:col>9</xdr:col>
      <xdr:colOff>352425</xdr:colOff>
      <xdr:row>76</xdr:row>
      <xdr:rowOff>147637</xdr:rowOff>
    </xdr:to>
    <xdr:graphicFrame macro="">
      <xdr:nvGraphicFramePr>
        <xdr:cNvPr id="7" name="Chart 6">
          <a:extLst>
            <a:ext uri="{FF2B5EF4-FFF2-40B4-BE49-F238E27FC236}">
              <a16:creationId xmlns:a16="http://schemas.microsoft.com/office/drawing/2014/main" id="{11BB3BA1-F395-4318-B4AD-F08D501603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304.725044444443" createdVersion="7" refreshedVersion="7" minRefreshableVersion="3" recordCount="1500" xr:uid="{00000000-000A-0000-FFFF-FFFF08000000}">
  <cacheSource type="worksheet">
    <worksheetSource name="Table_Sales"/>
  </cacheSource>
  <cacheFields count="13">
    <cacheField name="order_id" numFmtId="0">
      <sharedItems count="500">
        <s v="B-25681"/>
        <s v="B-26055"/>
        <s v="B-25955"/>
        <s v="B-26093"/>
        <s v="B-25602"/>
        <s v="B-25881"/>
        <s v="B-25696"/>
        <s v="B-25687"/>
        <s v="B-25643"/>
        <s v="B-25851"/>
        <s v="B-25703"/>
        <s v="B-25887"/>
        <s v="B-25923"/>
        <s v="B-25756"/>
        <s v="B-25761"/>
        <s v="B-25655"/>
        <s v="B-25786"/>
        <s v="B-26095"/>
        <s v="B-25853"/>
        <s v="B-25735"/>
        <s v="B-25910"/>
        <s v="B-25950"/>
        <s v="B-25744"/>
        <s v="B-25845"/>
        <s v="B-26001"/>
        <s v="B-25830"/>
        <s v="B-25842"/>
        <s v="B-25778"/>
        <s v="B-25686"/>
        <s v="B-25754"/>
        <s v="B-26048"/>
        <s v="B-25816"/>
        <s v="B-26022"/>
        <s v="B-25883"/>
        <s v="B-26003"/>
        <s v="B-26097"/>
        <s v="B-25710"/>
        <s v="B-25797"/>
        <s v="B-25618"/>
        <s v="B-25723"/>
        <s v="B-25755"/>
        <s v="B-25788"/>
        <s v="B-25991"/>
        <s v="B-25779"/>
        <s v="B-25909"/>
        <s v="B-25943"/>
        <s v="B-25935"/>
        <s v="B-25613"/>
        <s v="B-25729"/>
        <s v="B-25772"/>
        <s v="B-25640"/>
        <s v="B-25810"/>
        <s v="B-25801"/>
        <s v="B-26085"/>
        <s v="B-25868"/>
        <s v="B-25714"/>
        <s v="B-25784"/>
        <s v="B-25608"/>
        <s v="B-26051"/>
        <s v="B-25900"/>
        <s v="B-25760"/>
        <s v="B-25762"/>
        <s v="B-25995"/>
        <s v="B-25965"/>
        <s v="B-25967"/>
        <s v="B-25674"/>
        <s v="B-25929"/>
        <s v="B-25777"/>
        <s v="B-26006"/>
        <s v="B-25697"/>
        <s v="B-25667"/>
        <s v="B-25836"/>
        <s v="B-25984"/>
        <s v="B-25728"/>
        <s v="B-25757"/>
        <s v="B-25957"/>
        <s v="B-26061"/>
        <s v="B-25616"/>
        <s v="B-25666"/>
        <s v="B-25675"/>
        <s v="B-26079"/>
        <s v="B-25850"/>
        <s v="B-25693"/>
        <s v="B-25852"/>
        <s v="B-25860"/>
        <s v="B-25898"/>
        <s v="B-26100"/>
        <s v="B-25653"/>
        <s v="B-25839"/>
        <s v="B-25651"/>
        <s v="B-25704"/>
        <s v="B-25730"/>
        <s v="B-26052"/>
        <s v="B-25656"/>
        <s v="B-26033"/>
        <s v="B-25945"/>
        <s v="B-26086"/>
        <s v="B-25752"/>
        <s v="B-26098"/>
        <s v="B-26067"/>
        <s v="B-25986"/>
        <s v="B-25953"/>
        <s v="B-25952"/>
        <s v="B-25903"/>
        <s v="B-25650"/>
        <s v="B-25970"/>
        <s v="B-26062"/>
        <s v="B-25632"/>
        <s v="B-25821"/>
        <s v="B-25878"/>
        <s v="B-25750"/>
        <s v="B-25657"/>
        <s v="B-25787"/>
        <s v="B-25808"/>
        <s v="B-25885"/>
        <s v="B-25759"/>
        <s v="B-25747"/>
        <s v="B-25603"/>
        <s v="B-25691"/>
        <s v="B-25607"/>
        <s v="B-25708"/>
        <s v="B-26021"/>
        <s v="B-25831"/>
        <s v="B-25670"/>
        <s v="B-26029"/>
        <s v="B-25959"/>
        <s v="B-25676"/>
        <s v="B-25888"/>
        <s v="B-25911"/>
        <s v="B-25662"/>
        <s v="B-25847"/>
        <s v="B-25796"/>
        <s v="B-25993"/>
        <s v="B-25930"/>
        <s v="B-25785"/>
        <s v="B-26053"/>
        <s v="B-26019"/>
        <s v="B-26070"/>
        <s v="B-25870"/>
        <s v="B-25855"/>
        <s v="B-25803"/>
        <s v="B-25996"/>
        <s v="B-26078"/>
        <s v="B-25682"/>
        <s v="B-25749"/>
        <s v="B-25962"/>
        <s v="B-25899"/>
        <s v="B-25951"/>
        <s v="B-25828"/>
        <s v="B-25658"/>
        <s v="B-25698"/>
        <s v="B-25832"/>
        <s v="B-25886"/>
        <s v="B-25897"/>
        <s v="B-25873"/>
        <s v="B-25858"/>
        <s v="B-25867"/>
        <s v="B-25633"/>
        <s v="B-25609"/>
        <s v="B-25896"/>
        <s v="B-26000"/>
        <s v="B-25940"/>
        <s v="B-26087"/>
        <s v="B-25980"/>
        <s v="B-25877"/>
        <s v="B-25905"/>
        <s v="B-25818"/>
        <s v="B-25835"/>
        <s v="B-26081"/>
        <s v="B-25837"/>
        <s v="B-25893"/>
        <s v="B-25689"/>
        <s v="B-26028"/>
        <s v="B-25654"/>
        <s v="B-25720"/>
        <s v="B-26057"/>
        <s v="B-25798"/>
        <s v="B-25961"/>
        <s v="B-25701"/>
        <s v="B-26056"/>
        <s v="B-26016"/>
        <s v="B-25819"/>
        <s v="B-25848"/>
        <s v="B-25678"/>
        <s v="B-25925"/>
        <s v="B-25977"/>
        <s v="B-25648"/>
        <s v="B-25933"/>
        <s v="B-25942"/>
        <s v="B-25673"/>
        <s v="B-25791"/>
        <s v="B-25983"/>
        <s v="B-25743"/>
        <s v="B-25973"/>
        <s v="B-25895"/>
        <s v="B-25717"/>
        <s v="B-26064"/>
        <s v="B-25630"/>
        <s v="B-26050"/>
        <s v="B-26035"/>
        <s v="B-25966"/>
        <s v="B-26060"/>
        <s v="B-25854"/>
        <s v="B-25964"/>
        <s v="B-25628"/>
        <s v="B-25891"/>
        <s v="B-26089"/>
        <s v="B-25621"/>
        <s v="B-25727"/>
        <s v="B-25843"/>
        <s v="B-25741"/>
        <s v="B-26096"/>
        <s v="B-26007"/>
        <s v="B-26088"/>
        <s v="B-25664"/>
        <s v="B-25642"/>
        <s v="B-25987"/>
        <s v="B-25770"/>
        <s v="B-25840"/>
        <s v="B-25846"/>
        <s v="B-25745"/>
        <s v="B-26073"/>
        <s v="B-26030"/>
        <s v="B-25989"/>
        <s v="B-26009"/>
        <s v="B-25915"/>
        <s v="B-25645"/>
        <s v="B-25635"/>
        <s v="B-26038"/>
        <s v="B-26014"/>
        <s v="B-25751"/>
        <s v="B-26025"/>
        <s v="B-25981"/>
        <s v="B-25610"/>
        <s v="B-25733"/>
        <s v="B-25612"/>
        <s v="B-25700"/>
        <s v="B-25856"/>
        <s v="B-26026"/>
        <s v="B-25861"/>
        <s v="B-25799"/>
        <s v="B-26054"/>
        <s v="B-25660"/>
        <s v="B-26045"/>
        <s v="B-25781"/>
        <s v="B-25918"/>
        <s v="B-25971"/>
        <s v="B-25699"/>
        <s v="B-25776"/>
        <s v="B-25985"/>
        <s v="B-26063"/>
        <s v="B-26032"/>
        <s v="B-25767"/>
        <s v="B-26023"/>
        <s v="B-25809"/>
        <s v="B-25688"/>
        <s v="B-25753"/>
        <s v="B-25773"/>
        <s v="B-25661"/>
        <s v="B-25857"/>
        <s v="B-25999"/>
        <s v="B-25926"/>
        <s v="B-26076"/>
        <s v="B-25913"/>
        <s v="B-26020"/>
        <s v="B-26083"/>
        <s v="B-25625"/>
        <s v="B-26010"/>
        <s v="B-25979"/>
        <s v="B-26002"/>
        <s v="B-26084"/>
        <s v="B-25998"/>
        <s v="B-25872"/>
        <s v="B-25795"/>
        <s v="B-25902"/>
        <s v="B-25793"/>
        <s v="B-25652"/>
        <s v="B-26018"/>
        <s v="B-25823"/>
        <s v="B-25994"/>
        <s v="B-25863"/>
        <s v="B-25680"/>
        <s v="B-25737"/>
        <s v="B-25875"/>
        <s v="B-26031"/>
        <s v="B-25908"/>
        <s v="B-26041"/>
        <s v="B-25794"/>
        <s v="B-25615"/>
        <s v="B-25997"/>
        <s v="B-25990"/>
        <s v="B-26091"/>
        <s v="B-25604"/>
        <s v="B-25724"/>
        <s v="B-25748"/>
        <s v="B-26004"/>
        <s v="B-25954"/>
        <s v="B-26043"/>
        <s v="B-25838"/>
        <s v="B-26042"/>
        <s v="B-26008"/>
        <s v="B-25927"/>
        <s v="B-25948"/>
        <s v="B-26094"/>
        <s v="B-25623"/>
        <s v="B-25800"/>
        <s v="B-26039"/>
        <s v="B-25620"/>
        <s v="B-25721"/>
        <s v="B-25764"/>
        <s v="B-26066"/>
        <s v="B-25712"/>
        <s v="B-25738"/>
        <s v="B-25771"/>
        <s v="B-25601"/>
        <s v="B-25844"/>
        <s v="B-26065"/>
        <s v="B-25825"/>
        <s v="B-25765"/>
        <s v="B-25709"/>
        <s v="B-25684"/>
        <s v="B-25739"/>
        <s v="B-26082"/>
        <s v="B-25731"/>
        <s v="B-25719"/>
        <s v="B-25646"/>
        <s v="B-25874"/>
        <s v="B-25638"/>
        <s v="B-25882"/>
        <s v="B-26040"/>
        <s v="B-26037"/>
        <s v="B-25920"/>
        <s v="B-25960"/>
        <s v="B-25917"/>
        <s v="B-25972"/>
        <s v="B-25736"/>
        <s v="B-25742"/>
        <s v="B-25641"/>
        <s v="B-25958"/>
        <s v="B-25802"/>
        <s v="B-25834"/>
        <s v="B-25774"/>
        <s v="B-25904"/>
        <s v="B-25934"/>
        <s v="B-25912"/>
        <s v="B-25647"/>
        <s v="B-25901"/>
        <s v="B-25804"/>
        <s v="B-25734"/>
        <s v="B-25711"/>
        <s v="B-25864"/>
        <s v="B-25949"/>
        <s v="B-25805"/>
        <s v="B-25919"/>
        <s v="B-25889"/>
        <s v="B-25637"/>
        <s v="B-25783"/>
        <s v="B-25938"/>
        <s v="B-25820"/>
        <s v="B-25924"/>
        <s v="B-25814"/>
        <s v="B-25631"/>
        <s v="B-25956"/>
        <s v="B-25862"/>
        <s v="B-25606"/>
        <s v="B-25928"/>
        <s v="B-26005"/>
        <s v="B-25963"/>
        <s v="B-25683"/>
        <s v="B-25914"/>
        <s v="B-25869"/>
        <s v="B-25921"/>
        <s v="B-25849"/>
        <s v="B-25780"/>
        <s v="B-25892"/>
        <s v="B-25988"/>
        <s v="B-25939"/>
        <s v="B-25906"/>
        <s v="B-26017"/>
        <s v="B-25644"/>
        <s v="B-25679"/>
        <s v="B-25792"/>
        <s v="B-25946"/>
        <s v="B-25992"/>
        <s v="B-25659"/>
        <s v="B-25716"/>
        <s v="B-25725"/>
        <s v="B-25932"/>
        <s v="B-25789"/>
        <s v="B-25732"/>
        <s v="B-25871"/>
        <s v="B-25611"/>
        <s v="B-25833"/>
        <s v="B-25665"/>
        <s v="B-25694"/>
        <s v="B-25668"/>
        <s v="B-26024"/>
        <s v="B-25827"/>
        <s v="B-25713"/>
        <s v="B-25944"/>
        <s v="B-25695"/>
        <s v="B-25880"/>
        <s v="B-25941"/>
        <s v="B-25706"/>
        <s v="B-25969"/>
        <s v="B-25763"/>
        <s v="B-25740"/>
        <s v="B-25879"/>
        <s v="B-25614"/>
        <s v="B-26092"/>
        <s v="B-26011"/>
        <s v="B-26074"/>
        <s v="B-25976"/>
        <s v="B-25865"/>
        <s v="B-26049"/>
        <s v="B-26047"/>
        <s v="B-25766"/>
        <s v="B-25947"/>
        <s v="B-26069"/>
        <s v="B-25627"/>
        <s v="B-26027"/>
        <s v="B-26068"/>
        <s v="B-26080"/>
        <s v="B-26012"/>
        <s v="B-25824"/>
        <s v="B-25922"/>
        <s v="B-26099"/>
        <s v="B-25866"/>
        <s v="B-25775"/>
        <s v="B-25685"/>
        <s v="B-26090"/>
        <s v="B-26072"/>
        <s v="B-25916"/>
        <s v="B-25722"/>
        <s v="B-25746"/>
        <s v="B-25812"/>
        <s v="B-25605"/>
        <s v="B-25702"/>
        <s v="B-25626"/>
        <s v="B-25811"/>
        <s v="B-25876"/>
        <s v="B-25931"/>
        <s v="B-25663"/>
        <s v="B-25677"/>
        <s v="B-25617"/>
        <s v="B-26036"/>
        <s v="B-25978"/>
        <s v="B-26077"/>
        <s v="B-25790"/>
        <s v="B-25829"/>
        <s v="B-25705"/>
        <s v="B-25936"/>
        <s v="B-25782"/>
        <s v="B-25769"/>
        <s v="B-25718"/>
        <s v="B-25715"/>
        <s v="B-26075"/>
        <s v="B-25634"/>
        <s v="B-26015"/>
        <s v="B-25822"/>
        <s v="B-26034"/>
        <s v="B-25692"/>
        <s v="B-26046"/>
        <s v="B-25622"/>
        <s v="B-25690"/>
        <s v="B-25726"/>
        <s v="B-25907"/>
        <s v="B-26013"/>
        <s v="B-25975"/>
        <s v="B-25815"/>
        <s v="B-25619"/>
        <s v="B-26058"/>
        <s v="B-26044"/>
        <s v="B-25636"/>
        <s v="B-25649"/>
        <s v="B-25806"/>
        <s v="B-25826"/>
        <s v="B-25624"/>
        <s v="B-25974"/>
        <s v="B-25884"/>
        <s v="B-25672"/>
        <s v="B-25859"/>
        <s v="B-25817"/>
        <s v="B-25968"/>
        <s v="B-25671"/>
        <s v="B-26059"/>
        <s v="B-25669"/>
        <s v="B-25841"/>
        <s v="B-26071"/>
        <s v="B-25813"/>
        <s v="B-25890"/>
        <s v="B-25807"/>
        <s v="B-25937"/>
        <s v="B-25982"/>
        <s v="B-25639"/>
        <s v="B-25894"/>
        <s v="B-25768"/>
        <s v="B-25629"/>
        <s v="B-25758"/>
        <s v="B-25707"/>
      </sharedItems>
    </cacheField>
    <cacheField name="amount" numFmtId="164">
      <sharedItems containsSemiMixedTypes="0" containsString="0" containsNumber="1" containsInteger="1" minValue="4" maxValue="5729"/>
    </cacheField>
    <cacheField name="profit" numFmtId="164">
      <sharedItems containsSemiMixedTypes="0" containsString="0" containsNumber="1" containsInteger="1" minValue="-1981" maxValue="1864"/>
    </cacheField>
    <cacheField name="quantity" numFmtId="0">
      <sharedItems containsSemiMixedTypes="0" containsString="0" containsNumber="1" containsInteger="1" minValue="1" maxValue="14"/>
    </cacheField>
    <cacheField name="category" numFmtId="0">
      <sharedItems count="3">
        <s v="Electronics"/>
        <s v="Furniture"/>
        <s v="Clothing"/>
      </sharedItems>
    </cacheField>
    <cacheField name="sub_category" numFmtId="0">
      <sharedItems count="17">
        <s v="Electronic Games"/>
        <s v="Chairs"/>
        <s v="Bookcases"/>
        <s v="Printers"/>
        <s v="Phones"/>
        <s v="Trousers"/>
        <s v="Saree"/>
        <s v="Handkerchief"/>
        <s v="Kurti"/>
        <s v="Skirt"/>
        <s v="Tables"/>
        <s v="Stole"/>
        <s v="Leggings"/>
        <s v="Accessories"/>
        <s v="T-shirt"/>
        <s v="Furnishings"/>
        <s v="Shirt"/>
      </sharedItems>
    </cacheField>
    <cacheField name="payment_mode" numFmtId="0">
      <sharedItems count="5">
        <s v="COD"/>
        <s v="EMI"/>
        <s v="Credit Card"/>
        <s v="UPI"/>
        <s v="Debit Card"/>
      </sharedItems>
    </cacheField>
    <cacheField name="h_loss" numFmtId="0">
      <sharedItems containsSemiMixedTypes="0" containsString="0" containsNumber="1" containsInteger="1" minValue="0" maxValue="1"/>
    </cacheField>
    <cacheField name="h_QtyBand" numFmtId="0">
      <sharedItems count="4">
        <s v="2-7"/>
        <s v="11 and above"/>
        <s v="8-10"/>
        <s v="1-3"/>
      </sharedItems>
    </cacheField>
    <cacheField name="h_AmtBand" numFmtId="0">
      <sharedItems/>
    </cacheField>
    <cacheField name="h_Firstline" numFmtId="0">
      <sharedItems containsSemiMixedTypes="0" containsString="0" containsNumber="1" containsInteger="1" minValue="0" maxValue="1" count="2">
        <n v="1"/>
        <n v="0"/>
      </sharedItems>
    </cacheField>
    <cacheField name="h_include" numFmtId="0">
      <sharedItems containsSemiMixedTypes="0" containsString="0" containsNumber="1" containsInteger="1" minValue="0" maxValue="1"/>
    </cacheField>
    <cacheField name="Profit Margin %" numFmtId="0" formula="profit/amount" databaseField="0"/>
  </cacheFields>
  <extLst>
    <ext xmlns:x14="http://schemas.microsoft.com/office/spreadsheetml/2009/9/main" uri="{725AE2AE-9491-48be-B2B4-4EB974FC3084}">
      <x14:pivotCacheDefinition pivotCacheId="18540919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x v="0"/>
    <n v="1096"/>
    <n v="658"/>
    <n v="7"/>
    <x v="0"/>
    <x v="0"/>
    <x v="0"/>
    <n v="0"/>
    <x v="0"/>
    <s v="1000 - 2999"/>
    <x v="0"/>
    <n v="1"/>
  </r>
  <r>
    <x v="1"/>
    <n v="5729"/>
    <n v="64"/>
    <n v="14"/>
    <x v="1"/>
    <x v="1"/>
    <x v="1"/>
    <n v="0"/>
    <x v="1"/>
    <s v="5000 &amp; above"/>
    <x v="0"/>
    <n v="1"/>
  </r>
  <r>
    <x v="2"/>
    <n v="2927"/>
    <n v="146"/>
    <n v="8"/>
    <x v="1"/>
    <x v="2"/>
    <x v="1"/>
    <n v="0"/>
    <x v="2"/>
    <s v="1000 - 2999"/>
    <x v="0"/>
    <n v="1"/>
  </r>
  <r>
    <x v="3"/>
    <n v="2847"/>
    <n v="712"/>
    <n v="8"/>
    <x v="0"/>
    <x v="3"/>
    <x v="2"/>
    <n v="0"/>
    <x v="2"/>
    <s v="1000 - 2999"/>
    <x v="0"/>
    <n v="1"/>
  </r>
  <r>
    <x v="4"/>
    <n v="2617"/>
    <n v="1151"/>
    <n v="4"/>
    <x v="0"/>
    <x v="4"/>
    <x v="2"/>
    <n v="0"/>
    <x v="0"/>
    <s v="1000 - 2999"/>
    <x v="0"/>
    <n v="1"/>
  </r>
  <r>
    <x v="5"/>
    <n v="2244"/>
    <n v="247"/>
    <n v="4"/>
    <x v="2"/>
    <x v="5"/>
    <x v="2"/>
    <n v="0"/>
    <x v="0"/>
    <s v="1000 - 2999"/>
    <x v="0"/>
    <n v="1"/>
  </r>
  <r>
    <x v="6"/>
    <n v="275"/>
    <n v="-275"/>
    <n v="4"/>
    <x v="2"/>
    <x v="6"/>
    <x v="0"/>
    <n v="1"/>
    <x v="0"/>
    <s v="Under 1000"/>
    <x v="0"/>
    <n v="1"/>
  </r>
  <r>
    <x v="7"/>
    <n v="387"/>
    <n v="-213"/>
    <n v="5"/>
    <x v="2"/>
    <x v="6"/>
    <x v="3"/>
    <n v="1"/>
    <x v="0"/>
    <s v="Under 1000"/>
    <x v="0"/>
    <n v="1"/>
  </r>
  <r>
    <x v="8"/>
    <n v="50"/>
    <n v="-44"/>
    <n v="2"/>
    <x v="2"/>
    <x v="7"/>
    <x v="3"/>
    <n v="1"/>
    <x v="3"/>
    <s v="Under 1000"/>
    <x v="0"/>
    <n v="1"/>
  </r>
  <r>
    <x v="9"/>
    <n v="135"/>
    <n v="-54"/>
    <n v="5"/>
    <x v="2"/>
    <x v="8"/>
    <x v="0"/>
    <n v="1"/>
    <x v="0"/>
    <s v="Under 1000"/>
    <x v="0"/>
    <n v="1"/>
  </r>
  <r>
    <x v="10"/>
    <n v="231"/>
    <n v="-190"/>
    <n v="9"/>
    <x v="2"/>
    <x v="7"/>
    <x v="0"/>
    <n v="1"/>
    <x v="2"/>
    <s v="Under 1000"/>
    <x v="0"/>
    <n v="1"/>
  </r>
  <r>
    <x v="11"/>
    <n v="2125"/>
    <n v="-234"/>
    <n v="6"/>
    <x v="0"/>
    <x v="3"/>
    <x v="1"/>
    <n v="1"/>
    <x v="0"/>
    <s v="1000 - 2999"/>
    <x v="0"/>
    <n v="1"/>
  </r>
  <r>
    <x v="12"/>
    <n v="3873"/>
    <n v="-891"/>
    <n v="6"/>
    <x v="0"/>
    <x v="4"/>
    <x v="2"/>
    <n v="1"/>
    <x v="0"/>
    <s v="3000 - 4999"/>
    <x v="0"/>
    <n v="1"/>
  </r>
  <r>
    <x v="13"/>
    <n v="729"/>
    <n v="-492"/>
    <n v="5"/>
    <x v="1"/>
    <x v="2"/>
    <x v="3"/>
    <n v="1"/>
    <x v="0"/>
    <s v="Under 1000"/>
    <x v="0"/>
    <n v="1"/>
  </r>
  <r>
    <x v="14"/>
    <n v="2188"/>
    <n v="1050"/>
    <n v="5"/>
    <x v="1"/>
    <x v="2"/>
    <x v="2"/>
    <n v="0"/>
    <x v="0"/>
    <s v="1000 - 2999"/>
    <x v="0"/>
    <n v="1"/>
  </r>
  <r>
    <x v="15"/>
    <n v="6"/>
    <n v="-3"/>
    <n v="1"/>
    <x v="2"/>
    <x v="7"/>
    <x v="3"/>
    <n v="1"/>
    <x v="3"/>
    <s v="Under 1000"/>
    <x v="0"/>
    <n v="1"/>
  </r>
  <r>
    <x v="16"/>
    <n v="1854"/>
    <n v="433"/>
    <n v="5"/>
    <x v="1"/>
    <x v="2"/>
    <x v="2"/>
    <n v="0"/>
    <x v="0"/>
    <s v="1000 - 2999"/>
    <x v="0"/>
    <n v="1"/>
  </r>
  <r>
    <x v="17"/>
    <n v="6"/>
    <n v="1"/>
    <n v="1"/>
    <x v="2"/>
    <x v="8"/>
    <x v="3"/>
    <n v="0"/>
    <x v="3"/>
    <s v="Under 1000"/>
    <x v="0"/>
    <n v="1"/>
  </r>
  <r>
    <x v="18"/>
    <n v="2093"/>
    <n v="721"/>
    <n v="5"/>
    <x v="1"/>
    <x v="1"/>
    <x v="2"/>
    <n v="0"/>
    <x v="0"/>
    <s v="1000 - 2999"/>
    <x v="0"/>
    <n v="1"/>
  </r>
  <r>
    <x v="19"/>
    <n v="7"/>
    <n v="-1"/>
    <n v="2"/>
    <x v="2"/>
    <x v="9"/>
    <x v="3"/>
    <n v="1"/>
    <x v="3"/>
    <s v="Under 1000"/>
    <x v="0"/>
    <n v="1"/>
  </r>
  <r>
    <x v="20"/>
    <n v="1622"/>
    <n v="-624"/>
    <n v="5"/>
    <x v="1"/>
    <x v="10"/>
    <x v="2"/>
    <n v="1"/>
    <x v="0"/>
    <s v="1000 - 2999"/>
    <x v="0"/>
    <n v="1"/>
  </r>
  <r>
    <x v="21"/>
    <n v="1622"/>
    <n v="95"/>
    <n v="5"/>
    <x v="0"/>
    <x v="3"/>
    <x v="2"/>
    <n v="0"/>
    <x v="0"/>
    <s v="1000 - 2999"/>
    <x v="0"/>
    <n v="1"/>
  </r>
  <r>
    <x v="22"/>
    <n v="373"/>
    <n v="254"/>
    <n v="6"/>
    <x v="0"/>
    <x v="3"/>
    <x v="3"/>
    <n v="0"/>
    <x v="0"/>
    <s v="Under 1000"/>
    <x v="0"/>
    <n v="1"/>
  </r>
  <r>
    <x v="23"/>
    <n v="82"/>
    <n v="-33"/>
    <n v="4"/>
    <x v="2"/>
    <x v="8"/>
    <x v="0"/>
    <n v="1"/>
    <x v="0"/>
    <s v="Under 1000"/>
    <x v="0"/>
    <n v="1"/>
  </r>
  <r>
    <x v="24"/>
    <n v="8"/>
    <n v="2"/>
    <n v="2"/>
    <x v="2"/>
    <x v="9"/>
    <x v="3"/>
    <n v="0"/>
    <x v="3"/>
    <s v="Under 1000"/>
    <x v="0"/>
    <n v="1"/>
  </r>
  <r>
    <x v="25"/>
    <n v="1954"/>
    <n v="782"/>
    <n v="3"/>
    <x v="0"/>
    <x v="4"/>
    <x v="2"/>
    <n v="0"/>
    <x v="3"/>
    <s v="1000 - 2999"/>
    <x v="0"/>
    <n v="1"/>
  </r>
  <r>
    <x v="26"/>
    <n v="1543"/>
    <n v="370"/>
    <n v="8"/>
    <x v="0"/>
    <x v="3"/>
    <x v="2"/>
    <n v="0"/>
    <x v="2"/>
    <s v="1000 - 2999"/>
    <x v="0"/>
    <n v="1"/>
  </r>
  <r>
    <x v="27"/>
    <n v="1506"/>
    <n v="-266"/>
    <n v="6"/>
    <x v="0"/>
    <x v="3"/>
    <x v="2"/>
    <n v="1"/>
    <x v="0"/>
    <s v="1000 - 2999"/>
    <x v="0"/>
    <n v="1"/>
  </r>
  <r>
    <x v="28"/>
    <n v="1829"/>
    <n v="-56"/>
    <n v="6"/>
    <x v="1"/>
    <x v="10"/>
    <x v="2"/>
    <n v="1"/>
    <x v="0"/>
    <s v="1000 - 2999"/>
    <x v="0"/>
    <n v="1"/>
  </r>
  <r>
    <x v="29"/>
    <n v="9"/>
    <n v="-1"/>
    <n v="3"/>
    <x v="2"/>
    <x v="9"/>
    <x v="3"/>
    <n v="1"/>
    <x v="3"/>
    <s v="Under 1000"/>
    <x v="0"/>
    <n v="1"/>
  </r>
  <r>
    <x v="30"/>
    <n v="1461"/>
    <n v="202"/>
    <n v="5"/>
    <x v="1"/>
    <x v="10"/>
    <x v="1"/>
    <n v="0"/>
    <x v="0"/>
    <s v="1000 - 2999"/>
    <x v="0"/>
    <n v="1"/>
  </r>
  <r>
    <x v="31"/>
    <n v="391"/>
    <n v="113"/>
    <n v="8"/>
    <x v="2"/>
    <x v="11"/>
    <x v="0"/>
    <n v="0"/>
    <x v="2"/>
    <s v="Under 1000"/>
    <x v="0"/>
    <n v="1"/>
  </r>
  <r>
    <x v="32"/>
    <n v="1824"/>
    <n v="1303"/>
    <n v="8"/>
    <x v="0"/>
    <x v="4"/>
    <x v="2"/>
    <n v="0"/>
    <x v="2"/>
    <s v="1000 - 2999"/>
    <x v="0"/>
    <n v="1"/>
  </r>
  <r>
    <x v="33"/>
    <n v="16"/>
    <n v="-15"/>
    <n v="4"/>
    <x v="2"/>
    <x v="7"/>
    <x v="3"/>
    <n v="1"/>
    <x v="0"/>
    <s v="Under 1000"/>
    <x v="0"/>
    <n v="1"/>
  </r>
  <r>
    <x v="34"/>
    <n v="1745"/>
    <n v="122"/>
    <n v="2"/>
    <x v="1"/>
    <x v="10"/>
    <x v="2"/>
    <n v="0"/>
    <x v="3"/>
    <s v="1000 - 2999"/>
    <x v="0"/>
    <n v="1"/>
  </r>
  <r>
    <x v="35"/>
    <n v="663"/>
    <n v="-212"/>
    <n v="5"/>
    <x v="0"/>
    <x v="3"/>
    <x v="3"/>
    <n v="1"/>
    <x v="0"/>
    <s v="Under 1000"/>
    <x v="0"/>
    <n v="1"/>
  </r>
  <r>
    <x v="36"/>
    <n v="10"/>
    <n v="-1"/>
    <n v="1"/>
    <x v="2"/>
    <x v="12"/>
    <x v="3"/>
    <n v="1"/>
    <x v="3"/>
    <s v="Under 1000"/>
    <x v="0"/>
    <n v="1"/>
  </r>
  <r>
    <x v="37"/>
    <n v="1630"/>
    <n v="802"/>
    <n v="5"/>
    <x v="1"/>
    <x v="10"/>
    <x v="1"/>
    <n v="0"/>
    <x v="0"/>
    <s v="1000 - 2999"/>
    <x v="0"/>
    <n v="1"/>
  </r>
  <r>
    <x v="38"/>
    <n v="12"/>
    <n v="0"/>
    <n v="2"/>
    <x v="2"/>
    <x v="7"/>
    <x v="3"/>
    <n v="0"/>
    <x v="3"/>
    <s v="Under 1000"/>
    <x v="0"/>
    <n v="1"/>
  </r>
  <r>
    <x v="39"/>
    <n v="12"/>
    <n v="-7"/>
    <n v="2"/>
    <x v="2"/>
    <x v="12"/>
    <x v="3"/>
    <n v="1"/>
    <x v="3"/>
    <s v="Under 1000"/>
    <x v="0"/>
    <n v="1"/>
  </r>
  <r>
    <x v="40"/>
    <n v="1709"/>
    <n v="564"/>
    <n v="3"/>
    <x v="2"/>
    <x v="5"/>
    <x v="2"/>
    <n v="0"/>
    <x v="3"/>
    <s v="1000 - 2999"/>
    <x v="0"/>
    <n v="1"/>
  </r>
  <r>
    <x v="41"/>
    <n v="12"/>
    <n v="3"/>
    <n v="1"/>
    <x v="2"/>
    <x v="11"/>
    <x v="3"/>
    <n v="0"/>
    <x v="3"/>
    <s v="Under 1000"/>
    <x v="0"/>
    <n v="1"/>
  </r>
  <r>
    <x v="0"/>
    <n v="1625"/>
    <n v="-77"/>
    <n v="3"/>
    <x v="0"/>
    <x v="4"/>
    <x v="1"/>
    <n v="1"/>
    <x v="3"/>
    <s v="1000 - 2999"/>
    <x v="1"/>
    <n v="1"/>
  </r>
  <r>
    <x v="42"/>
    <n v="13"/>
    <n v="5"/>
    <n v="2"/>
    <x v="2"/>
    <x v="7"/>
    <x v="3"/>
    <n v="0"/>
    <x v="3"/>
    <s v="Under 1000"/>
    <x v="0"/>
    <n v="1"/>
  </r>
  <r>
    <x v="43"/>
    <n v="1361"/>
    <n v="980"/>
    <n v="3"/>
    <x v="1"/>
    <x v="10"/>
    <x v="0"/>
    <n v="0"/>
    <x v="3"/>
    <s v="1000 - 2999"/>
    <x v="0"/>
    <n v="1"/>
  </r>
  <r>
    <x v="44"/>
    <n v="1622"/>
    <n v="-448"/>
    <n v="3"/>
    <x v="0"/>
    <x v="4"/>
    <x v="1"/>
    <n v="1"/>
    <x v="3"/>
    <s v="1000 - 2999"/>
    <x v="0"/>
    <n v="1"/>
  </r>
  <r>
    <x v="45"/>
    <n v="1547"/>
    <n v="340"/>
    <n v="6"/>
    <x v="0"/>
    <x v="13"/>
    <x v="1"/>
    <n v="0"/>
    <x v="0"/>
    <s v="1000 - 2999"/>
    <x v="0"/>
    <n v="1"/>
  </r>
  <r>
    <x v="46"/>
    <n v="1657"/>
    <n v="460"/>
    <n v="4"/>
    <x v="1"/>
    <x v="1"/>
    <x v="2"/>
    <n v="0"/>
    <x v="0"/>
    <s v="1000 - 2999"/>
    <x v="0"/>
    <n v="1"/>
  </r>
  <r>
    <x v="47"/>
    <n v="1603"/>
    <n v="0"/>
    <n v="9"/>
    <x v="2"/>
    <x v="6"/>
    <x v="2"/>
    <n v="0"/>
    <x v="2"/>
    <s v="1000 - 2999"/>
    <x v="0"/>
    <n v="1"/>
  </r>
  <r>
    <x v="48"/>
    <n v="1549"/>
    <n v="-439"/>
    <n v="4"/>
    <x v="0"/>
    <x v="4"/>
    <x v="2"/>
    <n v="1"/>
    <x v="0"/>
    <s v="1000 - 2999"/>
    <x v="0"/>
    <n v="1"/>
  </r>
  <r>
    <x v="49"/>
    <n v="1183"/>
    <n v="106"/>
    <n v="4"/>
    <x v="0"/>
    <x v="3"/>
    <x v="1"/>
    <n v="0"/>
    <x v="0"/>
    <s v="1000 - 2999"/>
    <x v="0"/>
    <n v="1"/>
  </r>
  <r>
    <x v="15"/>
    <n v="74"/>
    <n v="-123"/>
    <n v="8"/>
    <x v="2"/>
    <x v="9"/>
    <x v="3"/>
    <n v="1"/>
    <x v="2"/>
    <s v="Under 1000"/>
    <x v="1"/>
    <n v="1"/>
  </r>
  <r>
    <x v="50"/>
    <n v="1499"/>
    <n v="239"/>
    <n v="13"/>
    <x v="2"/>
    <x v="6"/>
    <x v="2"/>
    <n v="0"/>
    <x v="1"/>
    <s v="1000 - 2999"/>
    <x v="0"/>
    <n v="1"/>
  </r>
  <r>
    <x v="51"/>
    <n v="1120"/>
    <n v="199"/>
    <n v="6"/>
    <x v="2"/>
    <x v="6"/>
    <x v="1"/>
    <n v="0"/>
    <x v="0"/>
    <s v="1000 - 2999"/>
    <x v="0"/>
    <n v="1"/>
  </r>
  <r>
    <x v="52"/>
    <n v="15"/>
    <n v="-2"/>
    <n v="1"/>
    <x v="2"/>
    <x v="14"/>
    <x v="4"/>
    <n v="1"/>
    <x v="3"/>
    <s v="Under 1000"/>
    <x v="0"/>
    <n v="1"/>
  </r>
  <r>
    <x v="53"/>
    <n v="1487"/>
    <n v="624"/>
    <n v="3"/>
    <x v="2"/>
    <x v="5"/>
    <x v="2"/>
    <n v="0"/>
    <x v="3"/>
    <s v="1000 - 2999"/>
    <x v="0"/>
    <n v="1"/>
  </r>
  <r>
    <x v="54"/>
    <n v="1118"/>
    <n v="206"/>
    <n v="2"/>
    <x v="1"/>
    <x v="10"/>
    <x v="2"/>
    <n v="0"/>
    <x v="3"/>
    <s v="1000 - 2999"/>
    <x v="0"/>
    <n v="1"/>
  </r>
  <r>
    <x v="55"/>
    <n v="11"/>
    <n v="-5"/>
    <n v="2"/>
    <x v="2"/>
    <x v="7"/>
    <x v="0"/>
    <n v="1"/>
    <x v="3"/>
    <s v="Under 1000"/>
    <x v="0"/>
    <n v="1"/>
  </r>
  <r>
    <x v="56"/>
    <n v="15"/>
    <n v="4"/>
    <n v="1"/>
    <x v="2"/>
    <x v="7"/>
    <x v="4"/>
    <n v="0"/>
    <x v="3"/>
    <s v="Under 1000"/>
    <x v="0"/>
    <n v="1"/>
  </r>
  <r>
    <x v="57"/>
    <n v="1364"/>
    <n v="1864"/>
    <n v="5"/>
    <x v="1"/>
    <x v="10"/>
    <x v="2"/>
    <n v="0"/>
    <x v="0"/>
    <s v="1000 - 2999"/>
    <x v="0"/>
    <n v="0"/>
  </r>
  <r>
    <x v="58"/>
    <n v="1337"/>
    <n v="147"/>
    <n v="7"/>
    <x v="0"/>
    <x v="3"/>
    <x v="2"/>
    <n v="0"/>
    <x v="0"/>
    <s v="1000 - 2999"/>
    <x v="0"/>
    <n v="1"/>
  </r>
  <r>
    <x v="59"/>
    <n v="15"/>
    <n v="2"/>
    <n v="1"/>
    <x v="2"/>
    <x v="12"/>
    <x v="4"/>
    <n v="0"/>
    <x v="3"/>
    <s v="Under 1000"/>
    <x v="0"/>
    <n v="1"/>
  </r>
  <r>
    <x v="60"/>
    <n v="322"/>
    <n v="-193"/>
    <n v="5"/>
    <x v="0"/>
    <x v="3"/>
    <x v="3"/>
    <n v="1"/>
    <x v="0"/>
    <s v="Under 1000"/>
    <x v="0"/>
    <n v="1"/>
  </r>
  <r>
    <x v="61"/>
    <n v="1316"/>
    <n v="527"/>
    <n v="7"/>
    <x v="0"/>
    <x v="0"/>
    <x v="2"/>
    <n v="0"/>
    <x v="0"/>
    <s v="1000 - 2999"/>
    <x v="0"/>
    <n v="1"/>
  </r>
  <r>
    <x v="62"/>
    <n v="1314"/>
    <n v="342"/>
    <n v="3"/>
    <x v="1"/>
    <x v="2"/>
    <x v="2"/>
    <n v="0"/>
    <x v="3"/>
    <s v="1000 - 2999"/>
    <x v="0"/>
    <n v="1"/>
  </r>
  <r>
    <x v="63"/>
    <n v="17"/>
    <n v="7"/>
    <n v="3"/>
    <x v="2"/>
    <x v="7"/>
    <x v="4"/>
    <n v="0"/>
    <x v="3"/>
    <s v="Under 1000"/>
    <x v="0"/>
    <n v="1"/>
  </r>
  <r>
    <x v="64"/>
    <n v="17"/>
    <n v="2"/>
    <n v="2"/>
    <x v="2"/>
    <x v="9"/>
    <x v="4"/>
    <n v="0"/>
    <x v="3"/>
    <s v="Under 1000"/>
    <x v="0"/>
    <n v="1"/>
  </r>
  <r>
    <x v="65"/>
    <n v="17"/>
    <n v="-12"/>
    <n v="5"/>
    <x v="2"/>
    <x v="9"/>
    <x v="4"/>
    <n v="1"/>
    <x v="0"/>
    <s v="Under 1000"/>
    <x v="0"/>
    <n v="1"/>
  </r>
  <r>
    <x v="66"/>
    <n v="1308"/>
    <n v="536"/>
    <n v="3"/>
    <x v="1"/>
    <x v="2"/>
    <x v="2"/>
    <n v="0"/>
    <x v="3"/>
    <s v="1000 - 2999"/>
    <x v="0"/>
    <n v="1"/>
  </r>
  <r>
    <x v="67"/>
    <n v="1076"/>
    <n v="-38"/>
    <n v="4"/>
    <x v="0"/>
    <x v="3"/>
    <x v="2"/>
    <n v="1"/>
    <x v="0"/>
    <s v="1000 - 2999"/>
    <x v="0"/>
    <n v="1"/>
  </r>
  <r>
    <x v="68"/>
    <n v="1301"/>
    <n v="573"/>
    <n v="5"/>
    <x v="0"/>
    <x v="13"/>
    <x v="2"/>
    <n v="0"/>
    <x v="0"/>
    <s v="1000 - 2999"/>
    <x v="0"/>
    <n v="1"/>
  </r>
  <r>
    <x v="69"/>
    <n v="1300"/>
    <n v="-16"/>
    <n v="8"/>
    <x v="0"/>
    <x v="3"/>
    <x v="2"/>
    <n v="1"/>
    <x v="2"/>
    <s v="1000 - 2999"/>
    <x v="0"/>
    <n v="1"/>
  </r>
  <r>
    <x v="70"/>
    <n v="11"/>
    <n v="-2"/>
    <n v="4"/>
    <x v="2"/>
    <x v="7"/>
    <x v="0"/>
    <n v="1"/>
    <x v="0"/>
    <s v="Under 1000"/>
    <x v="0"/>
    <n v="1"/>
  </r>
  <r>
    <x v="71"/>
    <n v="1298"/>
    <n v="65"/>
    <n v="9"/>
    <x v="0"/>
    <x v="3"/>
    <x v="1"/>
    <n v="0"/>
    <x v="2"/>
    <s v="1000 - 2999"/>
    <x v="0"/>
    <n v="1"/>
  </r>
  <r>
    <x v="72"/>
    <n v="304"/>
    <n v="97"/>
    <n v="6"/>
    <x v="2"/>
    <x v="11"/>
    <x v="3"/>
    <n v="0"/>
    <x v="0"/>
    <s v="Under 1000"/>
    <x v="0"/>
    <n v="1"/>
  </r>
  <r>
    <x v="73"/>
    <n v="1055"/>
    <n v="264"/>
    <n v="4"/>
    <x v="0"/>
    <x v="3"/>
    <x v="1"/>
    <n v="0"/>
    <x v="0"/>
    <s v="1000 - 2999"/>
    <x v="0"/>
    <n v="1"/>
  </r>
  <r>
    <x v="74"/>
    <n v="17"/>
    <n v="-13"/>
    <n v="4"/>
    <x v="2"/>
    <x v="9"/>
    <x v="4"/>
    <n v="1"/>
    <x v="0"/>
    <s v="Under 1000"/>
    <x v="0"/>
    <n v="1"/>
  </r>
  <r>
    <x v="75"/>
    <n v="147"/>
    <n v="73"/>
    <n v="3"/>
    <x v="2"/>
    <x v="11"/>
    <x v="0"/>
    <n v="0"/>
    <x v="3"/>
    <s v="Under 1000"/>
    <x v="0"/>
    <n v="1"/>
  </r>
  <r>
    <x v="76"/>
    <n v="965"/>
    <n v="-68"/>
    <n v="3"/>
    <x v="0"/>
    <x v="3"/>
    <x v="0"/>
    <n v="1"/>
    <x v="3"/>
    <s v="Under 1000"/>
    <x v="0"/>
    <n v="1"/>
  </r>
  <r>
    <x v="19"/>
    <n v="12"/>
    <n v="-2"/>
    <n v="3"/>
    <x v="2"/>
    <x v="7"/>
    <x v="0"/>
    <n v="1"/>
    <x v="3"/>
    <s v="Under 1000"/>
    <x v="1"/>
    <n v="1"/>
  </r>
  <r>
    <x v="77"/>
    <n v="14"/>
    <n v="-2"/>
    <n v="3"/>
    <x v="2"/>
    <x v="7"/>
    <x v="3"/>
    <n v="1"/>
    <x v="3"/>
    <s v="Under 1000"/>
    <x v="0"/>
    <n v="1"/>
  </r>
  <r>
    <x v="78"/>
    <n v="934"/>
    <n v="-916"/>
    <n v="7"/>
    <x v="0"/>
    <x v="0"/>
    <x v="0"/>
    <n v="1"/>
    <x v="0"/>
    <s v="Under 1000"/>
    <x v="0"/>
    <n v="1"/>
  </r>
  <r>
    <x v="79"/>
    <n v="929"/>
    <n v="-93"/>
    <n v="9"/>
    <x v="2"/>
    <x v="6"/>
    <x v="0"/>
    <n v="1"/>
    <x v="2"/>
    <s v="Under 1000"/>
    <x v="0"/>
    <n v="1"/>
  </r>
  <r>
    <x v="80"/>
    <n v="18"/>
    <n v="3"/>
    <n v="2"/>
    <x v="2"/>
    <x v="7"/>
    <x v="4"/>
    <n v="0"/>
    <x v="3"/>
    <s v="Under 1000"/>
    <x v="0"/>
    <n v="1"/>
  </r>
  <r>
    <x v="81"/>
    <n v="916"/>
    <n v="192"/>
    <n v="11"/>
    <x v="0"/>
    <x v="4"/>
    <x v="0"/>
    <n v="0"/>
    <x v="1"/>
    <s v="Under 1000"/>
    <x v="0"/>
    <n v="1"/>
  </r>
  <r>
    <x v="82"/>
    <n v="76"/>
    <n v="-72"/>
    <n v="9"/>
    <x v="2"/>
    <x v="7"/>
    <x v="0"/>
    <n v="1"/>
    <x v="2"/>
    <s v="Under 1000"/>
    <x v="0"/>
    <n v="1"/>
  </r>
  <r>
    <x v="83"/>
    <n v="869"/>
    <n v="67"/>
    <n v="4"/>
    <x v="1"/>
    <x v="10"/>
    <x v="0"/>
    <n v="0"/>
    <x v="0"/>
    <s v="Under 1000"/>
    <x v="0"/>
    <n v="1"/>
  </r>
  <r>
    <x v="84"/>
    <n v="112"/>
    <n v="24"/>
    <n v="3"/>
    <x v="2"/>
    <x v="8"/>
    <x v="0"/>
    <n v="0"/>
    <x v="3"/>
    <s v="Under 1000"/>
    <x v="0"/>
    <n v="1"/>
  </r>
  <r>
    <x v="18"/>
    <n v="39"/>
    <n v="16"/>
    <n v="6"/>
    <x v="2"/>
    <x v="9"/>
    <x v="3"/>
    <n v="0"/>
    <x v="0"/>
    <s v="Under 1000"/>
    <x v="1"/>
    <n v="1"/>
  </r>
  <r>
    <x v="85"/>
    <n v="857"/>
    <n v="-274"/>
    <n v="2"/>
    <x v="1"/>
    <x v="10"/>
    <x v="0"/>
    <n v="1"/>
    <x v="3"/>
    <s v="Under 1000"/>
    <x v="0"/>
    <n v="1"/>
  </r>
  <r>
    <x v="86"/>
    <n v="828"/>
    <n v="230"/>
    <n v="2"/>
    <x v="1"/>
    <x v="1"/>
    <x v="0"/>
    <n v="0"/>
    <x v="3"/>
    <s v="Under 1000"/>
    <x v="0"/>
    <n v="1"/>
  </r>
  <r>
    <x v="87"/>
    <n v="1279"/>
    <n v="-640"/>
    <n v="8"/>
    <x v="0"/>
    <x v="3"/>
    <x v="1"/>
    <n v="1"/>
    <x v="2"/>
    <s v="1000 - 2999"/>
    <x v="0"/>
    <n v="1"/>
  </r>
  <r>
    <x v="88"/>
    <n v="1250"/>
    <n v="486"/>
    <n v="7"/>
    <x v="2"/>
    <x v="6"/>
    <x v="1"/>
    <n v="0"/>
    <x v="0"/>
    <s v="1000 - 2999"/>
    <x v="0"/>
    <n v="1"/>
  </r>
  <r>
    <x v="89"/>
    <n v="823"/>
    <n v="-18"/>
    <n v="7"/>
    <x v="1"/>
    <x v="1"/>
    <x v="0"/>
    <n v="1"/>
    <x v="0"/>
    <s v="Under 1000"/>
    <x v="0"/>
    <n v="1"/>
  </r>
  <r>
    <x v="75"/>
    <n v="1157"/>
    <n v="-13"/>
    <n v="9"/>
    <x v="1"/>
    <x v="2"/>
    <x v="2"/>
    <n v="1"/>
    <x v="2"/>
    <s v="1000 - 2999"/>
    <x v="1"/>
    <n v="1"/>
  </r>
  <r>
    <x v="90"/>
    <n v="126"/>
    <n v="-63"/>
    <n v="3"/>
    <x v="0"/>
    <x v="13"/>
    <x v="3"/>
    <n v="1"/>
    <x v="3"/>
    <s v="Under 1000"/>
    <x v="0"/>
    <n v="1"/>
  </r>
  <r>
    <x v="91"/>
    <n v="1145"/>
    <n v="-706"/>
    <n v="3"/>
    <x v="0"/>
    <x v="4"/>
    <x v="2"/>
    <n v="1"/>
    <x v="3"/>
    <s v="1000 - 2999"/>
    <x v="0"/>
    <n v="1"/>
  </r>
  <r>
    <x v="92"/>
    <n v="774"/>
    <n v="170"/>
    <n v="3"/>
    <x v="0"/>
    <x v="13"/>
    <x v="0"/>
    <n v="0"/>
    <x v="3"/>
    <s v="Under 1000"/>
    <x v="0"/>
    <n v="1"/>
  </r>
  <r>
    <x v="93"/>
    <n v="24"/>
    <n v="-1"/>
    <n v="2"/>
    <x v="2"/>
    <x v="7"/>
    <x v="0"/>
    <n v="1"/>
    <x v="3"/>
    <s v="Under 1000"/>
    <x v="0"/>
    <n v="1"/>
  </r>
  <r>
    <x v="94"/>
    <n v="774"/>
    <n v="170"/>
    <n v="3"/>
    <x v="0"/>
    <x v="13"/>
    <x v="0"/>
    <n v="0"/>
    <x v="3"/>
    <s v="Under 1000"/>
    <x v="0"/>
    <n v="1"/>
  </r>
  <r>
    <x v="81"/>
    <n v="93"/>
    <n v="-1"/>
    <n v="2"/>
    <x v="2"/>
    <x v="7"/>
    <x v="0"/>
    <n v="1"/>
    <x v="3"/>
    <s v="Under 1000"/>
    <x v="1"/>
    <n v="1"/>
  </r>
  <r>
    <x v="95"/>
    <n v="765"/>
    <n v="-36"/>
    <n v="3"/>
    <x v="0"/>
    <x v="0"/>
    <x v="0"/>
    <n v="1"/>
    <x v="3"/>
    <s v="Under 1000"/>
    <x v="0"/>
    <n v="1"/>
  </r>
  <r>
    <x v="96"/>
    <n v="762"/>
    <n v="101"/>
    <n v="6"/>
    <x v="0"/>
    <x v="3"/>
    <x v="0"/>
    <n v="0"/>
    <x v="0"/>
    <s v="Under 1000"/>
    <x v="0"/>
    <n v="1"/>
  </r>
  <r>
    <x v="97"/>
    <n v="761"/>
    <n v="266"/>
    <n v="9"/>
    <x v="0"/>
    <x v="0"/>
    <x v="0"/>
    <n v="0"/>
    <x v="2"/>
    <s v="Under 1000"/>
    <x v="0"/>
    <n v="1"/>
  </r>
  <r>
    <x v="98"/>
    <n v="96"/>
    <n v="-48"/>
    <n v="5"/>
    <x v="2"/>
    <x v="12"/>
    <x v="3"/>
    <n v="1"/>
    <x v="0"/>
    <s v="Under 1000"/>
    <x v="0"/>
    <n v="1"/>
  </r>
  <r>
    <x v="99"/>
    <n v="1137"/>
    <n v="-14"/>
    <n v="7"/>
    <x v="0"/>
    <x v="3"/>
    <x v="1"/>
    <n v="1"/>
    <x v="0"/>
    <s v="1000 - 2999"/>
    <x v="0"/>
    <n v="1"/>
  </r>
  <r>
    <x v="91"/>
    <n v="18"/>
    <n v="8"/>
    <n v="2"/>
    <x v="2"/>
    <x v="7"/>
    <x v="4"/>
    <n v="0"/>
    <x v="3"/>
    <s v="Under 1000"/>
    <x v="1"/>
    <n v="1"/>
  </r>
  <r>
    <x v="100"/>
    <n v="749"/>
    <n v="-307"/>
    <n v="7"/>
    <x v="1"/>
    <x v="15"/>
    <x v="0"/>
    <n v="1"/>
    <x v="0"/>
    <s v="Under 1000"/>
    <x v="0"/>
    <n v="1"/>
  </r>
  <r>
    <x v="99"/>
    <n v="1120"/>
    <n v="199"/>
    <n v="6"/>
    <x v="2"/>
    <x v="6"/>
    <x v="1"/>
    <n v="0"/>
    <x v="0"/>
    <s v="1000 - 2999"/>
    <x v="1"/>
    <n v="1"/>
  </r>
  <r>
    <x v="101"/>
    <n v="744"/>
    <n v="119"/>
    <n v="6"/>
    <x v="0"/>
    <x v="3"/>
    <x v="0"/>
    <n v="0"/>
    <x v="0"/>
    <s v="Under 1000"/>
    <x v="0"/>
    <n v="1"/>
  </r>
  <r>
    <x v="102"/>
    <n v="14"/>
    <n v="0"/>
    <n v="4"/>
    <x v="2"/>
    <x v="7"/>
    <x v="3"/>
    <n v="0"/>
    <x v="0"/>
    <s v="Under 1000"/>
    <x v="0"/>
    <n v="1"/>
  </r>
  <r>
    <x v="103"/>
    <n v="19"/>
    <n v="8"/>
    <n v="2"/>
    <x v="2"/>
    <x v="7"/>
    <x v="4"/>
    <n v="0"/>
    <x v="3"/>
    <s v="Under 1000"/>
    <x v="0"/>
    <n v="1"/>
  </r>
  <r>
    <x v="104"/>
    <n v="512"/>
    <n v="-225"/>
    <n v="5"/>
    <x v="2"/>
    <x v="6"/>
    <x v="0"/>
    <n v="1"/>
    <x v="0"/>
    <s v="Under 1000"/>
    <x v="0"/>
    <n v="1"/>
  </r>
  <r>
    <x v="105"/>
    <n v="742"/>
    <n v="198"/>
    <n v="2"/>
    <x v="1"/>
    <x v="2"/>
    <x v="0"/>
    <n v="0"/>
    <x v="3"/>
    <s v="Under 1000"/>
    <x v="0"/>
    <n v="1"/>
  </r>
  <r>
    <x v="106"/>
    <n v="44"/>
    <n v="-40"/>
    <n v="3"/>
    <x v="2"/>
    <x v="11"/>
    <x v="0"/>
    <n v="1"/>
    <x v="3"/>
    <s v="Under 1000"/>
    <x v="0"/>
    <n v="1"/>
  </r>
  <r>
    <x v="8"/>
    <n v="1061"/>
    <n v="-36"/>
    <n v="8"/>
    <x v="1"/>
    <x v="2"/>
    <x v="1"/>
    <n v="1"/>
    <x v="2"/>
    <s v="1000 - 2999"/>
    <x v="1"/>
    <n v="1"/>
  </r>
  <r>
    <x v="107"/>
    <n v="19"/>
    <n v="-2"/>
    <n v="2"/>
    <x v="2"/>
    <x v="12"/>
    <x v="4"/>
    <n v="1"/>
    <x v="3"/>
    <s v="Under 1000"/>
    <x v="0"/>
    <n v="1"/>
  </r>
  <r>
    <x v="108"/>
    <n v="17"/>
    <n v="0"/>
    <n v="1"/>
    <x v="2"/>
    <x v="7"/>
    <x v="0"/>
    <n v="0"/>
    <x v="3"/>
    <s v="Under 1000"/>
    <x v="0"/>
    <n v="1"/>
  </r>
  <r>
    <x v="109"/>
    <n v="741"/>
    <n v="267"/>
    <n v="5"/>
    <x v="1"/>
    <x v="2"/>
    <x v="0"/>
    <n v="0"/>
    <x v="0"/>
    <s v="Under 1000"/>
    <x v="0"/>
    <n v="1"/>
  </r>
  <r>
    <x v="97"/>
    <n v="735"/>
    <n v="-235"/>
    <n v="6"/>
    <x v="0"/>
    <x v="3"/>
    <x v="0"/>
    <n v="1"/>
    <x v="0"/>
    <s v="Under 1000"/>
    <x v="1"/>
    <n v="1"/>
  </r>
  <r>
    <x v="110"/>
    <n v="19"/>
    <n v="-1"/>
    <n v="1"/>
    <x v="2"/>
    <x v="16"/>
    <x v="4"/>
    <n v="1"/>
    <x v="3"/>
    <s v="Under 1000"/>
    <x v="0"/>
    <n v="1"/>
  </r>
  <r>
    <x v="111"/>
    <n v="1021"/>
    <n v="-48"/>
    <n v="4"/>
    <x v="0"/>
    <x v="0"/>
    <x v="1"/>
    <n v="1"/>
    <x v="0"/>
    <s v="1000 - 2999"/>
    <x v="0"/>
    <n v="1"/>
  </r>
  <r>
    <x v="112"/>
    <n v="556"/>
    <n v="-209"/>
    <n v="7"/>
    <x v="2"/>
    <x v="6"/>
    <x v="0"/>
    <n v="1"/>
    <x v="0"/>
    <s v="Under 1000"/>
    <x v="0"/>
    <n v="1"/>
  </r>
  <r>
    <x v="113"/>
    <n v="63"/>
    <n v="-17"/>
    <n v="6"/>
    <x v="2"/>
    <x v="12"/>
    <x v="0"/>
    <n v="1"/>
    <x v="0"/>
    <s v="Under 1000"/>
    <x v="0"/>
    <n v="1"/>
  </r>
  <r>
    <x v="114"/>
    <n v="734"/>
    <n v="248"/>
    <n v="2"/>
    <x v="1"/>
    <x v="1"/>
    <x v="0"/>
    <n v="0"/>
    <x v="3"/>
    <s v="Under 1000"/>
    <x v="0"/>
    <n v="1"/>
  </r>
  <r>
    <x v="27"/>
    <n v="933"/>
    <n v="166"/>
    <n v="5"/>
    <x v="2"/>
    <x v="6"/>
    <x v="2"/>
    <n v="0"/>
    <x v="0"/>
    <s v="Under 1000"/>
    <x v="1"/>
    <n v="1"/>
  </r>
  <r>
    <x v="115"/>
    <n v="20"/>
    <n v="-9"/>
    <n v="6"/>
    <x v="2"/>
    <x v="7"/>
    <x v="4"/>
    <n v="1"/>
    <x v="0"/>
    <s v="Under 1000"/>
    <x v="0"/>
    <n v="1"/>
  </r>
  <r>
    <x v="116"/>
    <n v="877"/>
    <n v="395"/>
    <n v="2"/>
    <x v="1"/>
    <x v="2"/>
    <x v="2"/>
    <n v="0"/>
    <x v="3"/>
    <s v="Under 1000"/>
    <x v="0"/>
    <n v="1"/>
  </r>
  <r>
    <x v="109"/>
    <n v="719"/>
    <n v="303"/>
    <n v="6"/>
    <x v="1"/>
    <x v="1"/>
    <x v="0"/>
    <n v="0"/>
    <x v="0"/>
    <s v="Under 1000"/>
    <x v="1"/>
    <n v="1"/>
  </r>
  <r>
    <x v="117"/>
    <n v="12"/>
    <n v="1"/>
    <n v="2"/>
    <x v="2"/>
    <x v="7"/>
    <x v="0"/>
    <n v="0"/>
    <x v="3"/>
    <s v="Under 1000"/>
    <x v="0"/>
    <n v="1"/>
  </r>
  <r>
    <x v="118"/>
    <n v="714"/>
    <n v="56"/>
    <n v="4"/>
    <x v="2"/>
    <x v="6"/>
    <x v="0"/>
    <n v="0"/>
    <x v="0"/>
    <s v="Under 1000"/>
    <x v="0"/>
    <n v="1"/>
  </r>
  <r>
    <x v="119"/>
    <n v="50"/>
    <n v="-15"/>
    <n v="4"/>
    <x v="2"/>
    <x v="12"/>
    <x v="0"/>
    <n v="1"/>
    <x v="0"/>
    <s v="Under 1000"/>
    <x v="0"/>
    <n v="1"/>
  </r>
  <r>
    <x v="120"/>
    <n v="709"/>
    <n v="-100"/>
    <n v="5"/>
    <x v="0"/>
    <x v="4"/>
    <x v="0"/>
    <n v="1"/>
    <x v="0"/>
    <s v="Under 1000"/>
    <x v="0"/>
    <n v="1"/>
  </r>
  <r>
    <x v="121"/>
    <n v="21"/>
    <n v="-12"/>
    <n v="3"/>
    <x v="2"/>
    <x v="7"/>
    <x v="4"/>
    <n v="1"/>
    <x v="3"/>
    <s v="Under 1000"/>
    <x v="0"/>
    <n v="1"/>
  </r>
  <r>
    <x v="122"/>
    <n v="693"/>
    <n v="254"/>
    <n v="6"/>
    <x v="2"/>
    <x v="6"/>
    <x v="0"/>
    <n v="0"/>
    <x v="0"/>
    <s v="Under 1000"/>
    <x v="0"/>
    <n v="1"/>
  </r>
  <r>
    <x v="81"/>
    <n v="24"/>
    <n v="1"/>
    <n v="4"/>
    <x v="2"/>
    <x v="7"/>
    <x v="0"/>
    <n v="0"/>
    <x v="0"/>
    <s v="Under 1000"/>
    <x v="1"/>
    <n v="1"/>
  </r>
  <r>
    <x v="123"/>
    <n v="24"/>
    <n v="1"/>
    <n v="2"/>
    <x v="2"/>
    <x v="7"/>
    <x v="3"/>
    <n v="0"/>
    <x v="3"/>
    <s v="Under 1000"/>
    <x v="0"/>
    <n v="1"/>
  </r>
  <r>
    <x v="83"/>
    <n v="24"/>
    <n v="1"/>
    <n v="2"/>
    <x v="2"/>
    <x v="7"/>
    <x v="0"/>
    <n v="0"/>
    <x v="3"/>
    <s v="Under 1000"/>
    <x v="1"/>
    <n v="1"/>
  </r>
  <r>
    <x v="124"/>
    <n v="21"/>
    <n v="10"/>
    <n v="1"/>
    <x v="2"/>
    <x v="14"/>
    <x v="4"/>
    <n v="0"/>
    <x v="3"/>
    <s v="Under 1000"/>
    <x v="0"/>
    <n v="1"/>
  </r>
  <r>
    <x v="125"/>
    <n v="681"/>
    <n v="259"/>
    <n v="4"/>
    <x v="1"/>
    <x v="1"/>
    <x v="0"/>
    <n v="0"/>
    <x v="0"/>
    <s v="Under 1000"/>
    <x v="0"/>
    <n v="1"/>
  </r>
  <r>
    <x v="126"/>
    <n v="674"/>
    <n v="-187"/>
    <n v="2"/>
    <x v="1"/>
    <x v="10"/>
    <x v="0"/>
    <n v="1"/>
    <x v="3"/>
    <s v="Under 1000"/>
    <x v="0"/>
    <n v="1"/>
  </r>
  <r>
    <x v="35"/>
    <n v="671"/>
    <n v="-309"/>
    <n v="5"/>
    <x v="0"/>
    <x v="0"/>
    <x v="0"/>
    <n v="1"/>
    <x v="0"/>
    <s v="Under 1000"/>
    <x v="1"/>
    <n v="1"/>
  </r>
  <r>
    <x v="127"/>
    <n v="646"/>
    <n v="-213"/>
    <n v="3"/>
    <x v="0"/>
    <x v="0"/>
    <x v="0"/>
    <n v="1"/>
    <x v="3"/>
    <s v="Under 1000"/>
    <x v="0"/>
    <n v="1"/>
  </r>
  <r>
    <x v="128"/>
    <n v="40"/>
    <n v="15"/>
    <n v="1"/>
    <x v="2"/>
    <x v="8"/>
    <x v="0"/>
    <n v="0"/>
    <x v="3"/>
    <s v="Under 1000"/>
    <x v="0"/>
    <n v="1"/>
  </r>
  <r>
    <x v="129"/>
    <n v="24"/>
    <n v="-2"/>
    <n v="2"/>
    <x v="2"/>
    <x v="14"/>
    <x v="0"/>
    <n v="1"/>
    <x v="3"/>
    <s v="Under 1000"/>
    <x v="0"/>
    <n v="1"/>
  </r>
  <r>
    <x v="21"/>
    <n v="644"/>
    <n v="167"/>
    <n v="2"/>
    <x v="0"/>
    <x v="3"/>
    <x v="0"/>
    <n v="0"/>
    <x v="3"/>
    <s v="Under 1000"/>
    <x v="1"/>
    <n v="1"/>
  </r>
  <r>
    <x v="130"/>
    <n v="643"/>
    <n v="225"/>
    <n v="2"/>
    <x v="0"/>
    <x v="3"/>
    <x v="0"/>
    <n v="0"/>
    <x v="3"/>
    <s v="Under 1000"/>
    <x v="0"/>
    <n v="1"/>
  </r>
  <r>
    <x v="131"/>
    <n v="632"/>
    <n v="-316"/>
    <n v="6"/>
    <x v="2"/>
    <x v="6"/>
    <x v="0"/>
    <n v="1"/>
    <x v="0"/>
    <s v="Under 1000"/>
    <x v="0"/>
    <n v="1"/>
  </r>
  <r>
    <x v="82"/>
    <n v="632"/>
    <n v="316"/>
    <n v="6"/>
    <x v="2"/>
    <x v="6"/>
    <x v="0"/>
    <n v="0"/>
    <x v="0"/>
    <s v="Under 1000"/>
    <x v="1"/>
    <n v="1"/>
  </r>
  <r>
    <x v="132"/>
    <n v="610"/>
    <n v="208"/>
    <n v="3"/>
    <x v="0"/>
    <x v="3"/>
    <x v="0"/>
    <n v="0"/>
    <x v="3"/>
    <s v="Under 1000"/>
    <x v="0"/>
    <n v="1"/>
  </r>
  <r>
    <x v="92"/>
    <n v="78"/>
    <n v="-28"/>
    <n v="6"/>
    <x v="2"/>
    <x v="8"/>
    <x v="3"/>
    <n v="1"/>
    <x v="0"/>
    <s v="Under 1000"/>
    <x v="1"/>
    <n v="1"/>
  </r>
  <r>
    <x v="133"/>
    <n v="595"/>
    <n v="119"/>
    <n v="4"/>
    <x v="1"/>
    <x v="2"/>
    <x v="0"/>
    <n v="0"/>
    <x v="0"/>
    <s v="Under 1000"/>
    <x v="0"/>
    <n v="1"/>
  </r>
  <r>
    <x v="134"/>
    <n v="595"/>
    <n v="292"/>
    <n v="3"/>
    <x v="2"/>
    <x v="6"/>
    <x v="0"/>
    <n v="0"/>
    <x v="3"/>
    <s v="Under 1000"/>
    <x v="0"/>
    <n v="1"/>
  </r>
  <r>
    <x v="3"/>
    <n v="852"/>
    <n v="51"/>
    <n v="5"/>
    <x v="1"/>
    <x v="2"/>
    <x v="2"/>
    <n v="0"/>
    <x v="0"/>
    <s v="Under 1000"/>
    <x v="1"/>
    <n v="1"/>
  </r>
  <r>
    <x v="135"/>
    <n v="594"/>
    <n v="89"/>
    <n v="3"/>
    <x v="1"/>
    <x v="2"/>
    <x v="0"/>
    <n v="0"/>
    <x v="3"/>
    <s v="Under 1000"/>
    <x v="0"/>
    <n v="1"/>
  </r>
  <r>
    <x v="136"/>
    <n v="585"/>
    <n v="175"/>
    <n v="13"/>
    <x v="2"/>
    <x v="14"/>
    <x v="0"/>
    <n v="0"/>
    <x v="1"/>
    <s v="Under 1000"/>
    <x v="0"/>
    <n v="1"/>
  </r>
  <r>
    <x v="137"/>
    <n v="582"/>
    <n v="262"/>
    <n v="5"/>
    <x v="1"/>
    <x v="15"/>
    <x v="0"/>
    <n v="0"/>
    <x v="0"/>
    <s v="Under 1000"/>
    <x v="0"/>
    <n v="1"/>
  </r>
  <r>
    <x v="138"/>
    <n v="845"/>
    <n v="84"/>
    <n v="7"/>
    <x v="2"/>
    <x v="6"/>
    <x v="2"/>
    <n v="0"/>
    <x v="0"/>
    <s v="Under 1000"/>
    <x v="0"/>
    <n v="1"/>
  </r>
  <r>
    <x v="139"/>
    <n v="829"/>
    <n v="19"/>
    <n v="4"/>
    <x v="0"/>
    <x v="3"/>
    <x v="2"/>
    <n v="0"/>
    <x v="0"/>
    <s v="Under 1000"/>
    <x v="0"/>
    <n v="1"/>
  </r>
  <r>
    <x v="4"/>
    <n v="561"/>
    <n v="212"/>
    <n v="3"/>
    <x v="2"/>
    <x v="6"/>
    <x v="0"/>
    <n v="0"/>
    <x v="3"/>
    <s v="Under 1000"/>
    <x v="1"/>
    <n v="1"/>
  </r>
  <r>
    <x v="73"/>
    <n v="771"/>
    <n v="-424"/>
    <n v="2"/>
    <x v="0"/>
    <x v="4"/>
    <x v="2"/>
    <n v="1"/>
    <x v="3"/>
    <s v="Under 1000"/>
    <x v="1"/>
    <n v="1"/>
  </r>
  <r>
    <x v="140"/>
    <n v="765"/>
    <n v="8"/>
    <n v="6"/>
    <x v="2"/>
    <x v="6"/>
    <x v="1"/>
    <n v="0"/>
    <x v="0"/>
    <s v="Under 1000"/>
    <x v="0"/>
    <n v="1"/>
  </r>
  <r>
    <x v="141"/>
    <n v="31"/>
    <n v="2"/>
    <n v="2"/>
    <x v="2"/>
    <x v="7"/>
    <x v="0"/>
    <n v="0"/>
    <x v="3"/>
    <s v="Under 1000"/>
    <x v="0"/>
    <n v="1"/>
  </r>
  <r>
    <x v="142"/>
    <n v="557"/>
    <n v="-111"/>
    <n v="2"/>
    <x v="0"/>
    <x v="0"/>
    <x v="0"/>
    <n v="1"/>
    <x v="3"/>
    <s v="Under 1000"/>
    <x v="0"/>
    <n v="1"/>
  </r>
  <r>
    <x v="140"/>
    <n v="757"/>
    <n v="371"/>
    <n v="2"/>
    <x v="0"/>
    <x v="3"/>
    <x v="2"/>
    <n v="0"/>
    <x v="3"/>
    <s v="Under 1000"/>
    <x v="1"/>
    <n v="1"/>
  </r>
  <r>
    <x v="143"/>
    <n v="545"/>
    <n v="-73"/>
    <n v="11"/>
    <x v="0"/>
    <x v="4"/>
    <x v="0"/>
    <n v="1"/>
    <x v="1"/>
    <s v="Under 1000"/>
    <x v="0"/>
    <n v="1"/>
  </r>
  <r>
    <x v="144"/>
    <n v="1052"/>
    <n v="-82"/>
    <n v="3"/>
    <x v="1"/>
    <x v="2"/>
    <x v="3"/>
    <n v="1"/>
    <x v="3"/>
    <s v="1000 - 2999"/>
    <x v="0"/>
    <n v="1"/>
  </r>
  <r>
    <x v="145"/>
    <n v="544"/>
    <n v="-152"/>
    <n v="3"/>
    <x v="1"/>
    <x v="2"/>
    <x v="0"/>
    <n v="1"/>
    <x v="3"/>
    <s v="Under 1000"/>
    <x v="0"/>
    <n v="1"/>
  </r>
  <r>
    <x v="146"/>
    <n v="22"/>
    <n v="9"/>
    <n v="2"/>
    <x v="2"/>
    <x v="12"/>
    <x v="4"/>
    <n v="0"/>
    <x v="3"/>
    <s v="Under 1000"/>
    <x v="0"/>
    <n v="1"/>
  </r>
  <r>
    <x v="23"/>
    <n v="757"/>
    <n v="371"/>
    <n v="2"/>
    <x v="0"/>
    <x v="3"/>
    <x v="2"/>
    <n v="0"/>
    <x v="3"/>
    <s v="Under 1000"/>
    <x v="1"/>
    <n v="1"/>
  </r>
  <r>
    <x v="147"/>
    <n v="742"/>
    <n v="198"/>
    <n v="2"/>
    <x v="1"/>
    <x v="2"/>
    <x v="2"/>
    <n v="0"/>
    <x v="3"/>
    <s v="Under 1000"/>
    <x v="0"/>
    <n v="1"/>
  </r>
  <r>
    <x v="148"/>
    <n v="537"/>
    <n v="107"/>
    <n v="3"/>
    <x v="2"/>
    <x v="6"/>
    <x v="0"/>
    <n v="0"/>
    <x v="3"/>
    <s v="Under 1000"/>
    <x v="0"/>
    <n v="1"/>
  </r>
  <r>
    <x v="140"/>
    <n v="536"/>
    <n v="91"/>
    <n v="1"/>
    <x v="2"/>
    <x v="5"/>
    <x v="0"/>
    <n v="0"/>
    <x v="3"/>
    <s v="Under 1000"/>
    <x v="1"/>
    <n v="1"/>
  </r>
  <r>
    <x v="93"/>
    <n v="6"/>
    <n v="3"/>
    <n v="1"/>
    <x v="2"/>
    <x v="7"/>
    <x v="0"/>
    <n v="0"/>
    <x v="3"/>
    <s v="Under 1000"/>
    <x v="1"/>
    <n v="1"/>
  </r>
  <r>
    <x v="0"/>
    <n v="523"/>
    <n v="204"/>
    <n v="7"/>
    <x v="2"/>
    <x v="5"/>
    <x v="0"/>
    <n v="0"/>
    <x v="0"/>
    <s v="Under 1000"/>
    <x v="1"/>
    <n v="1"/>
  </r>
  <r>
    <x v="149"/>
    <n v="27"/>
    <n v="9"/>
    <n v="2"/>
    <x v="2"/>
    <x v="14"/>
    <x v="3"/>
    <n v="0"/>
    <x v="3"/>
    <s v="Under 1000"/>
    <x v="0"/>
    <n v="1"/>
  </r>
  <r>
    <x v="150"/>
    <n v="516"/>
    <n v="392"/>
    <n v="8"/>
    <x v="1"/>
    <x v="1"/>
    <x v="0"/>
    <n v="0"/>
    <x v="2"/>
    <s v="Under 1000"/>
    <x v="0"/>
    <n v="1"/>
  </r>
  <r>
    <x v="151"/>
    <n v="504"/>
    <n v="116"/>
    <n v="3"/>
    <x v="1"/>
    <x v="2"/>
    <x v="0"/>
    <n v="0"/>
    <x v="3"/>
    <s v="Under 1000"/>
    <x v="0"/>
    <n v="1"/>
  </r>
  <r>
    <x v="152"/>
    <n v="502"/>
    <n v="84"/>
    <n v="4"/>
    <x v="0"/>
    <x v="4"/>
    <x v="0"/>
    <n v="0"/>
    <x v="0"/>
    <s v="Under 1000"/>
    <x v="0"/>
    <n v="1"/>
  </r>
  <r>
    <x v="153"/>
    <n v="734"/>
    <n v="213"/>
    <n v="6"/>
    <x v="0"/>
    <x v="0"/>
    <x v="2"/>
    <n v="0"/>
    <x v="0"/>
    <s v="Under 1000"/>
    <x v="0"/>
    <n v="1"/>
  </r>
  <r>
    <x v="154"/>
    <n v="42"/>
    <n v="12"/>
    <n v="2"/>
    <x v="2"/>
    <x v="8"/>
    <x v="0"/>
    <n v="0"/>
    <x v="3"/>
    <s v="Under 1000"/>
    <x v="0"/>
    <n v="1"/>
  </r>
  <r>
    <x v="155"/>
    <n v="29"/>
    <n v="11"/>
    <n v="4"/>
    <x v="2"/>
    <x v="9"/>
    <x v="0"/>
    <n v="0"/>
    <x v="0"/>
    <s v="Under 1000"/>
    <x v="0"/>
    <n v="1"/>
  </r>
  <r>
    <x v="156"/>
    <n v="240"/>
    <n v="12"/>
    <n v="6"/>
    <x v="2"/>
    <x v="8"/>
    <x v="3"/>
    <n v="0"/>
    <x v="0"/>
    <s v="Under 1000"/>
    <x v="0"/>
    <n v="1"/>
  </r>
  <r>
    <x v="157"/>
    <n v="496"/>
    <n v="-79"/>
    <n v="2"/>
    <x v="2"/>
    <x v="5"/>
    <x v="0"/>
    <n v="1"/>
    <x v="3"/>
    <s v="Under 1000"/>
    <x v="0"/>
    <n v="1"/>
  </r>
  <r>
    <x v="158"/>
    <n v="485"/>
    <n v="29"/>
    <n v="4"/>
    <x v="0"/>
    <x v="0"/>
    <x v="0"/>
    <n v="0"/>
    <x v="0"/>
    <s v="Under 1000"/>
    <x v="0"/>
    <n v="1"/>
  </r>
  <r>
    <x v="159"/>
    <n v="31"/>
    <n v="-11"/>
    <n v="3"/>
    <x v="2"/>
    <x v="9"/>
    <x v="3"/>
    <n v="1"/>
    <x v="3"/>
    <s v="Under 1000"/>
    <x v="0"/>
    <n v="1"/>
  </r>
  <r>
    <x v="160"/>
    <n v="676"/>
    <n v="151"/>
    <n v="3"/>
    <x v="0"/>
    <x v="3"/>
    <x v="2"/>
    <n v="0"/>
    <x v="3"/>
    <s v="Under 1000"/>
    <x v="0"/>
    <n v="1"/>
  </r>
  <r>
    <x v="125"/>
    <n v="23"/>
    <n v="8"/>
    <n v="2"/>
    <x v="2"/>
    <x v="7"/>
    <x v="4"/>
    <n v="0"/>
    <x v="3"/>
    <s v="Under 1000"/>
    <x v="1"/>
    <n v="1"/>
  </r>
  <r>
    <x v="161"/>
    <n v="13"/>
    <n v="3"/>
    <n v="2"/>
    <x v="2"/>
    <x v="7"/>
    <x v="0"/>
    <n v="0"/>
    <x v="3"/>
    <s v="Under 1000"/>
    <x v="0"/>
    <n v="1"/>
  </r>
  <r>
    <x v="162"/>
    <n v="180"/>
    <n v="0"/>
    <n v="8"/>
    <x v="2"/>
    <x v="11"/>
    <x v="0"/>
    <n v="0"/>
    <x v="2"/>
    <s v="Under 1000"/>
    <x v="0"/>
    <n v="1"/>
  </r>
  <r>
    <x v="1"/>
    <n v="671"/>
    <n v="114"/>
    <n v="9"/>
    <x v="0"/>
    <x v="4"/>
    <x v="2"/>
    <n v="0"/>
    <x v="2"/>
    <s v="Under 1000"/>
    <x v="1"/>
    <n v="1"/>
  </r>
  <r>
    <x v="163"/>
    <n v="22"/>
    <n v="11"/>
    <n v="3"/>
    <x v="2"/>
    <x v="8"/>
    <x v="0"/>
    <n v="0"/>
    <x v="3"/>
    <s v="Under 1000"/>
    <x v="0"/>
    <n v="1"/>
  </r>
  <r>
    <x v="87"/>
    <n v="668"/>
    <n v="-31"/>
    <n v="3"/>
    <x v="0"/>
    <x v="3"/>
    <x v="2"/>
    <n v="1"/>
    <x v="3"/>
    <s v="Under 1000"/>
    <x v="1"/>
    <n v="1"/>
  </r>
  <r>
    <x v="92"/>
    <n v="145"/>
    <n v="0"/>
    <n v="3"/>
    <x v="2"/>
    <x v="6"/>
    <x v="3"/>
    <n v="0"/>
    <x v="3"/>
    <s v="Under 1000"/>
    <x v="1"/>
    <n v="1"/>
  </r>
  <r>
    <x v="164"/>
    <n v="24"/>
    <n v="8"/>
    <n v="2"/>
    <x v="2"/>
    <x v="9"/>
    <x v="4"/>
    <n v="0"/>
    <x v="3"/>
    <s v="Under 1000"/>
    <x v="0"/>
    <n v="1"/>
  </r>
  <r>
    <x v="57"/>
    <n v="476"/>
    <n v="0"/>
    <n v="3"/>
    <x v="1"/>
    <x v="1"/>
    <x v="0"/>
    <n v="0"/>
    <x v="3"/>
    <s v="Under 1000"/>
    <x v="1"/>
    <n v="1"/>
  </r>
  <r>
    <x v="153"/>
    <n v="24"/>
    <n v="11"/>
    <n v="5"/>
    <x v="2"/>
    <x v="7"/>
    <x v="4"/>
    <n v="0"/>
    <x v="0"/>
    <s v="Under 1000"/>
    <x v="1"/>
    <n v="1"/>
  </r>
  <r>
    <x v="5"/>
    <n v="37"/>
    <n v="3"/>
    <n v="3"/>
    <x v="2"/>
    <x v="7"/>
    <x v="0"/>
    <n v="0"/>
    <x v="3"/>
    <s v="Under 1000"/>
    <x v="1"/>
    <n v="1"/>
  </r>
  <r>
    <x v="165"/>
    <n v="152"/>
    <n v="50"/>
    <n v="6"/>
    <x v="2"/>
    <x v="11"/>
    <x v="3"/>
    <n v="0"/>
    <x v="0"/>
    <s v="Under 1000"/>
    <x v="0"/>
    <n v="1"/>
  </r>
  <r>
    <x v="166"/>
    <n v="32"/>
    <n v="11"/>
    <n v="2"/>
    <x v="2"/>
    <x v="12"/>
    <x v="3"/>
    <n v="0"/>
    <x v="3"/>
    <s v="Under 1000"/>
    <x v="0"/>
    <n v="1"/>
  </r>
  <r>
    <x v="167"/>
    <n v="52"/>
    <n v="11"/>
    <n v="5"/>
    <x v="2"/>
    <x v="12"/>
    <x v="0"/>
    <n v="0"/>
    <x v="0"/>
    <s v="Under 1000"/>
    <x v="0"/>
    <n v="1"/>
  </r>
  <r>
    <x v="168"/>
    <n v="24"/>
    <n v="11"/>
    <n v="3"/>
    <x v="2"/>
    <x v="7"/>
    <x v="4"/>
    <n v="0"/>
    <x v="3"/>
    <s v="Under 1000"/>
    <x v="0"/>
    <n v="1"/>
  </r>
  <r>
    <x v="91"/>
    <n v="473"/>
    <n v="42"/>
    <n v="4"/>
    <x v="1"/>
    <x v="1"/>
    <x v="0"/>
    <n v="0"/>
    <x v="0"/>
    <s v="Under 1000"/>
    <x v="1"/>
    <n v="1"/>
  </r>
  <r>
    <x v="169"/>
    <n v="263"/>
    <n v="50"/>
    <n v="5"/>
    <x v="2"/>
    <x v="11"/>
    <x v="0"/>
    <n v="0"/>
    <x v="0"/>
    <s v="Under 1000"/>
    <x v="0"/>
    <n v="1"/>
  </r>
  <r>
    <x v="170"/>
    <n v="61"/>
    <n v="11"/>
    <n v="3"/>
    <x v="2"/>
    <x v="8"/>
    <x v="0"/>
    <n v="0"/>
    <x v="3"/>
    <s v="Under 1000"/>
    <x v="0"/>
    <n v="1"/>
  </r>
  <r>
    <x v="171"/>
    <n v="469"/>
    <n v="-459"/>
    <n v="3"/>
    <x v="0"/>
    <x v="0"/>
    <x v="0"/>
    <n v="1"/>
    <x v="3"/>
    <s v="Under 1000"/>
    <x v="0"/>
    <n v="1"/>
  </r>
  <r>
    <x v="172"/>
    <n v="1272"/>
    <n v="547"/>
    <n v="2"/>
    <x v="0"/>
    <x v="4"/>
    <x v="0"/>
    <n v="0"/>
    <x v="3"/>
    <s v="1000 - 2999"/>
    <x v="0"/>
    <n v="1"/>
  </r>
  <r>
    <x v="168"/>
    <n v="169"/>
    <n v="0"/>
    <n v="3"/>
    <x v="0"/>
    <x v="13"/>
    <x v="0"/>
    <n v="0"/>
    <x v="3"/>
    <s v="Under 1000"/>
    <x v="1"/>
    <n v="1"/>
  </r>
  <r>
    <x v="103"/>
    <n v="25"/>
    <n v="11"/>
    <n v="3"/>
    <x v="2"/>
    <x v="12"/>
    <x v="4"/>
    <n v="0"/>
    <x v="3"/>
    <s v="Under 1000"/>
    <x v="1"/>
    <n v="1"/>
  </r>
  <r>
    <x v="89"/>
    <n v="457"/>
    <n v="-41"/>
    <n v="4"/>
    <x v="2"/>
    <x v="6"/>
    <x v="0"/>
    <n v="1"/>
    <x v="0"/>
    <s v="Under 1000"/>
    <x v="1"/>
    <n v="1"/>
  </r>
  <r>
    <x v="103"/>
    <n v="455"/>
    <n v="77"/>
    <n v="8"/>
    <x v="0"/>
    <x v="13"/>
    <x v="0"/>
    <n v="0"/>
    <x v="2"/>
    <s v="Under 1000"/>
    <x v="1"/>
    <n v="1"/>
  </r>
  <r>
    <x v="96"/>
    <n v="25"/>
    <n v="2"/>
    <n v="2"/>
    <x v="2"/>
    <x v="7"/>
    <x v="4"/>
    <n v="0"/>
    <x v="3"/>
    <s v="Under 1000"/>
    <x v="1"/>
    <n v="1"/>
  </r>
  <r>
    <x v="173"/>
    <n v="450"/>
    <n v="-90"/>
    <n v="3"/>
    <x v="0"/>
    <x v="3"/>
    <x v="0"/>
    <n v="1"/>
    <x v="3"/>
    <s v="Under 1000"/>
    <x v="0"/>
    <n v="1"/>
  </r>
  <r>
    <x v="174"/>
    <n v="30"/>
    <n v="-35"/>
    <n v="1"/>
    <x v="1"/>
    <x v="1"/>
    <x v="0"/>
    <n v="1"/>
    <x v="3"/>
    <s v="Under 1000"/>
    <x v="0"/>
    <n v="1"/>
  </r>
  <r>
    <x v="175"/>
    <n v="659"/>
    <n v="-37"/>
    <n v="2"/>
    <x v="1"/>
    <x v="2"/>
    <x v="2"/>
    <n v="1"/>
    <x v="3"/>
    <s v="Under 1000"/>
    <x v="0"/>
    <n v="1"/>
  </r>
  <r>
    <x v="176"/>
    <n v="448"/>
    <n v="148"/>
    <n v="2"/>
    <x v="0"/>
    <x v="3"/>
    <x v="0"/>
    <n v="0"/>
    <x v="3"/>
    <s v="Under 1000"/>
    <x v="0"/>
    <n v="1"/>
  </r>
  <r>
    <x v="177"/>
    <n v="446"/>
    <n v="53"/>
    <n v="3"/>
    <x v="0"/>
    <x v="3"/>
    <x v="0"/>
    <n v="0"/>
    <x v="3"/>
    <s v="Under 1000"/>
    <x v="0"/>
    <n v="1"/>
  </r>
  <r>
    <x v="178"/>
    <n v="98"/>
    <n v="-45"/>
    <n v="2"/>
    <x v="1"/>
    <x v="1"/>
    <x v="3"/>
    <n v="1"/>
    <x v="3"/>
    <s v="Under 1000"/>
    <x v="0"/>
    <n v="1"/>
  </r>
  <r>
    <x v="1"/>
    <n v="443"/>
    <n v="11"/>
    <n v="1"/>
    <x v="2"/>
    <x v="6"/>
    <x v="0"/>
    <n v="0"/>
    <x v="3"/>
    <s v="Under 1000"/>
    <x v="1"/>
    <n v="1"/>
  </r>
  <r>
    <x v="87"/>
    <n v="427"/>
    <n v="-50"/>
    <n v="7"/>
    <x v="0"/>
    <x v="4"/>
    <x v="0"/>
    <n v="1"/>
    <x v="0"/>
    <s v="Under 1000"/>
    <x v="1"/>
    <n v="1"/>
  </r>
  <r>
    <x v="123"/>
    <n v="656"/>
    <n v="-36"/>
    <n v="2"/>
    <x v="1"/>
    <x v="2"/>
    <x v="2"/>
    <n v="1"/>
    <x v="3"/>
    <s v="Under 1000"/>
    <x v="1"/>
    <n v="1"/>
  </r>
  <r>
    <x v="179"/>
    <n v="424"/>
    <n v="161"/>
    <n v="2"/>
    <x v="2"/>
    <x v="6"/>
    <x v="0"/>
    <n v="0"/>
    <x v="3"/>
    <s v="Under 1000"/>
    <x v="0"/>
    <n v="1"/>
  </r>
  <r>
    <x v="76"/>
    <n v="27"/>
    <n v="8"/>
    <n v="2"/>
    <x v="2"/>
    <x v="14"/>
    <x v="4"/>
    <n v="0"/>
    <x v="3"/>
    <s v="Under 1000"/>
    <x v="1"/>
    <n v="1"/>
  </r>
  <r>
    <x v="4"/>
    <n v="424"/>
    <n v="-272"/>
    <n v="5"/>
    <x v="0"/>
    <x v="4"/>
    <x v="0"/>
    <n v="1"/>
    <x v="0"/>
    <s v="Under 1000"/>
    <x v="1"/>
    <n v="1"/>
  </r>
  <r>
    <x v="180"/>
    <n v="202"/>
    <n v="4"/>
    <n v="4"/>
    <x v="2"/>
    <x v="7"/>
    <x v="0"/>
    <n v="0"/>
    <x v="0"/>
    <s v="Under 1000"/>
    <x v="0"/>
    <n v="1"/>
  </r>
  <r>
    <x v="154"/>
    <n v="1275"/>
    <n v="357"/>
    <n v="2"/>
    <x v="0"/>
    <x v="4"/>
    <x v="3"/>
    <n v="0"/>
    <x v="3"/>
    <s v="1000 - 2999"/>
    <x v="1"/>
    <n v="1"/>
  </r>
  <r>
    <x v="14"/>
    <n v="418"/>
    <n v="70"/>
    <n v="7"/>
    <x v="0"/>
    <x v="4"/>
    <x v="0"/>
    <n v="0"/>
    <x v="0"/>
    <s v="Under 1000"/>
    <x v="1"/>
    <n v="1"/>
  </r>
  <r>
    <x v="181"/>
    <n v="417"/>
    <n v="49"/>
    <n v="3"/>
    <x v="0"/>
    <x v="0"/>
    <x v="0"/>
    <n v="0"/>
    <x v="3"/>
    <s v="Under 1000"/>
    <x v="0"/>
    <n v="1"/>
  </r>
  <r>
    <x v="18"/>
    <n v="199"/>
    <n v="48"/>
    <n v="4"/>
    <x v="2"/>
    <x v="11"/>
    <x v="3"/>
    <n v="0"/>
    <x v="0"/>
    <s v="Under 1000"/>
    <x v="1"/>
    <n v="1"/>
  </r>
  <r>
    <x v="129"/>
    <n v="385"/>
    <n v="-77"/>
    <n v="11"/>
    <x v="1"/>
    <x v="15"/>
    <x v="3"/>
    <n v="1"/>
    <x v="1"/>
    <s v="Under 1000"/>
    <x v="1"/>
    <n v="1"/>
  </r>
  <r>
    <x v="132"/>
    <n v="414"/>
    <n v="199"/>
    <n v="3"/>
    <x v="0"/>
    <x v="4"/>
    <x v="0"/>
    <n v="0"/>
    <x v="3"/>
    <s v="Under 1000"/>
    <x v="1"/>
    <n v="1"/>
  </r>
  <r>
    <x v="10"/>
    <n v="97"/>
    <n v="-45"/>
    <n v="4"/>
    <x v="2"/>
    <x v="6"/>
    <x v="0"/>
    <n v="1"/>
    <x v="0"/>
    <s v="Under 1000"/>
    <x v="1"/>
    <n v="1"/>
  </r>
  <r>
    <x v="182"/>
    <n v="648"/>
    <n v="50"/>
    <n v="6"/>
    <x v="0"/>
    <x v="0"/>
    <x v="2"/>
    <n v="0"/>
    <x v="0"/>
    <s v="Under 1000"/>
    <x v="0"/>
    <n v="1"/>
  </r>
  <r>
    <x v="183"/>
    <n v="27"/>
    <n v="-25"/>
    <n v="2"/>
    <x v="2"/>
    <x v="16"/>
    <x v="4"/>
    <n v="1"/>
    <x v="3"/>
    <s v="Under 1000"/>
    <x v="0"/>
    <n v="1"/>
  </r>
  <r>
    <x v="184"/>
    <n v="27"/>
    <n v="12"/>
    <n v="1"/>
    <x v="2"/>
    <x v="11"/>
    <x v="4"/>
    <n v="0"/>
    <x v="3"/>
    <s v="Under 1000"/>
    <x v="0"/>
    <n v="1"/>
  </r>
  <r>
    <x v="185"/>
    <n v="27"/>
    <n v="1"/>
    <n v="1"/>
    <x v="2"/>
    <x v="11"/>
    <x v="3"/>
    <n v="0"/>
    <x v="3"/>
    <s v="Under 1000"/>
    <x v="0"/>
    <n v="1"/>
  </r>
  <r>
    <x v="37"/>
    <n v="413"/>
    <n v="-314"/>
    <n v="9"/>
    <x v="1"/>
    <x v="1"/>
    <x v="0"/>
    <n v="1"/>
    <x v="2"/>
    <s v="Under 1000"/>
    <x v="1"/>
    <n v="1"/>
  </r>
  <r>
    <x v="99"/>
    <n v="53"/>
    <n v="2"/>
    <n v="4"/>
    <x v="2"/>
    <x v="7"/>
    <x v="0"/>
    <n v="0"/>
    <x v="0"/>
    <s v="Under 1000"/>
    <x v="1"/>
    <n v="1"/>
  </r>
  <r>
    <x v="51"/>
    <n v="29"/>
    <n v="8"/>
    <n v="5"/>
    <x v="2"/>
    <x v="7"/>
    <x v="3"/>
    <n v="0"/>
    <x v="0"/>
    <s v="Under 1000"/>
    <x v="1"/>
    <n v="1"/>
  </r>
  <r>
    <x v="186"/>
    <n v="30"/>
    <n v="13"/>
    <n v="1"/>
    <x v="2"/>
    <x v="14"/>
    <x v="3"/>
    <n v="0"/>
    <x v="3"/>
    <s v="Under 1000"/>
    <x v="0"/>
    <n v="1"/>
  </r>
  <r>
    <x v="187"/>
    <n v="412"/>
    <n v="412"/>
    <n v="6"/>
    <x v="2"/>
    <x v="6"/>
    <x v="0"/>
    <n v="0"/>
    <x v="0"/>
    <s v="Under 1000"/>
    <x v="0"/>
    <n v="1"/>
  </r>
  <r>
    <x v="188"/>
    <n v="646"/>
    <n v="-23"/>
    <n v="2"/>
    <x v="0"/>
    <x v="3"/>
    <x v="2"/>
    <n v="1"/>
    <x v="3"/>
    <s v="Under 1000"/>
    <x v="0"/>
    <n v="1"/>
  </r>
  <r>
    <x v="93"/>
    <n v="30"/>
    <n v="-5"/>
    <n v="5"/>
    <x v="2"/>
    <x v="11"/>
    <x v="3"/>
    <n v="1"/>
    <x v="0"/>
    <s v="Under 1000"/>
    <x v="1"/>
    <n v="1"/>
  </r>
  <r>
    <x v="99"/>
    <n v="618"/>
    <n v="27"/>
    <n v="4"/>
    <x v="1"/>
    <x v="2"/>
    <x v="2"/>
    <n v="0"/>
    <x v="0"/>
    <s v="Under 1000"/>
    <x v="1"/>
    <n v="1"/>
  </r>
  <r>
    <x v="189"/>
    <n v="143"/>
    <n v="-124"/>
    <n v="5"/>
    <x v="2"/>
    <x v="6"/>
    <x v="3"/>
    <n v="1"/>
    <x v="0"/>
    <s v="Under 1000"/>
    <x v="0"/>
    <n v="1"/>
  </r>
  <r>
    <x v="37"/>
    <n v="31"/>
    <n v="1"/>
    <n v="2"/>
    <x v="2"/>
    <x v="7"/>
    <x v="3"/>
    <n v="0"/>
    <x v="3"/>
    <s v="Under 1000"/>
    <x v="1"/>
    <n v="1"/>
  </r>
  <r>
    <x v="98"/>
    <n v="409"/>
    <n v="86"/>
    <n v="3"/>
    <x v="2"/>
    <x v="6"/>
    <x v="0"/>
    <n v="0"/>
    <x v="3"/>
    <s v="Under 1000"/>
    <x v="1"/>
    <n v="1"/>
  </r>
  <r>
    <x v="93"/>
    <n v="406"/>
    <n v="126"/>
    <n v="2"/>
    <x v="2"/>
    <x v="6"/>
    <x v="0"/>
    <n v="0"/>
    <x v="3"/>
    <s v="Under 1000"/>
    <x v="1"/>
    <n v="1"/>
  </r>
  <r>
    <x v="190"/>
    <n v="565"/>
    <n v="66"/>
    <n v="7"/>
    <x v="2"/>
    <x v="6"/>
    <x v="2"/>
    <n v="0"/>
    <x v="0"/>
    <s v="Under 1000"/>
    <x v="0"/>
    <n v="1"/>
  </r>
  <r>
    <x v="135"/>
    <n v="85"/>
    <n v="2"/>
    <n v="6"/>
    <x v="2"/>
    <x v="11"/>
    <x v="0"/>
    <n v="0"/>
    <x v="0"/>
    <s v="Under 1000"/>
    <x v="1"/>
    <n v="1"/>
  </r>
  <r>
    <x v="191"/>
    <n v="561"/>
    <n v="118"/>
    <n v="5"/>
    <x v="1"/>
    <x v="2"/>
    <x v="2"/>
    <n v="0"/>
    <x v="0"/>
    <s v="Under 1000"/>
    <x v="0"/>
    <n v="1"/>
  </r>
  <r>
    <x v="192"/>
    <n v="503"/>
    <n v="-56"/>
    <n v="2"/>
    <x v="2"/>
    <x v="5"/>
    <x v="0"/>
    <n v="1"/>
    <x v="3"/>
    <s v="Under 1000"/>
    <x v="0"/>
    <n v="1"/>
  </r>
  <r>
    <x v="156"/>
    <n v="31"/>
    <n v="14"/>
    <n v="3"/>
    <x v="2"/>
    <x v="11"/>
    <x v="3"/>
    <n v="0"/>
    <x v="3"/>
    <s v="Under 1000"/>
    <x v="1"/>
    <n v="1"/>
  </r>
  <r>
    <x v="193"/>
    <n v="398"/>
    <n v="111"/>
    <n v="8"/>
    <x v="2"/>
    <x v="7"/>
    <x v="0"/>
    <n v="0"/>
    <x v="2"/>
    <s v="Under 1000"/>
    <x v="0"/>
    <n v="1"/>
  </r>
  <r>
    <x v="194"/>
    <n v="388"/>
    <n v="93"/>
    <n v="2"/>
    <x v="1"/>
    <x v="2"/>
    <x v="0"/>
    <n v="0"/>
    <x v="3"/>
    <s v="Under 1000"/>
    <x v="0"/>
    <n v="1"/>
  </r>
  <r>
    <x v="34"/>
    <n v="498"/>
    <n v="-116"/>
    <n v="4"/>
    <x v="2"/>
    <x v="6"/>
    <x v="3"/>
    <n v="1"/>
    <x v="0"/>
    <s v="Under 1000"/>
    <x v="1"/>
    <n v="1"/>
  </r>
  <r>
    <x v="195"/>
    <n v="561"/>
    <n v="212"/>
    <n v="3"/>
    <x v="2"/>
    <x v="6"/>
    <x v="2"/>
    <n v="0"/>
    <x v="3"/>
    <s v="Under 1000"/>
    <x v="0"/>
    <n v="1"/>
  </r>
  <r>
    <x v="196"/>
    <n v="61"/>
    <n v="3"/>
    <n v="4"/>
    <x v="2"/>
    <x v="7"/>
    <x v="0"/>
    <n v="0"/>
    <x v="0"/>
    <s v="Under 1000"/>
    <x v="0"/>
    <n v="1"/>
  </r>
  <r>
    <x v="197"/>
    <n v="34"/>
    <n v="-22"/>
    <n v="4"/>
    <x v="2"/>
    <x v="14"/>
    <x v="0"/>
    <n v="1"/>
    <x v="0"/>
    <s v="Under 1000"/>
    <x v="0"/>
    <n v="1"/>
  </r>
  <r>
    <x v="198"/>
    <n v="32"/>
    <n v="6"/>
    <n v="3"/>
    <x v="2"/>
    <x v="16"/>
    <x v="3"/>
    <n v="0"/>
    <x v="3"/>
    <s v="Under 1000"/>
    <x v="0"/>
    <n v="1"/>
  </r>
  <r>
    <x v="16"/>
    <n v="623"/>
    <n v="-192"/>
    <n v="3"/>
    <x v="1"/>
    <x v="10"/>
    <x v="3"/>
    <n v="1"/>
    <x v="3"/>
    <s v="Under 1000"/>
    <x v="1"/>
    <n v="1"/>
  </r>
  <r>
    <x v="199"/>
    <n v="520"/>
    <n v="151"/>
    <n v="3"/>
    <x v="0"/>
    <x v="4"/>
    <x v="2"/>
    <n v="0"/>
    <x v="3"/>
    <s v="Under 1000"/>
    <x v="0"/>
    <n v="1"/>
  </r>
  <r>
    <x v="82"/>
    <n v="32"/>
    <n v="-16"/>
    <n v="6"/>
    <x v="2"/>
    <x v="6"/>
    <x v="3"/>
    <n v="1"/>
    <x v="0"/>
    <s v="Under 1000"/>
    <x v="1"/>
    <n v="1"/>
  </r>
  <r>
    <x v="10"/>
    <n v="32"/>
    <n v="-5"/>
    <n v="5"/>
    <x v="2"/>
    <x v="7"/>
    <x v="3"/>
    <n v="1"/>
    <x v="0"/>
    <s v="Under 1000"/>
    <x v="1"/>
    <n v="1"/>
  </r>
  <r>
    <x v="200"/>
    <n v="510"/>
    <n v="234"/>
    <n v="6"/>
    <x v="0"/>
    <x v="0"/>
    <x v="1"/>
    <n v="0"/>
    <x v="0"/>
    <s v="Under 1000"/>
    <x v="0"/>
    <n v="1"/>
  </r>
  <r>
    <x v="201"/>
    <n v="382"/>
    <n v="68"/>
    <n v="3"/>
    <x v="2"/>
    <x v="6"/>
    <x v="0"/>
    <n v="0"/>
    <x v="3"/>
    <s v="Under 1000"/>
    <x v="0"/>
    <n v="1"/>
  </r>
  <r>
    <x v="85"/>
    <n v="33"/>
    <n v="13"/>
    <n v="3"/>
    <x v="2"/>
    <x v="12"/>
    <x v="3"/>
    <n v="0"/>
    <x v="3"/>
    <s v="Under 1000"/>
    <x v="1"/>
    <n v="1"/>
  </r>
  <r>
    <x v="28"/>
    <n v="381"/>
    <n v="-13"/>
    <n v="2"/>
    <x v="2"/>
    <x v="6"/>
    <x v="0"/>
    <n v="1"/>
    <x v="3"/>
    <s v="Under 1000"/>
    <x v="1"/>
    <n v="1"/>
  </r>
  <r>
    <x v="58"/>
    <n v="490"/>
    <n v="88"/>
    <n v="2"/>
    <x v="0"/>
    <x v="13"/>
    <x v="1"/>
    <n v="0"/>
    <x v="3"/>
    <s v="Under 1000"/>
    <x v="1"/>
    <n v="1"/>
  </r>
  <r>
    <x v="202"/>
    <n v="381"/>
    <n v="144"/>
    <n v="2"/>
    <x v="2"/>
    <x v="6"/>
    <x v="0"/>
    <n v="0"/>
    <x v="3"/>
    <s v="Under 1000"/>
    <x v="0"/>
    <n v="1"/>
  </r>
  <r>
    <x v="198"/>
    <n v="487"/>
    <n v="143"/>
    <n v="4"/>
    <x v="0"/>
    <x v="4"/>
    <x v="1"/>
    <n v="0"/>
    <x v="0"/>
    <s v="Under 1000"/>
    <x v="1"/>
    <n v="1"/>
  </r>
  <r>
    <x v="177"/>
    <n v="366"/>
    <n v="84"/>
    <n v="3"/>
    <x v="1"/>
    <x v="2"/>
    <x v="0"/>
    <n v="0"/>
    <x v="3"/>
    <s v="Under 1000"/>
    <x v="1"/>
    <n v="1"/>
  </r>
  <r>
    <x v="178"/>
    <n v="33"/>
    <n v="-29"/>
    <n v="3"/>
    <x v="2"/>
    <x v="16"/>
    <x v="3"/>
    <n v="1"/>
    <x v="3"/>
    <s v="Under 1000"/>
    <x v="1"/>
    <n v="1"/>
  </r>
  <r>
    <x v="105"/>
    <n v="365"/>
    <n v="107"/>
    <n v="3"/>
    <x v="0"/>
    <x v="4"/>
    <x v="0"/>
    <n v="0"/>
    <x v="3"/>
    <s v="Under 1000"/>
    <x v="1"/>
    <n v="1"/>
  </r>
  <r>
    <x v="187"/>
    <n v="207"/>
    <n v="-100"/>
    <n v="2"/>
    <x v="2"/>
    <x v="6"/>
    <x v="3"/>
    <n v="1"/>
    <x v="3"/>
    <s v="Under 1000"/>
    <x v="1"/>
    <n v="1"/>
  </r>
  <r>
    <x v="168"/>
    <n v="359"/>
    <n v="-338"/>
    <n v="5"/>
    <x v="1"/>
    <x v="2"/>
    <x v="0"/>
    <n v="1"/>
    <x v="0"/>
    <s v="Under 1000"/>
    <x v="1"/>
    <n v="1"/>
  </r>
  <r>
    <x v="104"/>
    <n v="351"/>
    <n v="-47"/>
    <n v="8"/>
    <x v="0"/>
    <x v="4"/>
    <x v="0"/>
    <n v="1"/>
    <x v="2"/>
    <s v="Under 1000"/>
    <x v="1"/>
    <n v="1"/>
  </r>
  <r>
    <x v="81"/>
    <n v="485"/>
    <n v="199"/>
    <n v="4"/>
    <x v="2"/>
    <x v="6"/>
    <x v="1"/>
    <n v="0"/>
    <x v="0"/>
    <s v="Under 1000"/>
    <x v="1"/>
    <n v="1"/>
  </r>
  <r>
    <x v="8"/>
    <n v="37"/>
    <n v="-23"/>
    <n v="4"/>
    <x v="2"/>
    <x v="16"/>
    <x v="3"/>
    <n v="1"/>
    <x v="0"/>
    <s v="Under 1000"/>
    <x v="1"/>
    <n v="1"/>
  </r>
  <r>
    <x v="86"/>
    <n v="34"/>
    <n v="10"/>
    <n v="2"/>
    <x v="2"/>
    <x v="14"/>
    <x v="4"/>
    <n v="0"/>
    <x v="3"/>
    <s v="Under 1000"/>
    <x v="1"/>
    <n v="1"/>
  </r>
  <r>
    <x v="203"/>
    <n v="346"/>
    <n v="108"/>
    <n v="3"/>
    <x v="1"/>
    <x v="1"/>
    <x v="0"/>
    <n v="0"/>
    <x v="3"/>
    <s v="Under 1000"/>
    <x v="0"/>
    <n v="1"/>
  </r>
  <r>
    <x v="126"/>
    <n v="342"/>
    <n v="-103"/>
    <n v="4"/>
    <x v="0"/>
    <x v="0"/>
    <x v="0"/>
    <n v="1"/>
    <x v="0"/>
    <s v="Under 1000"/>
    <x v="1"/>
    <n v="1"/>
  </r>
  <r>
    <x v="204"/>
    <n v="35"/>
    <n v="-8"/>
    <n v="2"/>
    <x v="1"/>
    <x v="15"/>
    <x v="4"/>
    <n v="1"/>
    <x v="3"/>
    <s v="Under 1000"/>
    <x v="0"/>
    <n v="1"/>
  </r>
  <r>
    <x v="205"/>
    <n v="121"/>
    <n v="41"/>
    <n v="4"/>
    <x v="2"/>
    <x v="11"/>
    <x v="3"/>
    <n v="0"/>
    <x v="0"/>
    <s v="Under 1000"/>
    <x v="0"/>
    <n v="1"/>
  </r>
  <r>
    <x v="103"/>
    <n v="336"/>
    <n v="57"/>
    <n v="2"/>
    <x v="0"/>
    <x v="4"/>
    <x v="0"/>
    <n v="0"/>
    <x v="3"/>
    <s v="Under 1000"/>
    <x v="1"/>
    <n v="1"/>
  </r>
  <r>
    <x v="9"/>
    <n v="336"/>
    <n v="71"/>
    <n v="3"/>
    <x v="1"/>
    <x v="2"/>
    <x v="0"/>
    <n v="0"/>
    <x v="3"/>
    <s v="Under 1000"/>
    <x v="1"/>
    <n v="1"/>
  </r>
  <r>
    <x v="206"/>
    <n v="27"/>
    <n v="4"/>
    <n v="1"/>
    <x v="2"/>
    <x v="7"/>
    <x v="0"/>
    <n v="0"/>
    <x v="3"/>
    <s v="Under 1000"/>
    <x v="0"/>
    <n v="1"/>
  </r>
  <r>
    <x v="141"/>
    <n v="333"/>
    <n v="50"/>
    <n v="2"/>
    <x v="0"/>
    <x v="4"/>
    <x v="0"/>
    <n v="0"/>
    <x v="3"/>
    <s v="Under 1000"/>
    <x v="1"/>
    <n v="1"/>
  </r>
  <r>
    <x v="5"/>
    <n v="36"/>
    <n v="7"/>
    <n v="3"/>
    <x v="2"/>
    <x v="12"/>
    <x v="4"/>
    <n v="0"/>
    <x v="3"/>
    <s v="Under 1000"/>
    <x v="1"/>
    <n v="1"/>
  </r>
  <r>
    <x v="207"/>
    <n v="333"/>
    <n v="-15"/>
    <n v="3"/>
    <x v="0"/>
    <x v="4"/>
    <x v="0"/>
    <n v="1"/>
    <x v="3"/>
    <s v="Under 1000"/>
    <x v="0"/>
    <n v="1"/>
  </r>
  <r>
    <x v="208"/>
    <n v="327"/>
    <n v="114"/>
    <n v="4"/>
    <x v="2"/>
    <x v="5"/>
    <x v="0"/>
    <n v="0"/>
    <x v="0"/>
    <s v="Under 1000"/>
    <x v="0"/>
    <n v="1"/>
  </r>
  <r>
    <x v="209"/>
    <n v="18"/>
    <n v="6"/>
    <n v="3"/>
    <x v="2"/>
    <x v="7"/>
    <x v="3"/>
    <n v="0"/>
    <x v="3"/>
    <s v="Under 1000"/>
    <x v="0"/>
    <n v="1"/>
  </r>
  <r>
    <x v="198"/>
    <n v="325"/>
    <n v="32"/>
    <n v="7"/>
    <x v="2"/>
    <x v="14"/>
    <x v="0"/>
    <n v="0"/>
    <x v="0"/>
    <s v="Under 1000"/>
    <x v="1"/>
    <n v="1"/>
  </r>
  <r>
    <x v="210"/>
    <n v="482"/>
    <n v="-6"/>
    <n v="7"/>
    <x v="0"/>
    <x v="0"/>
    <x v="1"/>
    <n v="1"/>
    <x v="0"/>
    <s v="Under 1000"/>
    <x v="0"/>
    <n v="1"/>
  </r>
  <r>
    <x v="13"/>
    <n v="465"/>
    <n v="-33"/>
    <n v="4"/>
    <x v="0"/>
    <x v="4"/>
    <x v="1"/>
    <n v="1"/>
    <x v="0"/>
    <s v="Under 1000"/>
    <x v="1"/>
    <n v="1"/>
  </r>
  <r>
    <x v="112"/>
    <n v="40"/>
    <n v="-12"/>
    <n v="3"/>
    <x v="2"/>
    <x v="16"/>
    <x v="0"/>
    <n v="1"/>
    <x v="3"/>
    <s v="Under 1000"/>
    <x v="1"/>
    <n v="1"/>
  </r>
  <r>
    <x v="117"/>
    <n v="107"/>
    <n v="36"/>
    <n v="6"/>
    <x v="2"/>
    <x v="11"/>
    <x v="0"/>
    <n v="0"/>
    <x v="0"/>
    <s v="Under 1000"/>
    <x v="1"/>
    <n v="1"/>
  </r>
  <r>
    <x v="15"/>
    <n v="312"/>
    <n v="-312"/>
    <n v="7"/>
    <x v="1"/>
    <x v="1"/>
    <x v="0"/>
    <n v="1"/>
    <x v="0"/>
    <s v="Under 1000"/>
    <x v="1"/>
    <n v="1"/>
  </r>
  <r>
    <x v="211"/>
    <n v="451"/>
    <n v="25"/>
    <n v="3"/>
    <x v="0"/>
    <x v="4"/>
    <x v="1"/>
    <n v="0"/>
    <x v="3"/>
    <s v="Under 1000"/>
    <x v="0"/>
    <n v="1"/>
  </r>
  <r>
    <x v="145"/>
    <n v="312"/>
    <n v="62"/>
    <n v="1"/>
    <x v="0"/>
    <x v="0"/>
    <x v="0"/>
    <n v="0"/>
    <x v="3"/>
    <s v="Under 1000"/>
    <x v="1"/>
    <n v="1"/>
  </r>
  <r>
    <x v="212"/>
    <n v="311"/>
    <n v="72"/>
    <n v="2"/>
    <x v="1"/>
    <x v="2"/>
    <x v="0"/>
    <n v="0"/>
    <x v="3"/>
    <s v="Under 1000"/>
    <x v="0"/>
    <n v="1"/>
  </r>
  <r>
    <x v="213"/>
    <n v="11"/>
    <n v="5"/>
    <n v="2"/>
    <x v="2"/>
    <x v="7"/>
    <x v="3"/>
    <n v="0"/>
    <x v="3"/>
    <s v="Under 1000"/>
    <x v="0"/>
    <n v="1"/>
  </r>
  <r>
    <x v="189"/>
    <n v="37"/>
    <n v="-5"/>
    <n v="3"/>
    <x v="2"/>
    <x v="14"/>
    <x v="4"/>
    <n v="1"/>
    <x v="3"/>
    <s v="Under 1000"/>
    <x v="1"/>
    <n v="1"/>
  </r>
  <r>
    <x v="214"/>
    <n v="444"/>
    <n v="-200"/>
    <n v="4"/>
    <x v="0"/>
    <x v="4"/>
    <x v="1"/>
    <n v="1"/>
    <x v="0"/>
    <s v="Under 1000"/>
    <x v="0"/>
    <n v="1"/>
  </r>
  <r>
    <x v="215"/>
    <n v="434"/>
    <n v="26"/>
    <n v="11"/>
    <x v="2"/>
    <x v="16"/>
    <x v="2"/>
    <n v="0"/>
    <x v="1"/>
    <s v="Under 1000"/>
    <x v="0"/>
    <n v="1"/>
  </r>
  <r>
    <x v="216"/>
    <n v="299"/>
    <n v="0"/>
    <n v="6"/>
    <x v="2"/>
    <x v="11"/>
    <x v="0"/>
    <n v="0"/>
    <x v="0"/>
    <s v="Under 1000"/>
    <x v="0"/>
    <n v="1"/>
  </r>
  <r>
    <x v="103"/>
    <n v="37"/>
    <n v="17"/>
    <n v="3"/>
    <x v="2"/>
    <x v="7"/>
    <x v="4"/>
    <n v="0"/>
    <x v="3"/>
    <s v="Under 1000"/>
    <x v="1"/>
    <n v="1"/>
  </r>
  <r>
    <x v="217"/>
    <n v="299"/>
    <n v="113"/>
    <n v="2"/>
    <x v="1"/>
    <x v="2"/>
    <x v="0"/>
    <n v="0"/>
    <x v="3"/>
    <s v="Under 1000"/>
    <x v="0"/>
    <n v="1"/>
  </r>
  <r>
    <x v="218"/>
    <n v="298"/>
    <n v="74"/>
    <n v="2"/>
    <x v="1"/>
    <x v="2"/>
    <x v="0"/>
    <n v="0"/>
    <x v="3"/>
    <s v="Under 1000"/>
    <x v="0"/>
    <n v="1"/>
  </r>
  <r>
    <x v="219"/>
    <n v="94"/>
    <n v="7"/>
    <n v="7"/>
    <x v="2"/>
    <x v="12"/>
    <x v="3"/>
    <n v="0"/>
    <x v="0"/>
    <s v="Under 1000"/>
    <x v="0"/>
    <n v="1"/>
  </r>
  <r>
    <x v="220"/>
    <n v="296"/>
    <n v="225"/>
    <n v="11"/>
    <x v="2"/>
    <x v="6"/>
    <x v="0"/>
    <n v="0"/>
    <x v="1"/>
    <s v="Under 1000"/>
    <x v="0"/>
    <n v="1"/>
  </r>
  <r>
    <x v="221"/>
    <n v="37"/>
    <n v="17"/>
    <n v="3"/>
    <x v="2"/>
    <x v="7"/>
    <x v="4"/>
    <n v="0"/>
    <x v="3"/>
    <s v="Under 1000"/>
    <x v="0"/>
    <n v="1"/>
  </r>
  <r>
    <x v="222"/>
    <n v="291"/>
    <n v="93"/>
    <n v="2"/>
    <x v="0"/>
    <x v="3"/>
    <x v="0"/>
    <n v="0"/>
    <x v="3"/>
    <s v="Under 1000"/>
    <x v="0"/>
    <n v="1"/>
  </r>
  <r>
    <x v="183"/>
    <n v="327"/>
    <n v="-39"/>
    <n v="1"/>
    <x v="0"/>
    <x v="4"/>
    <x v="0"/>
    <n v="1"/>
    <x v="3"/>
    <s v="Under 1000"/>
    <x v="1"/>
    <n v="1"/>
  </r>
  <r>
    <x v="199"/>
    <n v="291"/>
    <n v="119"/>
    <n v="11"/>
    <x v="2"/>
    <x v="6"/>
    <x v="0"/>
    <n v="0"/>
    <x v="1"/>
    <s v="Under 1000"/>
    <x v="1"/>
    <n v="1"/>
  </r>
  <r>
    <x v="159"/>
    <n v="287"/>
    <n v="-66"/>
    <n v="6"/>
    <x v="2"/>
    <x v="8"/>
    <x v="0"/>
    <n v="1"/>
    <x v="0"/>
    <s v="Under 1000"/>
    <x v="1"/>
    <n v="1"/>
  </r>
  <r>
    <x v="223"/>
    <n v="42"/>
    <n v="15"/>
    <n v="1"/>
    <x v="0"/>
    <x v="13"/>
    <x v="3"/>
    <n v="0"/>
    <x v="3"/>
    <s v="Under 1000"/>
    <x v="0"/>
    <n v="1"/>
  </r>
  <r>
    <x v="180"/>
    <n v="429"/>
    <n v="61"/>
    <n v="3"/>
    <x v="0"/>
    <x v="0"/>
    <x v="2"/>
    <n v="0"/>
    <x v="3"/>
    <s v="Under 1000"/>
    <x v="1"/>
    <n v="1"/>
  </r>
  <r>
    <x v="224"/>
    <n v="285"/>
    <n v="128"/>
    <n v="2"/>
    <x v="0"/>
    <x v="3"/>
    <x v="0"/>
    <n v="0"/>
    <x v="3"/>
    <s v="Under 1000"/>
    <x v="0"/>
    <n v="1"/>
  </r>
  <r>
    <x v="225"/>
    <n v="277"/>
    <n v="3"/>
    <n v="1"/>
    <x v="0"/>
    <x v="0"/>
    <x v="0"/>
    <n v="0"/>
    <x v="3"/>
    <s v="Under 1000"/>
    <x v="0"/>
    <n v="1"/>
  </r>
  <r>
    <x v="23"/>
    <n v="274"/>
    <n v="-7"/>
    <n v="4"/>
    <x v="0"/>
    <x v="4"/>
    <x v="0"/>
    <n v="1"/>
    <x v="0"/>
    <s v="Under 1000"/>
    <x v="1"/>
    <n v="1"/>
  </r>
  <r>
    <x v="226"/>
    <n v="273"/>
    <n v="-87"/>
    <n v="4"/>
    <x v="0"/>
    <x v="4"/>
    <x v="0"/>
    <n v="1"/>
    <x v="0"/>
    <s v="Under 1000"/>
    <x v="0"/>
    <n v="1"/>
  </r>
  <r>
    <x v="140"/>
    <n v="269"/>
    <n v="91"/>
    <n v="1"/>
    <x v="0"/>
    <x v="0"/>
    <x v="0"/>
    <n v="0"/>
    <x v="3"/>
    <s v="Under 1000"/>
    <x v="1"/>
    <n v="1"/>
  </r>
  <r>
    <x v="222"/>
    <n v="11"/>
    <n v="5"/>
    <n v="1"/>
    <x v="2"/>
    <x v="9"/>
    <x v="0"/>
    <n v="0"/>
    <x v="3"/>
    <s v="Under 1000"/>
    <x v="1"/>
    <n v="1"/>
  </r>
  <r>
    <x v="2"/>
    <n v="39"/>
    <n v="2"/>
    <n v="2"/>
    <x v="2"/>
    <x v="6"/>
    <x v="4"/>
    <n v="0"/>
    <x v="3"/>
    <s v="Under 1000"/>
    <x v="1"/>
    <n v="1"/>
  </r>
  <r>
    <x v="211"/>
    <n v="264"/>
    <n v="-26"/>
    <n v="3"/>
    <x v="2"/>
    <x v="5"/>
    <x v="0"/>
    <n v="1"/>
    <x v="3"/>
    <s v="Under 1000"/>
    <x v="1"/>
    <n v="1"/>
  </r>
  <r>
    <x v="227"/>
    <n v="40"/>
    <n v="16"/>
    <n v="3"/>
    <x v="2"/>
    <x v="7"/>
    <x v="4"/>
    <n v="0"/>
    <x v="3"/>
    <s v="Under 1000"/>
    <x v="0"/>
    <n v="1"/>
  </r>
  <r>
    <x v="228"/>
    <n v="41"/>
    <n v="19"/>
    <n v="2"/>
    <x v="2"/>
    <x v="14"/>
    <x v="4"/>
    <n v="0"/>
    <x v="3"/>
    <s v="Under 1000"/>
    <x v="0"/>
    <n v="1"/>
  </r>
  <r>
    <x v="190"/>
    <n v="253"/>
    <n v="-63"/>
    <n v="2"/>
    <x v="2"/>
    <x v="6"/>
    <x v="3"/>
    <n v="1"/>
    <x v="3"/>
    <s v="Under 1000"/>
    <x v="1"/>
    <n v="1"/>
  </r>
  <r>
    <x v="229"/>
    <n v="406"/>
    <n v="97"/>
    <n v="7"/>
    <x v="1"/>
    <x v="1"/>
    <x v="2"/>
    <n v="0"/>
    <x v="0"/>
    <s v="Under 1000"/>
    <x v="0"/>
    <n v="1"/>
  </r>
  <r>
    <x v="230"/>
    <n v="32"/>
    <n v="7"/>
    <n v="3"/>
    <x v="2"/>
    <x v="7"/>
    <x v="0"/>
    <n v="0"/>
    <x v="3"/>
    <s v="Under 1000"/>
    <x v="0"/>
    <n v="1"/>
  </r>
  <r>
    <x v="145"/>
    <n v="260"/>
    <n v="68"/>
    <n v="2"/>
    <x v="0"/>
    <x v="3"/>
    <x v="0"/>
    <n v="0"/>
    <x v="3"/>
    <s v="Under 1000"/>
    <x v="1"/>
    <n v="1"/>
  </r>
  <r>
    <x v="231"/>
    <n v="41"/>
    <n v="19"/>
    <n v="5"/>
    <x v="2"/>
    <x v="7"/>
    <x v="4"/>
    <n v="0"/>
    <x v="0"/>
    <s v="Under 1000"/>
    <x v="0"/>
    <n v="1"/>
  </r>
  <r>
    <x v="30"/>
    <n v="401"/>
    <n v="13"/>
    <n v="6"/>
    <x v="1"/>
    <x v="1"/>
    <x v="2"/>
    <n v="0"/>
    <x v="0"/>
    <s v="Under 1000"/>
    <x v="1"/>
    <n v="1"/>
  </r>
  <r>
    <x v="227"/>
    <n v="382"/>
    <n v="30"/>
    <n v="3"/>
    <x v="2"/>
    <x v="6"/>
    <x v="2"/>
    <n v="0"/>
    <x v="3"/>
    <s v="Under 1000"/>
    <x v="1"/>
    <n v="1"/>
  </r>
  <r>
    <x v="232"/>
    <n v="867"/>
    <n v="251"/>
    <n v="5"/>
    <x v="0"/>
    <x v="4"/>
    <x v="0"/>
    <n v="0"/>
    <x v="0"/>
    <s v="Under 1000"/>
    <x v="0"/>
    <n v="1"/>
  </r>
  <r>
    <x v="233"/>
    <n v="43"/>
    <n v="0"/>
    <n v="3"/>
    <x v="2"/>
    <x v="6"/>
    <x v="4"/>
    <n v="0"/>
    <x v="3"/>
    <s v="Under 1000"/>
    <x v="0"/>
    <n v="1"/>
  </r>
  <r>
    <x v="234"/>
    <n v="43"/>
    <n v="-43"/>
    <n v="7"/>
    <x v="2"/>
    <x v="11"/>
    <x v="4"/>
    <n v="1"/>
    <x v="0"/>
    <s v="Under 1000"/>
    <x v="0"/>
    <n v="1"/>
  </r>
  <r>
    <x v="185"/>
    <n v="74"/>
    <n v="29"/>
    <n v="3"/>
    <x v="2"/>
    <x v="11"/>
    <x v="0"/>
    <n v="0"/>
    <x v="3"/>
    <s v="Under 1000"/>
    <x v="1"/>
    <n v="1"/>
  </r>
  <r>
    <x v="15"/>
    <n v="44"/>
    <n v="-26"/>
    <n v="3"/>
    <x v="2"/>
    <x v="7"/>
    <x v="4"/>
    <n v="1"/>
    <x v="3"/>
    <s v="Under 1000"/>
    <x v="1"/>
    <n v="1"/>
  </r>
  <r>
    <x v="235"/>
    <n v="259"/>
    <n v="-55"/>
    <n v="2"/>
    <x v="1"/>
    <x v="1"/>
    <x v="0"/>
    <n v="1"/>
    <x v="3"/>
    <s v="Under 1000"/>
    <x v="0"/>
    <n v="1"/>
  </r>
  <r>
    <x v="57"/>
    <n v="257"/>
    <n v="23"/>
    <n v="5"/>
    <x v="2"/>
    <x v="7"/>
    <x v="0"/>
    <n v="0"/>
    <x v="0"/>
    <s v="Under 1000"/>
    <x v="1"/>
    <n v="1"/>
  </r>
  <r>
    <x v="97"/>
    <n v="76"/>
    <n v="27"/>
    <n v="5"/>
    <x v="2"/>
    <x v="11"/>
    <x v="0"/>
    <n v="0"/>
    <x v="0"/>
    <s v="Under 1000"/>
    <x v="1"/>
    <n v="1"/>
  </r>
  <r>
    <x v="236"/>
    <n v="44"/>
    <n v="-32"/>
    <n v="3"/>
    <x v="2"/>
    <x v="11"/>
    <x v="4"/>
    <n v="1"/>
    <x v="3"/>
    <s v="Under 1000"/>
    <x v="0"/>
    <n v="1"/>
  </r>
  <r>
    <x v="237"/>
    <n v="257"/>
    <n v="3"/>
    <n v="2"/>
    <x v="2"/>
    <x v="6"/>
    <x v="0"/>
    <n v="0"/>
    <x v="3"/>
    <s v="Under 1000"/>
    <x v="0"/>
    <n v="1"/>
  </r>
  <r>
    <x v="238"/>
    <n v="255"/>
    <n v="76"/>
    <n v="9"/>
    <x v="2"/>
    <x v="7"/>
    <x v="0"/>
    <n v="0"/>
    <x v="2"/>
    <s v="Under 1000"/>
    <x v="0"/>
    <n v="1"/>
  </r>
  <r>
    <x v="239"/>
    <n v="44"/>
    <n v="14"/>
    <n v="3"/>
    <x v="2"/>
    <x v="7"/>
    <x v="4"/>
    <n v="0"/>
    <x v="3"/>
    <s v="Under 1000"/>
    <x v="0"/>
    <n v="1"/>
  </r>
  <r>
    <x v="189"/>
    <n v="45"/>
    <n v="-2"/>
    <n v="4"/>
    <x v="2"/>
    <x v="16"/>
    <x v="0"/>
    <n v="1"/>
    <x v="0"/>
    <s v="Under 1000"/>
    <x v="1"/>
    <n v="1"/>
  </r>
  <r>
    <x v="0"/>
    <n v="44"/>
    <n v="-3"/>
    <n v="1"/>
    <x v="2"/>
    <x v="6"/>
    <x v="4"/>
    <n v="1"/>
    <x v="3"/>
    <s v="Under 1000"/>
    <x v="1"/>
    <n v="1"/>
  </r>
  <r>
    <x v="58"/>
    <n v="382"/>
    <n v="119"/>
    <n v="2"/>
    <x v="2"/>
    <x v="6"/>
    <x v="2"/>
    <n v="0"/>
    <x v="3"/>
    <s v="Under 1000"/>
    <x v="1"/>
    <n v="1"/>
  </r>
  <r>
    <x v="147"/>
    <n v="250"/>
    <n v="100"/>
    <n v="3"/>
    <x v="2"/>
    <x v="5"/>
    <x v="0"/>
    <n v="0"/>
    <x v="3"/>
    <s v="Under 1000"/>
    <x v="1"/>
    <n v="1"/>
  </r>
  <r>
    <x v="240"/>
    <n v="45"/>
    <n v="-15"/>
    <n v="2"/>
    <x v="1"/>
    <x v="1"/>
    <x v="0"/>
    <n v="1"/>
    <x v="3"/>
    <s v="Under 1000"/>
    <x v="0"/>
    <n v="1"/>
  </r>
  <r>
    <x v="135"/>
    <n v="246"/>
    <n v="61"/>
    <n v="2"/>
    <x v="1"/>
    <x v="2"/>
    <x v="0"/>
    <n v="0"/>
    <x v="3"/>
    <s v="Under 1000"/>
    <x v="1"/>
    <n v="1"/>
  </r>
  <r>
    <x v="222"/>
    <n v="50"/>
    <n v="25"/>
    <n v="5"/>
    <x v="2"/>
    <x v="11"/>
    <x v="0"/>
    <n v="0"/>
    <x v="0"/>
    <s v="Under 1000"/>
    <x v="1"/>
    <n v="1"/>
  </r>
  <r>
    <x v="241"/>
    <n v="246"/>
    <n v="98"/>
    <n v="5"/>
    <x v="2"/>
    <x v="7"/>
    <x v="0"/>
    <n v="0"/>
    <x v="0"/>
    <s v="Under 1000"/>
    <x v="0"/>
    <n v="1"/>
  </r>
  <r>
    <x v="6"/>
    <n v="44"/>
    <n v="99"/>
    <n v="3"/>
    <x v="2"/>
    <x v="8"/>
    <x v="4"/>
    <n v="0"/>
    <x v="3"/>
    <s v="Under 1000"/>
    <x v="1"/>
    <n v="0"/>
  </r>
  <r>
    <x v="242"/>
    <n v="245"/>
    <n v="-78"/>
    <n v="3"/>
    <x v="2"/>
    <x v="6"/>
    <x v="0"/>
    <n v="1"/>
    <x v="3"/>
    <s v="Under 1000"/>
    <x v="0"/>
    <n v="1"/>
  </r>
  <r>
    <x v="155"/>
    <n v="245"/>
    <n v="30"/>
    <n v="2"/>
    <x v="2"/>
    <x v="6"/>
    <x v="0"/>
    <n v="0"/>
    <x v="3"/>
    <s v="Under 1000"/>
    <x v="1"/>
    <n v="1"/>
  </r>
  <r>
    <x v="243"/>
    <n v="376"/>
    <n v="0"/>
    <n v="7"/>
    <x v="2"/>
    <x v="11"/>
    <x v="2"/>
    <n v="0"/>
    <x v="0"/>
    <s v="Under 1000"/>
    <x v="0"/>
    <n v="1"/>
  </r>
  <r>
    <x v="81"/>
    <n v="45"/>
    <n v="1"/>
    <n v="3"/>
    <x v="2"/>
    <x v="14"/>
    <x v="4"/>
    <n v="0"/>
    <x v="3"/>
    <s v="Under 1000"/>
    <x v="1"/>
    <n v="1"/>
  </r>
  <r>
    <x v="244"/>
    <n v="45"/>
    <n v="-28"/>
    <n v="2"/>
    <x v="2"/>
    <x v="11"/>
    <x v="4"/>
    <n v="1"/>
    <x v="3"/>
    <s v="Under 1000"/>
    <x v="0"/>
    <n v="1"/>
  </r>
  <r>
    <x v="245"/>
    <n v="244"/>
    <n v="-122"/>
    <n v="5"/>
    <x v="1"/>
    <x v="15"/>
    <x v="0"/>
    <n v="1"/>
    <x v="0"/>
    <s v="Under 1000"/>
    <x v="0"/>
    <n v="1"/>
  </r>
  <r>
    <x v="246"/>
    <n v="244"/>
    <n v="83"/>
    <n v="2"/>
    <x v="1"/>
    <x v="2"/>
    <x v="0"/>
    <n v="0"/>
    <x v="3"/>
    <s v="Under 1000"/>
    <x v="0"/>
    <n v="1"/>
  </r>
  <r>
    <x v="138"/>
    <n v="10"/>
    <n v="4"/>
    <n v="1"/>
    <x v="2"/>
    <x v="8"/>
    <x v="3"/>
    <n v="0"/>
    <x v="3"/>
    <s v="Under 1000"/>
    <x v="1"/>
    <n v="1"/>
  </r>
  <r>
    <x v="217"/>
    <n v="375"/>
    <n v="180"/>
    <n v="3"/>
    <x v="1"/>
    <x v="2"/>
    <x v="2"/>
    <n v="0"/>
    <x v="3"/>
    <s v="Under 1000"/>
    <x v="1"/>
    <n v="1"/>
  </r>
  <r>
    <x v="74"/>
    <n v="46"/>
    <n v="14"/>
    <n v="5"/>
    <x v="2"/>
    <x v="9"/>
    <x v="4"/>
    <n v="0"/>
    <x v="0"/>
    <s v="Under 1000"/>
    <x v="1"/>
    <n v="1"/>
  </r>
  <r>
    <x v="247"/>
    <n v="49"/>
    <n v="-31"/>
    <n v="2"/>
    <x v="2"/>
    <x v="11"/>
    <x v="3"/>
    <n v="1"/>
    <x v="3"/>
    <s v="Under 1000"/>
    <x v="0"/>
    <n v="1"/>
  </r>
  <r>
    <x v="248"/>
    <n v="47"/>
    <n v="-20"/>
    <n v="2"/>
    <x v="2"/>
    <x v="8"/>
    <x v="4"/>
    <n v="1"/>
    <x v="3"/>
    <s v="Under 1000"/>
    <x v="0"/>
    <n v="1"/>
  </r>
  <r>
    <x v="170"/>
    <n v="355"/>
    <n v="-114"/>
    <n v="7"/>
    <x v="2"/>
    <x v="11"/>
    <x v="2"/>
    <n v="1"/>
    <x v="0"/>
    <s v="Under 1000"/>
    <x v="1"/>
    <n v="1"/>
  </r>
  <r>
    <x v="249"/>
    <n v="32"/>
    <n v="8"/>
    <n v="5"/>
    <x v="2"/>
    <x v="7"/>
    <x v="3"/>
    <n v="0"/>
    <x v="0"/>
    <s v="Under 1000"/>
    <x v="0"/>
    <n v="1"/>
  </r>
  <r>
    <x v="0"/>
    <n v="243"/>
    <n v="-14"/>
    <n v="2"/>
    <x v="1"/>
    <x v="1"/>
    <x v="0"/>
    <n v="1"/>
    <x v="3"/>
    <s v="Under 1000"/>
    <x v="1"/>
    <n v="1"/>
  </r>
  <r>
    <x v="250"/>
    <n v="241"/>
    <n v="-77"/>
    <n v="4"/>
    <x v="0"/>
    <x v="0"/>
    <x v="0"/>
    <n v="1"/>
    <x v="0"/>
    <s v="Under 1000"/>
    <x v="0"/>
    <n v="1"/>
  </r>
  <r>
    <x v="251"/>
    <n v="47"/>
    <n v="15"/>
    <n v="5"/>
    <x v="2"/>
    <x v="6"/>
    <x v="4"/>
    <n v="0"/>
    <x v="0"/>
    <s v="Under 1000"/>
    <x v="0"/>
    <n v="1"/>
  </r>
  <r>
    <x v="24"/>
    <n v="50"/>
    <n v="-10"/>
    <n v="6"/>
    <x v="2"/>
    <x v="9"/>
    <x v="4"/>
    <n v="1"/>
    <x v="0"/>
    <s v="Under 1000"/>
    <x v="1"/>
    <n v="1"/>
  </r>
  <r>
    <x v="179"/>
    <n v="15"/>
    <n v="6"/>
    <n v="2"/>
    <x v="2"/>
    <x v="7"/>
    <x v="0"/>
    <n v="0"/>
    <x v="3"/>
    <s v="Under 1000"/>
    <x v="1"/>
    <n v="1"/>
  </r>
  <r>
    <x v="81"/>
    <n v="148"/>
    <n v="24"/>
    <n v="3"/>
    <x v="2"/>
    <x v="11"/>
    <x v="0"/>
    <n v="0"/>
    <x v="3"/>
    <s v="Under 1000"/>
    <x v="1"/>
    <n v="1"/>
  </r>
  <r>
    <x v="252"/>
    <n v="299"/>
    <n v="-28"/>
    <n v="3"/>
    <x v="0"/>
    <x v="0"/>
    <x v="3"/>
    <n v="1"/>
    <x v="3"/>
    <s v="Under 1000"/>
    <x v="0"/>
    <n v="1"/>
  </r>
  <r>
    <x v="82"/>
    <n v="68"/>
    <n v="-30"/>
    <n v="1"/>
    <x v="0"/>
    <x v="4"/>
    <x v="3"/>
    <n v="1"/>
    <x v="3"/>
    <s v="Under 1000"/>
    <x v="1"/>
    <n v="1"/>
  </r>
  <r>
    <x v="81"/>
    <n v="52"/>
    <n v="18"/>
    <n v="5"/>
    <x v="2"/>
    <x v="12"/>
    <x v="4"/>
    <n v="0"/>
    <x v="0"/>
    <s v="Under 1000"/>
    <x v="1"/>
    <n v="1"/>
  </r>
  <r>
    <x v="131"/>
    <n v="239"/>
    <n v="-162"/>
    <n v="5"/>
    <x v="1"/>
    <x v="1"/>
    <x v="0"/>
    <n v="1"/>
    <x v="0"/>
    <s v="Under 1000"/>
    <x v="1"/>
    <n v="1"/>
  </r>
  <r>
    <x v="135"/>
    <n v="27"/>
    <n v="6"/>
    <n v="3"/>
    <x v="2"/>
    <x v="9"/>
    <x v="0"/>
    <n v="0"/>
    <x v="3"/>
    <s v="Under 1000"/>
    <x v="1"/>
    <n v="1"/>
  </r>
  <r>
    <x v="104"/>
    <n v="238"/>
    <n v="20"/>
    <n v="2"/>
    <x v="2"/>
    <x v="6"/>
    <x v="0"/>
    <n v="0"/>
    <x v="3"/>
    <s v="Under 1000"/>
    <x v="1"/>
    <n v="1"/>
  </r>
  <r>
    <x v="177"/>
    <n v="48"/>
    <n v="16"/>
    <n v="3"/>
    <x v="2"/>
    <x v="16"/>
    <x v="0"/>
    <n v="0"/>
    <x v="3"/>
    <s v="Under 1000"/>
    <x v="1"/>
    <n v="1"/>
  </r>
  <r>
    <x v="253"/>
    <n v="66"/>
    <n v="22"/>
    <n v="3"/>
    <x v="2"/>
    <x v="11"/>
    <x v="3"/>
    <n v="0"/>
    <x v="3"/>
    <s v="Under 1000"/>
    <x v="0"/>
    <n v="1"/>
  </r>
  <r>
    <x v="254"/>
    <n v="53"/>
    <n v="24"/>
    <n v="1"/>
    <x v="2"/>
    <x v="7"/>
    <x v="4"/>
    <n v="0"/>
    <x v="3"/>
    <s v="Under 1000"/>
    <x v="0"/>
    <n v="1"/>
  </r>
  <r>
    <x v="207"/>
    <n v="233"/>
    <n v="-10"/>
    <n v="5"/>
    <x v="0"/>
    <x v="0"/>
    <x v="0"/>
    <n v="1"/>
    <x v="0"/>
    <s v="Under 1000"/>
    <x v="1"/>
    <n v="1"/>
  </r>
  <r>
    <x v="202"/>
    <n v="53"/>
    <n v="-2"/>
    <n v="3"/>
    <x v="2"/>
    <x v="6"/>
    <x v="4"/>
    <n v="1"/>
    <x v="3"/>
    <s v="Under 1000"/>
    <x v="1"/>
    <n v="1"/>
  </r>
  <r>
    <x v="175"/>
    <n v="54"/>
    <n v="8"/>
    <n v="4"/>
    <x v="2"/>
    <x v="14"/>
    <x v="4"/>
    <n v="0"/>
    <x v="0"/>
    <s v="Under 1000"/>
    <x v="1"/>
    <n v="1"/>
  </r>
  <r>
    <x v="255"/>
    <n v="352"/>
    <n v="-345"/>
    <n v="5"/>
    <x v="2"/>
    <x v="6"/>
    <x v="2"/>
    <n v="1"/>
    <x v="0"/>
    <s v="Under 1000"/>
    <x v="0"/>
    <n v="1"/>
  </r>
  <r>
    <x v="114"/>
    <n v="349"/>
    <n v="0"/>
    <n v="7"/>
    <x v="2"/>
    <x v="11"/>
    <x v="2"/>
    <n v="0"/>
    <x v="0"/>
    <s v="Under 1000"/>
    <x v="1"/>
    <n v="1"/>
  </r>
  <r>
    <x v="256"/>
    <n v="341"/>
    <n v="-85"/>
    <n v="6"/>
    <x v="2"/>
    <x v="5"/>
    <x v="2"/>
    <n v="1"/>
    <x v="0"/>
    <s v="Under 1000"/>
    <x v="0"/>
    <n v="1"/>
  </r>
  <r>
    <x v="232"/>
    <n v="54"/>
    <n v="12"/>
    <n v="3"/>
    <x v="2"/>
    <x v="6"/>
    <x v="4"/>
    <n v="0"/>
    <x v="3"/>
    <s v="Under 1000"/>
    <x v="1"/>
    <n v="1"/>
  </r>
  <r>
    <x v="1"/>
    <n v="57"/>
    <n v="7"/>
    <n v="2"/>
    <x v="2"/>
    <x v="16"/>
    <x v="3"/>
    <n v="0"/>
    <x v="3"/>
    <s v="Under 1000"/>
    <x v="1"/>
    <n v="1"/>
  </r>
  <r>
    <x v="55"/>
    <n v="340"/>
    <n v="20"/>
    <n v="7"/>
    <x v="2"/>
    <x v="16"/>
    <x v="2"/>
    <n v="0"/>
    <x v="0"/>
    <s v="Under 1000"/>
    <x v="1"/>
    <n v="1"/>
  </r>
  <r>
    <x v="1"/>
    <n v="227"/>
    <n v="48"/>
    <n v="5"/>
    <x v="2"/>
    <x v="11"/>
    <x v="0"/>
    <n v="0"/>
    <x v="0"/>
    <s v="Under 1000"/>
    <x v="1"/>
    <n v="1"/>
  </r>
  <r>
    <x v="223"/>
    <n v="330"/>
    <n v="81"/>
    <n v="1"/>
    <x v="1"/>
    <x v="2"/>
    <x v="2"/>
    <n v="0"/>
    <x v="3"/>
    <s v="Under 1000"/>
    <x v="1"/>
    <n v="1"/>
  </r>
  <r>
    <x v="36"/>
    <n v="216"/>
    <n v="-38"/>
    <n v="6"/>
    <x v="1"/>
    <x v="15"/>
    <x v="3"/>
    <n v="1"/>
    <x v="0"/>
    <s v="Under 1000"/>
    <x v="1"/>
    <n v="1"/>
  </r>
  <r>
    <x v="257"/>
    <n v="224"/>
    <n v="-143"/>
    <n v="3"/>
    <x v="1"/>
    <x v="1"/>
    <x v="0"/>
    <n v="1"/>
    <x v="3"/>
    <s v="Under 1000"/>
    <x v="0"/>
    <n v="1"/>
  </r>
  <r>
    <x v="258"/>
    <n v="55"/>
    <n v="-33"/>
    <n v="2"/>
    <x v="1"/>
    <x v="1"/>
    <x v="4"/>
    <n v="1"/>
    <x v="3"/>
    <s v="Under 1000"/>
    <x v="0"/>
    <n v="1"/>
  </r>
  <r>
    <x v="121"/>
    <n v="49"/>
    <n v="21"/>
    <n v="1"/>
    <x v="2"/>
    <x v="11"/>
    <x v="3"/>
    <n v="0"/>
    <x v="3"/>
    <s v="Under 1000"/>
    <x v="1"/>
    <n v="1"/>
  </r>
  <r>
    <x v="175"/>
    <n v="224"/>
    <n v="87"/>
    <n v="3"/>
    <x v="2"/>
    <x v="5"/>
    <x v="0"/>
    <n v="0"/>
    <x v="3"/>
    <s v="Under 1000"/>
    <x v="1"/>
    <n v="1"/>
  </r>
  <r>
    <x v="155"/>
    <n v="223"/>
    <n v="27"/>
    <n v="2"/>
    <x v="1"/>
    <x v="2"/>
    <x v="0"/>
    <n v="0"/>
    <x v="3"/>
    <s v="Under 1000"/>
    <x v="1"/>
    <n v="1"/>
  </r>
  <r>
    <x v="259"/>
    <n v="324"/>
    <n v="39"/>
    <n v="8"/>
    <x v="0"/>
    <x v="13"/>
    <x v="2"/>
    <n v="0"/>
    <x v="2"/>
    <s v="Under 1000"/>
    <x v="0"/>
    <n v="1"/>
  </r>
  <r>
    <x v="93"/>
    <n v="56"/>
    <n v="18"/>
    <n v="2"/>
    <x v="2"/>
    <x v="7"/>
    <x v="4"/>
    <n v="0"/>
    <x v="3"/>
    <s v="Under 1000"/>
    <x v="1"/>
    <n v="1"/>
  </r>
  <r>
    <x v="260"/>
    <n v="223"/>
    <n v="62"/>
    <n v="7"/>
    <x v="2"/>
    <x v="16"/>
    <x v="0"/>
    <n v="0"/>
    <x v="0"/>
    <s v="Under 1000"/>
    <x v="0"/>
    <n v="1"/>
  </r>
  <r>
    <x v="237"/>
    <n v="10"/>
    <n v="2"/>
    <n v="2"/>
    <x v="2"/>
    <x v="9"/>
    <x v="0"/>
    <n v="0"/>
    <x v="3"/>
    <s v="Under 1000"/>
    <x v="1"/>
    <n v="1"/>
  </r>
  <r>
    <x v="261"/>
    <n v="57"/>
    <n v="6"/>
    <n v="5"/>
    <x v="2"/>
    <x v="12"/>
    <x v="4"/>
    <n v="0"/>
    <x v="0"/>
    <s v="Under 1000"/>
    <x v="0"/>
    <n v="1"/>
  </r>
  <r>
    <x v="73"/>
    <n v="322"/>
    <n v="-113"/>
    <n v="4"/>
    <x v="2"/>
    <x v="6"/>
    <x v="2"/>
    <n v="1"/>
    <x v="0"/>
    <s v="Under 1000"/>
    <x v="1"/>
    <n v="1"/>
  </r>
  <r>
    <x v="262"/>
    <n v="219"/>
    <n v="4"/>
    <n v="2"/>
    <x v="2"/>
    <x v="6"/>
    <x v="0"/>
    <n v="0"/>
    <x v="3"/>
    <s v="Under 1000"/>
    <x v="0"/>
    <n v="1"/>
  </r>
  <r>
    <x v="263"/>
    <n v="103"/>
    <n v="21"/>
    <n v="7"/>
    <x v="2"/>
    <x v="11"/>
    <x v="3"/>
    <n v="0"/>
    <x v="0"/>
    <s v="Under 1000"/>
    <x v="0"/>
    <n v="1"/>
  </r>
  <r>
    <x v="10"/>
    <n v="47"/>
    <n v="-27"/>
    <n v="4"/>
    <x v="2"/>
    <x v="6"/>
    <x v="0"/>
    <n v="1"/>
    <x v="0"/>
    <s v="Under 1000"/>
    <x v="1"/>
    <n v="1"/>
  </r>
  <r>
    <x v="155"/>
    <n v="219"/>
    <n v="0"/>
    <n v="1"/>
    <x v="2"/>
    <x v="6"/>
    <x v="0"/>
    <n v="0"/>
    <x v="3"/>
    <s v="Under 1000"/>
    <x v="1"/>
    <n v="1"/>
  </r>
  <r>
    <x v="208"/>
    <n v="57"/>
    <n v="-48"/>
    <n v="6"/>
    <x v="2"/>
    <x v="12"/>
    <x v="4"/>
    <n v="1"/>
    <x v="0"/>
    <s v="Under 1000"/>
    <x v="1"/>
    <n v="1"/>
  </r>
  <r>
    <x v="264"/>
    <n v="319"/>
    <n v="102"/>
    <n v="6"/>
    <x v="0"/>
    <x v="13"/>
    <x v="2"/>
    <n v="0"/>
    <x v="0"/>
    <s v="Under 1000"/>
    <x v="0"/>
    <n v="1"/>
  </r>
  <r>
    <x v="34"/>
    <n v="315"/>
    <n v="-8"/>
    <n v="3"/>
    <x v="1"/>
    <x v="1"/>
    <x v="2"/>
    <n v="1"/>
    <x v="3"/>
    <s v="Under 1000"/>
    <x v="1"/>
    <n v="1"/>
  </r>
  <r>
    <x v="184"/>
    <n v="314"/>
    <n v="-41"/>
    <n v="3"/>
    <x v="0"/>
    <x v="0"/>
    <x v="2"/>
    <n v="1"/>
    <x v="3"/>
    <s v="Under 1000"/>
    <x v="1"/>
    <n v="1"/>
  </r>
  <r>
    <x v="162"/>
    <n v="311"/>
    <n v="40"/>
    <n v="1"/>
    <x v="0"/>
    <x v="0"/>
    <x v="1"/>
    <n v="0"/>
    <x v="3"/>
    <s v="Under 1000"/>
    <x v="1"/>
    <n v="1"/>
  </r>
  <r>
    <x v="51"/>
    <n v="307"/>
    <n v="74"/>
    <n v="3"/>
    <x v="0"/>
    <x v="13"/>
    <x v="1"/>
    <n v="0"/>
    <x v="3"/>
    <s v="Under 1000"/>
    <x v="1"/>
    <n v="1"/>
  </r>
  <r>
    <x v="155"/>
    <n v="294"/>
    <n v="109"/>
    <n v="7"/>
    <x v="0"/>
    <x v="13"/>
    <x v="1"/>
    <n v="0"/>
    <x v="0"/>
    <s v="Under 1000"/>
    <x v="1"/>
    <n v="1"/>
  </r>
  <r>
    <x v="239"/>
    <n v="216"/>
    <n v="-83"/>
    <n v="3"/>
    <x v="0"/>
    <x v="0"/>
    <x v="0"/>
    <n v="1"/>
    <x v="3"/>
    <s v="Under 1000"/>
    <x v="1"/>
    <n v="1"/>
  </r>
  <r>
    <x v="258"/>
    <n v="58"/>
    <n v="-42"/>
    <n v="2"/>
    <x v="1"/>
    <x v="1"/>
    <x v="4"/>
    <n v="1"/>
    <x v="3"/>
    <s v="Under 1000"/>
    <x v="1"/>
    <n v="1"/>
  </r>
  <r>
    <x v="45"/>
    <n v="48"/>
    <n v="20"/>
    <n v="4"/>
    <x v="2"/>
    <x v="11"/>
    <x v="3"/>
    <n v="0"/>
    <x v="0"/>
    <s v="Under 1000"/>
    <x v="1"/>
    <n v="1"/>
  </r>
  <r>
    <x v="2"/>
    <n v="54"/>
    <n v="14"/>
    <n v="3"/>
    <x v="2"/>
    <x v="14"/>
    <x v="3"/>
    <n v="0"/>
    <x v="3"/>
    <s v="Under 1000"/>
    <x v="1"/>
    <n v="1"/>
  </r>
  <r>
    <x v="58"/>
    <n v="216"/>
    <n v="50"/>
    <n v="4"/>
    <x v="2"/>
    <x v="11"/>
    <x v="0"/>
    <n v="0"/>
    <x v="0"/>
    <s v="Under 1000"/>
    <x v="1"/>
    <n v="1"/>
  </r>
  <r>
    <x v="260"/>
    <n v="215"/>
    <n v="-30"/>
    <n v="2"/>
    <x v="2"/>
    <x v="6"/>
    <x v="0"/>
    <n v="1"/>
    <x v="3"/>
    <s v="Under 1000"/>
    <x v="1"/>
    <n v="1"/>
  </r>
  <r>
    <x v="265"/>
    <n v="43"/>
    <n v="8"/>
    <n v="3"/>
    <x v="2"/>
    <x v="12"/>
    <x v="0"/>
    <n v="0"/>
    <x v="3"/>
    <s v="Under 1000"/>
    <x v="0"/>
    <n v="1"/>
  </r>
  <r>
    <x v="21"/>
    <n v="136"/>
    <n v="-33"/>
    <n v="5"/>
    <x v="2"/>
    <x v="6"/>
    <x v="0"/>
    <n v="1"/>
    <x v="0"/>
    <s v="Under 1000"/>
    <x v="1"/>
    <n v="1"/>
  </r>
  <r>
    <x v="266"/>
    <n v="59"/>
    <n v="-30"/>
    <n v="3"/>
    <x v="2"/>
    <x v="12"/>
    <x v="4"/>
    <n v="1"/>
    <x v="3"/>
    <s v="Under 1000"/>
    <x v="0"/>
    <n v="1"/>
  </r>
  <r>
    <x v="1"/>
    <n v="213"/>
    <n v="4"/>
    <n v="14"/>
    <x v="2"/>
    <x v="16"/>
    <x v="0"/>
    <n v="0"/>
    <x v="1"/>
    <s v="Under 1000"/>
    <x v="1"/>
    <n v="1"/>
  </r>
  <r>
    <x v="253"/>
    <n v="59"/>
    <n v="21"/>
    <n v="2"/>
    <x v="2"/>
    <x v="11"/>
    <x v="4"/>
    <n v="0"/>
    <x v="3"/>
    <s v="Under 1000"/>
    <x v="1"/>
    <n v="1"/>
  </r>
  <r>
    <x v="267"/>
    <n v="55"/>
    <n v="3"/>
    <n v="3"/>
    <x v="2"/>
    <x v="14"/>
    <x v="0"/>
    <n v="0"/>
    <x v="3"/>
    <s v="Under 1000"/>
    <x v="0"/>
    <n v="1"/>
  </r>
  <r>
    <x v="2"/>
    <n v="294"/>
    <n v="62"/>
    <n v="9"/>
    <x v="2"/>
    <x v="14"/>
    <x v="1"/>
    <n v="0"/>
    <x v="2"/>
    <s v="Under 1000"/>
    <x v="1"/>
    <n v="1"/>
  </r>
  <r>
    <x v="59"/>
    <n v="210"/>
    <n v="62"/>
    <n v="2"/>
    <x v="0"/>
    <x v="4"/>
    <x v="0"/>
    <n v="0"/>
    <x v="3"/>
    <s v="Under 1000"/>
    <x v="1"/>
    <n v="1"/>
  </r>
  <r>
    <x v="206"/>
    <n v="59"/>
    <n v="24"/>
    <n v="6"/>
    <x v="2"/>
    <x v="8"/>
    <x v="4"/>
    <n v="0"/>
    <x v="0"/>
    <s v="Under 1000"/>
    <x v="1"/>
    <n v="1"/>
  </r>
  <r>
    <x v="15"/>
    <n v="396"/>
    <n v="-31"/>
    <n v="9"/>
    <x v="2"/>
    <x v="6"/>
    <x v="0"/>
    <n v="1"/>
    <x v="2"/>
    <s v="Under 1000"/>
    <x v="1"/>
    <n v="1"/>
  </r>
  <r>
    <x v="268"/>
    <n v="284"/>
    <n v="45"/>
    <n v="2"/>
    <x v="1"/>
    <x v="2"/>
    <x v="1"/>
    <n v="0"/>
    <x v="3"/>
    <s v="Under 1000"/>
    <x v="0"/>
    <n v="1"/>
  </r>
  <r>
    <x v="269"/>
    <n v="276"/>
    <n v="52"/>
    <n v="5"/>
    <x v="2"/>
    <x v="6"/>
    <x v="1"/>
    <n v="0"/>
    <x v="0"/>
    <s v="Under 1000"/>
    <x v="0"/>
    <n v="1"/>
  </r>
  <r>
    <x v="227"/>
    <n v="23"/>
    <n v="2"/>
    <n v="2"/>
    <x v="2"/>
    <x v="9"/>
    <x v="3"/>
    <n v="0"/>
    <x v="3"/>
    <s v="Under 1000"/>
    <x v="1"/>
    <n v="1"/>
  </r>
  <r>
    <x v="270"/>
    <n v="209"/>
    <n v="-63"/>
    <n v="4"/>
    <x v="0"/>
    <x v="0"/>
    <x v="0"/>
    <n v="1"/>
    <x v="0"/>
    <s v="Under 1000"/>
    <x v="0"/>
    <n v="1"/>
  </r>
  <r>
    <x v="271"/>
    <n v="50"/>
    <n v="-28"/>
    <n v="5"/>
    <x v="1"/>
    <x v="15"/>
    <x v="0"/>
    <n v="1"/>
    <x v="0"/>
    <s v="Under 1000"/>
    <x v="0"/>
    <n v="1"/>
  </r>
  <r>
    <x v="272"/>
    <n v="57"/>
    <n v="27"/>
    <n v="2"/>
    <x v="2"/>
    <x v="16"/>
    <x v="0"/>
    <n v="0"/>
    <x v="3"/>
    <s v="Under 1000"/>
    <x v="0"/>
    <n v="1"/>
  </r>
  <r>
    <x v="273"/>
    <n v="276"/>
    <n v="-21"/>
    <n v="2"/>
    <x v="0"/>
    <x v="4"/>
    <x v="1"/>
    <n v="1"/>
    <x v="3"/>
    <s v="Under 1000"/>
    <x v="0"/>
    <n v="1"/>
  </r>
  <r>
    <x v="274"/>
    <n v="268"/>
    <n v="6"/>
    <n v="2"/>
    <x v="1"/>
    <x v="2"/>
    <x v="3"/>
    <n v="0"/>
    <x v="3"/>
    <s v="Under 1000"/>
    <x v="0"/>
    <n v="1"/>
  </r>
  <r>
    <x v="104"/>
    <n v="269"/>
    <n v="111"/>
    <n v="3"/>
    <x v="2"/>
    <x v="5"/>
    <x v="1"/>
    <n v="0"/>
    <x v="3"/>
    <s v="Under 1000"/>
    <x v="1"/>
    <n v="1"/>
  </r>
  <r>
    <x v="75"/>
    <n v="209"/>
    <n v="2"/>
    <n v="1"/>
    <x v="2"/>
    <x v="6"/>
    <x v="0"/>
    <n v="0"/>
    <x v="3"/>
    <s v="Under 1000"/>
    <x v="1"/>
    <n v="1"/>
  </r>
  <r>
    <x v="275"/>
    <n v="60"/>
    <n v="-12"/>
    <n v="4"/>
    <x v="2"/>
    <x v="7"/>
    <x v="4"/>
    <n v="1"/>
    <x v="0"/>
    <s v="Under 1000"/>
    <x v="0"/>
    <n v="1"/>
  </r>
  <r>
    <x v="173"/>
    <n v="269"/>
    <n v="-86"/>
    <n v="2"/>
    <x v="0"/>
    <x v="0"/>
    <x v="1"/>
    <n v="1"/>
    <x v="3"/>
    <s v="Under 1000"/>
    <x v="1"/>
    <n v="1"/>
  </r>
  <r>
    <x v="110"/>
    <n v="208"/>
    <n v="-25"/>
    <n v="2"/>
    <x v="2"/>
    <x v="6"/>
    <x v="0"/>
    <n v="1"/>
    <x v="3"/>
    <s v="Under 1000"/>
    <x v="1"/>
    <n v="1"/>
  </r>
  <r>
    <x v="167"/>
    <n v="27"/>
    <n v="2"/>
    <n v="2"/>
    <x v="2"/>
    <x v="12"/>
    <x v="3"/>
    <n v="0"/>
    <x v="3"/>
    <s v="Under 1000"/>
    <x v="1"/>
    <n v="1"/>
  </r>
  <r>
    <x v="276"/>
    <n v="206"/>
    <n v="-206"/>
    <n v="3"/>
    <x v="2"/>
    <x v="6"/>
    <x v="0"/>
    <n v="1"/>
    <x v="3"/>
    <s v="Under 1000"/>
    <x v="0"/>
    <n v="1"/>
  </r>
  <r>
    <x v="277"/>
    <n v="61"/>
    <n v="8"/>
    <n v="4"/>
    <x v="2"/>
    <x v="7"/>
    <x v="4"/>
    <n v="0"/>
    <x v="0"/>
    <s v="Under 1000"/>
    <x v="0"/>
    <n v="1"/>
  </r>
  <r>
    <x v="110"/>
    <n v="212"/>
    <n v="-24"/>
    <n v="2"/>
    <x v="1"/>
    <x v="1"/>
    <x v="0"/>
    <n v="1"/>
    <x v="3"/>
    <s v="Under 1000"/>
    <x v="1"/>
    <n v="1"/>
  </r>
  <r>
    <x v="218"/>
    <n v="262"/>
    <n v="64"/>
    <n v="6"/>
    <x v="2"/>
    <x v="6"/>
    <x v="1"/>
    <n v="0"/>
    <x v="0"/>
    <s v="Under 1000"/>
    <x v="1"/>
    <n v="1"/>
  </r>
  <r>
    <x v="13"/>
    <n v="204"/>
    <n v="276"/>
    <n v="3"/>
    <x v="1"/>
    <x v="2"/>
    <x v="0"/>
    <n v="0"/>
    <x v="3"/>
    <s v="Under 1000"/>
    <x v="1"/>
    <n v="0"/>
  </r>
  <r>
    <x v="67"/>
    <n v="59"/>
    <n v="-46"/>
    <n v="7"/>
    <x v="2"/>
    <x v="14"/>
    <x v="3"/>
    <n v="1"/>
    <x v="0"/>
    <s v="Under 1000"/>
    <x v="1"/>
    <n v="1"/>
  </r>
  <r>
    <x v="110"/>
    <n v="199"/>
    <n v="-18"/>
    <n v="2"/>
    <x v="2"/>
    <x v="6"/>
    <x v="0"/>
    <n v="1"/>
    <x v="3"/>
    <s v="Under 1000"/>
    <x v="1"/>
    <n v="1"/>
  </r>
  <r>
    <x v="278"/>
    <n v="59"/>
    <n v="6"/>
    <n v="1"/>
    <x v="0"/>
    <x v="13"/>
    <x v="3"/>
    <n v="0"/>
    <x v="3"/>
    <s v="Under 1000"/>
    <x v="0"/>
    <n v="1"/>
  </r>
  <r>
    <x v="211"/>
    <n v="45"/>
    <n v="9"/>
    <n v="3"/>
    <x v="2"/>
    <x v="12"/>
    <x v="3"/>
    <n v="0"/>
    <x v="3"/>
    <s v="Under 1000"/>
    <x v="1"/>
    <n v="1"/>
  </r>
  <r>
    <x v="74"/>
    <n v="211"/>
    <n v="19"/>
    <n v="8"/>
    <x v="2"/>
    <x v="11"/>
    <x v="0"/>
    <n v="0"/>
    <x v="2"/>
    <s v="Under 1000"/>
    <x v="1"/>
    <n v="1"/>
  </r>
  <r>
    <x v="150"/>
    <n v="65"/>
    <n v="-16"/>
    <n v="2"/>
    <x v="0"/>
    <x v="4"/>
    <x v="4"/>
    <n v="1"/>
    <x v="3"/>
    <s v="Under 1000"/>
    <x v="1"/>
    <n v="1"/>
  </r>
  <r>
    <x v="36"/>
    <n v="25"/>
    <n v="0"/>
    <n v="4"/>
    <x v="2"/>
    <x v="9"/>
    <x v="3"/>
    <n v="0"/>
    <x v="0"/>
    <s v="Under 1000"/>
    <x v="1"/>
    <n v="1"/>
  </r>
  <r>
    <x v="279"/>
    <n v="196"/>
    <n v="-7"/>
    <n v="5"/>
    <x v="0"/>
    <x v="4"/>
    <x v="0"/>
    <n v="1"/>
    <x v="0"/>
    <s v="Under 1000"/>
    <x v="0"/>
    <n v="1"/>
  </r>
  <r>
    <x v="21"/>
    <n v="261"/>
    <n v="13"/>
    <n v="6"/>
    <x v="2"/>
    <x v="16"/>
    <x v="2"/>
    <n v="0"/>
    <x v="0"/>
    <s v="Under 1000"/>
    <x v="1"/>
    <n v="1"/>
  </r>
  <r>
    <x v="87"/>
    <n v="195"/>
    <n v="-117"/>
    <n v="5"/>
    <x v="0"/>
    <x v="4"/>
    <x v="0"/>
    <n v="1"/>
    <x v="0"/>
    <s v="Under 1000"/>
    <x v="1"/>
    <n v="1"/>
  </r>
  <r>
    <x v="134"/>
    <n v="192"/>
    <n v="-146"/>
    <n v="3"/>
    <x v="2"/>
    <x v="6"/>
    <x v="0"/>
    <n v="1"/>
    <x v="3"/>
    <s v="Under 1000"/>
    <x v="1"/>
    <n v="1"/>
  </r>
  <r>
    <x v="280"/>
    <n v="189"/>
    <n v="87"/>
    <n v="7"/>
    <x v="2"/>
    <x v="11"/>
    <x v="0"/>
    <n v="0"/>
    <x v="0"/>
    <s v="Under 1000"/>
    <x v="0"/>
    <n v="1"/>
  </r>
  <r>
    <x v="125"/>
    <n v="32"/>
    <n v="2"/>
    <n v="2"/>
    <x v="2"/>
    <x v="8"/>
    <x v="3"/>
    <n v="0"/>
    <x v="3"/>
    <s v="Under 1000"/>
    <x v="1"/>
    <n v="1"/>
  </r>
  <r>
    <x v="42"/>
    <n v="188"/>
    <n v="13"/>
    <n v="7"/>
    <x v="2"/>
    <x v="16"/>
    <x v="0"/>
    <n v="0"/>
    <x v="0"/>
    <s v="Under 1000"/>
    <x v="1"/>
    <n v="1"/>
  </r>
  <r>
    <x v="281"/>
    <n v="73"/>
    <n v="-25"/>
    <n v="3"/>
    <x v="2"/>
    <x v="6"/>
    <x v="0"/>
    <n v="1"/>
    <x v="3"/>
    <s v="Under 1000"/>
    <x v="0"/>
    <n v="1"/>
  </r>
  <r>
    <x v="20"/>
    <n v="259"/>
    <n v="47"/>
    <n v="5"/>
    <x v="2"/>
    <x v="7"/>
    <x v="2"/>
    <n v="0"/>
    <x v="0"/>
    <s v="Under 1000"/>
    <x v="1"/>
    <n v="1"/>
  </r>
  <r>
    <x v="282"/>
    <n v="187"/>
    <n v="-15"/>
    <n v="3"/>
    <x v="2"/>
    <x v="5"/>
    <x v="0"/>
    <n v="1"/>
    <x v="3"/>
    <s v="Under 1000"/>
    <x v="0"/>
    <n v="1"/>
  </r>
  <r>
    <x v="18"/>
    <n v="26"/>
    <n v="11"/>
    <n v="2"/>
    <x v="2"/>
    <x v="7"/>
    <x v="3"/>
    <n v="0"/>
    <x v="3"/>
    <s v="Under 1000"/>
    <x v="1"/>
    <n v="1"/>
  </r>
  <r>
    <x v="35"/>
    <n v="185"/>
    <n v="-26"/>
    <n v="6"/>
    <x v="1"/>
    <x v="1"/>
    <x v="0"/>
    <n v="1"/>
    <x v="0"/>
    <s v="Under 1000"/>
    <x v="1"/>
    <n v="1"/>
  </r>
  <r>
    <x v="283"/>
    <n v="248"/>
    <n v="8"/>
    <n v="2"/>
    <x v="2"/>
    <x v="6"/>
    <x v="2"/>
    <n v="0"/>
    <x v="3"/>
    <s v="Under 1000"/>
    <x v="0"/>
    <n v="1"/>
  </r>
  <r>
    <x v="284"/>
    <n v="67"/>
    <n v="9"/>
    <n v="4"/>
    <x v="2"/>
    <x v="12"/>
    <x v="4"/>
    <n v="0"/>
    <x v="0"/>
    <s v="Under 1000"/>
    <x v="0"/>
    <n v="1"/>
  </r>
  <r>
    <x v="257"/>
    <n v="248"/>
    <n v="-70"/>
    <n v="3"/>
    <x v="1"/>
    <x v="1"/>
    <x v="2"/>
    <n v="1"/>
    <x v="3"/>
    <s v="Under 1000"/>
    <x v="1"/>
    <n v="1"/>
  </r>
  <r>
    <x v="218"/>
    <n v="246"/>
    <n v="61"/>
    <n v="2"/>
    <x v="1"/>
    <x v="2"/>
    <x v="2"/>
    <n v="0"/>
    <x v="3"/>
    <s v="Under 1000"/>
    <x v="1"/>
    <n v="1"/>
  </r>
  <r>
    <x v="285"/>
    <n v="179"/>
    <n v="-25"/>
    <n v="5"/>
    <x v="2"/>
    <x v="8"/>
    <x v="0"/>
    <n v="1"/>
    <x v="0"/>
    <s v="Under 1000"/>
    <x v="0"/>
    <n v="1"/>
  </r>
  <r>
    <x v="286"/>
    <n v="176"/>
    <n v="-28"/>
    <n v="5"/>
    <x v="1"/>
    <x v="15"/>
    <x v="0"/>
    <n v="1"/>
    <x v="0"/>
    <s v="Under 1000"/>
    <x v="0"/>
    <n v="1"/>
  </r>
  <r>
    <x v="267"/>
    <n v="176"/>
    <n v="-13"/>
    <n v="5"/>
    <x v="1"/>
    <x v="15"/>
    <x v="0"/>
    <n v="1"/>
    <x v="0"/>
    <s v="Under 1000"/>
    <x v="1"/>
    <n v="1"/>
  </r>
  <r>
    <x v="50"/>
    <n v="68"/>
    <n v="-62"/>
    <n v="2"/>
    <x v="2"/>
    <x v="5"/>
    <x v="4"/>
    <n v="1"/>
    <x v="3"/>
    <s v="Under 1000"/>
    <x v="1"/>
    <n v="1"/>
  </r>
  <r>
    <x v="287"/>
    <n v="176"/>
    <n v="37"/>
    <n v="6"/>
    <x v="0"/>
    <x v="13"/>
    <x v="0"/>
    <n v="0"/>
    <x v="0"/>
    <s v="Under 1000"/>
    <x v="0"/>
    <n v="1"/>
  </r>
  <r>
    <x v="216"/>
    <n v="88"/>
    <n v="11"/>
    <n v="7"/>
    <x v="2"/>
    <x v="7"/>
    <x v="3"/>
    <n v="0"/>
    <x v="0"/>
    <s v="Under 1000"/>
    <x v="1"/>
    <n v="1"/>
  </r>
  <r>
    <x v="288"/>
    <n v="68"/>
    <n v="20"/>
    <n v="5"/>
    <x v="2"/>
    <x v="7"/>
    <x v="4"/>
    <n v="0"/>
    <x v="0"/>
    <s v="Under 1000"/>
    <x v="0"/>
    <n v="1"/>
  </r>
  <r>
    <x v="289"/>
    <n v="231"/>
    <n v="99"/>
    <n v="2"/>
    <x v="0"/>
    <x v="0"/>
    <x v="2"/>
    <n v="0"/>
    <x v="3"/>
    <s v="Under 1000"/>
    <x v="0"/>
    <n v="1"/>
  </r>
  <r>
    <x v="232"/>
    <n v="62"/>
    <n v="8"/>
    <n v="2"/>
    <x v="2"/>
    <x v="14"/>
    <x v="3"/>
    <n v="0"/>
    <x v="3"/>
    <s v="Under 1000"/>
    <x v="1"/>
    <n v="1"/>
  </r>
  <r>
    <x v="190"/>
    <n v="175"/>
    <n v="77"/>
    <n v="3"/>
    <x v="2"/>
    <x v="6"/>
    <x v="0"/>
    <n v="0"/>
    <x v="3"/>
    <s v="Under 1000"/>
    <x v="1"/>
    <n v="1"/>
  </r>
  <r>
    <x v="100"/>
    <n v="71"/>
    <n v="4"/>
    <n v="5"/>
    <x v="2"/>
    <x v="12"/>
    <x v="4"/>
    <n v="0"/>
    <x v="0"/>
    <s v="Under 1000"/>
    <x v="1"/>
    <n v="1"/>
  </r>
  <r>
    <x v="276"/>
    <n v="174"/>
    <n v="-70"/>
    <n v="3"/>
    <x v="0"/>
    <x v="13"/>
    <x v="0"/>
    <n v="1"/>
    <x v="3"/>
    <s v="Under 1000"/>
    <x v="1"/>
    <n v="1"/>
  </r>
  <r>
    <x v="102"/>
    <n v="173"/>
    <n v="69"/>
    <n v="3"/>
    <x v="1"/>
    <x v="1"/>
    <x v="0"/>
    <n v="0"/>
    <x v="3"/>
    <s v="Under 1000"/>
    <x v="1"/>
    <n v="1"/>
  </r>
  <r>
    <x v="85"/>
    <n v="171"/>
    <n v="2"/>
    <n v="2"/>
    <x v="0"/>
    <x v="0"/>
    <x v="0"/>
    <n v="0"/>
    <x v="3"/>
    <s v="Under 1000"/>
    <x v="1"/>
    <n v="1"/>
  </r>
  <r>
    <x v="134"/>
    <n v="268"/>
    <n v="-25"/>
    <n v="3"/>
    <x v="2"/>
    <x v="6"/>
    <x v="0"/>
    <n v="1"/>
    <x v="3"/>
    <s v="Under 1000"/>
    <x v="1"/>
    <n v="1"/>
  </r>
  <r>
    <x v="290"/>
    <n v="71"/>
    <n v="32"/>
    <n v="3"/>
    <x v="2"/>
    <x v="6"/>
    <x v="4"/>
    <n v="0"/>
    <x v="3"/>
    <s v="Under 1000"/>
    <x v="0"/>
    <n v="1"/>
  </r>
  <r>
    <x v="291"/>
    <n v="29"/>
    <n v="10"/>
    <n v="4"/>
    <x v="2"/>
    <x v="7"/>
    <x v="3"/>
    <n v="0"/>
    <x v="0"/>
    <s v="Under 1000"/>
    <x v="0"/>
    <n v="1"/>
  </r>
  <r>
    <x v="292"/>
    <n v="65"/>
    <n v="17"/>
    <n v="2"/>
    <x v="2"/>
    <x v="14"/>
    <x v="3"/>
    <n v="0"/>
    <x v="3"/>
    <s v="Under 1000"/>
    <x v="0"/>
    <n v="1"/>
  </r>
  <r>
    <x v="29"/>
    <n v="72"/>
    <n v="-46"/>
    <n v="7"/>
    <x v="2"/>
    <x v="8"/>
    <x v="4"/>
    <n v="1"/>
    <x v="0"/>
    <s v="Under 1000"/>
    <x v="1"/>
    <n v="1"/>
  </r>
  <r>
    <x v="293"/>
    <n v="168"/>
    <n v="-51"/>
    <n v="2"/>
    <x v="1"/>
    <x v="2"/>
    <x v="0"/>
    <n v="1"/>
    <x v="3"/>
    <s v="Under 1000"/>
    <x v="0"/>
    <n v="1"/>
  </r>
  <r>
    <x v="74"/>
    <n v="165"/>
    <n v="30"/>
    <n v="3"/>
    <x v="2"/>
    <x v="11"/>
    <x v="0"/>
    <n v="0"/>
    <x v="3"/>
    <s v="Under 1000"/>
    <x v="1"/>
    <n v="1"/>
  </r>
  <r>
    <x v="252"/>
    <n v="74"/>
    <n v="-59"/>
    <n v="2"/>
    <x v="0"/>
    <x v="13"/>
    <x v="4"/>
    <n v="1"/>
    <x v="3"/>
    <s v="Under 1000"/>
    <x v="1"/>
    <n v="1"/>
  </r>
  <r>
    <x v="152"/>
    <n v="89"/>
    <n v="17"/>
    <n v="2"/>
    <x v="2"/>
    <x v="11"/>
    <x v="3"/>
    <n v="0"/>
    <x v="3"/>
    <s v="Under 1000"/>
    <x v="1"/>
    <n v="1"/>
  </r>
  <r>
    <x v="207"/>
    <n v="228"/>
    <n v="63"/>
    <n v="3"/>
    <x v="0"/>
    <x v="0"/>
    <x v="2"/>
    <n v="0"/>
    <x v="3"/>
    <s v="Under 1000"/>
    <x v="1"/>
    <n v="1"/>
  </r>
  <r>
    <x v="64"/>
    <n v="119"/>
    <n v="-24"/>
    <n v="4"/>
    <x v="1"/>
    <x v="15"/>
    <x v="0"/>
    <n v="1"/>
    <x v="0"/>
    <s v="Under 1000"/>
    <x v="1"/>
    <n v="1"/>
  </r>
  <r>
    <x v="118"/>
    <n v="75"/>
    <n v="-25"/>
    <n v="3"/>
    <x v="2"/>
    <x v="11"/>
    <x v="3"/>
    <n v="1"/>
    <x v="3"/>
    <s v="Under 1000"/>
    <x v="1"/>
    <n v="1"/>
  </r>
  <r>
    <x v="101"/>
    <n v="67"/>
    <n v="20"/>
    <n v="4"/>
    <x v="2"/>
    <x v="14"/>
    <x v="3"/>
    <n v="0"/>
    <x v="0"/>
    <s v="Under 1000"/>
    <x v="1"/>
    <n v="1"/>
  </r>
  <r>
    <x v="89"/>
    <n v="7"/>
    <n v="0"/>
    <n v="1"/>
    <x v="2"/>
    <x v="12"/>
    <x v="0"/>
    <n v="0"/>
    <x v="3"/>
    <s v="Under 1000"/>
    <x v="1"/>
    <n v="1"/>
  </r>
  <r>
    <x v="148"/>
    <n v="222"/>
    <n v="35"/>
    <n v="5"/>
    <x v="2"/>
    <x v="6"/>
    <x v="2"/>
    <n v="0"/>
    <x v="0"/>
    <s v="Under 1000"/>
    <x v="1"/>
    <n v="1"/>
  </r>
  <r>
    <x v="204"/>
    <n v="219"/>
    <n v="-9"/>
    <n v="4"/>
    <x v="2"/>
    <x v="6"/>
    <x v="2"/>
    <n v="1"/>
    <x v="0"/>
    <s v="Under 1000"/>
    <x v="1"/>
    <n v="1"/>
  </r>
  <r>
    <x v="10"/>
    <n v="42"/>
    <n v="-23"/>
    <n v="2"/>
    <x v="1"/>
    <x v="15"/>
    <x v="3"/>
    <n v="1"/>
    <x v="3"/>
    <s v="Under 1000"/>
    <x v="1"/>
    <n v="1"/>
  </r>
  <r>
    <x v="66"/>
    <n v="216"/>
    <n v="-135"/>
    <n v="3"/>
    <x v="1"/>
    <x v="1"/>
    <x v="2"/>
    <n v="1"/>
    <x v="3"/>
    <s v="Under 1000"/>
    <x v="1"/>
    <n v="1"/>
  </r>
  <r>
    <x v="294"/>
    <n v="47"/>
    <n v="-21"/>
    <n v="2"/>
    <x v="0"/>
    <x v="0"/>
    <x v="0"/>
    <n v="1"/>
    <x v="3"/>
    <s v="Under 1000"/>
    <x v="0"/>
    <n v="1"/>
  </r>
  <r>
    <x v="233"/>
    <n v="68"/>
    <n v="-55"/>
    <n v="5"/>
    <x v="0"/>
    <x v="13"/>
    <x v="3"/>
    <n v="1"/>
    <x v="0"/>
    <s v="Under 1000"/>
    <x v="1"/>
    <n v="1"/>
  </r>
  <r>
    <x v="103"/>
    <n v="74"/>
    <n v="33"/>
    <n v="2"/>
    <x v="2"/>
    <x v="16"/>
    <x v="4"/>
    <n v="0"/>
    <x v="3"/>
    <s v="Under 1000"/>
    <x v="1"/>
    <n v="1"/>
  </r>
  <r>
    <x v="109"/>
    <n v="165"/>
    <n v="46"/>
    <n v="3"/>
    <x v="1"/>
    <x v="15"/>
    <x v="0"/>
    <n v="0"/>
    <x v="3"/>
    <s v="Under 1000"/>
    <x v="1"/>
    <n v="1"/>
  </r>
  <r>
    <x v="179"/>
    <n v="101"/>
    <n v="11"/>
    <n v="2"/>
    <x v="2"/>
    <x v="7"/>
    <x v="3"/>
    <n v="0"/>
    <x v="3"/>
    <s v="Under 1000"/>
    <x v="1"/>
    <n v="1"/>
  </r>
  <r>
    <x v="295"/>
    <n v="162"/>
    <n v="73"/>
    <n v="2"/>
    <x v="0"/>
    <x v="0"/>
    <x v="0"/>
    <n v="0"/>
    <x v="3"/>
    <s v="Under 1000"/>
    <x v="0"/>
    <n v="1"/>
  </r>
  <r>
    <x v="247"/>
    <n v="20"/>
    <n v="-22"/>
    <n v="1"/>
    <x v="1"/>
    <x v="15"/>
    <x v="3"/>
    <n v="1"/>
    <x v="3"/>
    <s v="Under 1000"/>
    <x v="1"/>
    <n v="1"/>
  </r>
  <r>
    <x v="135"/>
    <n v="162"/>
    <n v="55"/>
    <n v="3"/>
    <x v="2"/>
    <x v="11"/>
    <x v="0"/>
    <n v="0"/>
    <x v="3"/>
    <s v="Under 1000"/>
    <x v="1"/>
    <n v="1"/>
  </r>
  <r>
    <x v="173"/>
    <n v="229"/>
    <n v="-23"/>
    <n v="2"/>
    <x v="2"/>
    <x v="6"/>
    <x v="3"/>
    <n v="1"/>
    <x v="3"/>
    <s v="Under 1000"/>
    <x v="1"/>
    <n v="1"/>
  </r>
  <r>
    <x v="296"/>
    <n v="27"/>
    <n v="0"/>
    <n v="2"/>
    <x v="2"/>
    <x v="12"/>
    <x v="0"/>
    <n v="0"/>
    <x v="3"/>
    <s v="Under 1000"/>
    <x v="0"/>
    <n v="1"/>
  </r>
  <r>
    <x v="20"/>
    <n v="685"/>
    <n v="7"/>
    <n v="7"/>
    <x v="2"/>
    <x v="5"/>
    <x v="3"/>
    <n v="0"/>
    <x v="0"/>
    <s v="Under 1000"/>
    <x v="1"/>
    <n v="1"/>
  </r>
  <r>
    <x v="196"/>
    <n v="75"/>
    <n v="2"/>
    <n v="5"/>
    <x v="2"/>
    <x v="12"/>
    <x v="4"/>
    <n v="0"/>
    <x v="0"/>
    <s v="Under 1000"/>
    <x v="1"/>
    <n v="1"/>
  </r>
  <r>
    <x v="191"/>
    <n v="161"/>
    <n v="-229"/>
    <n v="8"/>
    <x v="1"/>
    <x v="15"/>
    <x v="0"/>
    <n v="1"/>
    <x v="2"/>
    <s v="Under 1000"/>
    <x v="1"/>
    <n v="1"/>
  </r>
  <r>
    <x v="269"/>
    <n v="71"/>
    <n v="19"/>
    <n v="3"/>
    <x v="2"/>
    <x v="14"/>
    <x v="0"/>
    <n v="0"/>
    <x v="3"/>
    <s v="Under 1000"/>
    <x v="1"/>
    <n v="1"/>
  </r>
  <r>
    <x v="104"/>
    <n v="211"/>
    <n v="-105"/>
    <n v="2"/>
    <x v="2"/>
    <x v="6"/>
    <x v="2"/>
    <n v="1"/>
    <x v="3"/>
    <s v="Under 1000"/>
    <x v="1"/>
    <n v="1"/>
  </r>
  <r>
    <x v="297"/>
    <n v="79"/>
    <n v="5"/>
    <n v="6"/>
    <x v="2"/>
    <x v="7"/>
    <x v="4"/>
    <n v="0"/>
    <x v="0"/>
    <s v="Under 1000"/>
    <x v="0"/>
    <n v="1"/>
  </r>
  <r>
    <x v="111"/>
    <n v="32"/>
    <n v="-22"/>
    <n v="5"/>
    <x v="2"/>
    <x v="6"/>
    <x v="3"/>
    <n v="1"/>
    <x v="0"/>
    <s v="Under 1000"/>
    <x v="1"/>
    <n v="1"/>
  </r>
  <r>
    <x v="298"/>
    <n v="161"/>
    <n v="40"/>
    <n v="3"/>
    <x v="2"/>
    <x v="11"/>
    <x v="0"/>
    <n v="0"/>
    <x v="3"/>
    <s v="Under 1000"/>
    <x v="0"/>
    <n v="1"/>
  </r>
  <r>
    <x v="89"/>
    <n v="159"/>
    <n v="4"/>
    <n v="1"/>
    <x v="2"/>
    <x v="6"/>
    <x v="0"/>
    <n v="0"/>
    <x v="3"/>
    <s v="Under 1000"/>
    <x v="1"/>
    <n v="1"/>
  </r>
  <r>
    <x v="113"/>
    <n v="210"/>
    <n v="-50"/>
    <n v="4"/>
    <x v="2"/>
    <x v="7"/>
    <x v="2"/>
    <n v="1"/>
    <x v="0"/>
    <s v="Under 1000"/>
    <x v="1"/>
    <n v="1"/>
  </r>
  <r>
    <x v="193"/>
    <n v="79"/>
    <n v="39"/>
    <n v="2"/>
    <x v="2"/>
    <x v="16"/>
    <x v="4"/>
    <n v="0"/>
    <x v="3"/>
    <s v="Under 1000"/>
    <x v="1"/>
    <n v="1"/>
  </r>
  <r>
    <x v="150"/>
    <n v="207"/>
    <n v="153"/>
    <n v="3"/>
    <x v="2"/>
    <x v="6"/>
    <x v="2"/>
    <n v="0"/>
    <x v="3"/>
    <s v="Under 1000"/>
    <x v="1"/>
    <n v="1"/>
  </r>
  <r>
    <x v="166"/>
    <n v="36"/>
    <n v="0"/>
    <n v="4"/>
    <x v="2"/>
    <x v="8"/>
    <x v="0"/>
    <n v="0"/>
    <x v="0"/>
    <s v="Under 1000"/>
    <x v="1"/>
    <n v="1"/>
  </r>
  <r>
    <x v="76"/>
    <n v="206"/>
    <n v="12"/>
    <n v="1"/>
    <x v="0"/>
    <x v="3"/>
    <x v="2"/>
    <n v="0"/>
    <x v="3"/>
    <s v="Under 1000"/>
    <x v="1"/>
    <n v="1"/>
  </r>
  <r>
    <x v="109"/>
    <n v="46"/>
    <n v="0"/>
    <n v="4"/>
    <x v="2"/>
    <x v="12"/>
    <x v="0"/>
    <n v="0"/>
    <x v="0"/>
    <s v="Under 1000"/>
    <x v="1"/>
    <n v="1"/>
  </r>
  <r>
    <x v="241"/>
    <n v="156"/>
    <n v="23"/>
    <n v="3"/>
    <x v="2"/>
    <x v="11"/>
    <x v="0"/>
    <n v="0"/>
    <x v="3"/>
    <s v="Under 1000"/>
    <x v="1"/>
    <n v="1"/>
  </r>
  <r>
    <x v="254"/>
    <n v="154"/>
    <n v="54"/>
    <n v="3"/>
    <x v="2"/>
    <x v="7"/>
    <x v="0"/>
    <n v="0"/>
    <x v="3"/>
    <s v="Under 1000"/>
    <x v="1"/>
    <n v="1"/>
  </r>
  <r>
    <x v="299"/>
    <n v="36"/>
    <n v="15"/>
    <n v="3"/>
    <x v="2"/>
    <x v="11"/>
    <x v="3"/>
    <n v="0"/>
    <x v="3"/>
    <s v="Under 1000"/>
    <x v="0"/>
    <n v="1"/>
  </r>
  <r>
    <x v="300"/>
    <n v="206"/>
    <n v="51"/>
    <n v="4"/>
    <x v="2"/>
    <x v="7"/>
    <x v="2"/>
    <n v="0"/>
    <x v="0"/>
    <s v="Under 1000"/>
    <x v="0"/>
    <n v="1"/>
  </r>
  <r>
    <x v="301"/>
    <n v="200"/>
    <n v="7"/>
    <n v="4"/>
    <x v="0"/>
    <x v="0"/>
    <x v="2"/>
    <n v="0"/>
    <x v="0"/>
    <s v="Under 1000"/>
    <x v="0"/>
    <n v="1"/>
  </r>
  <r>
    <x v="300"/>
    <n v="199"/>
    <n v="-1"/>
    <n v="1"/>
    <x v="2"/>
    <x v="6"/>
    <x v="2"/>
    <n v="1"/>
    <x v="3"/>
    <s v="Under 1000"/>
    <x v="1"/>
    <n v="1"/>
  </r>
  <r>
    <x v="256"/>
    <n v="154"/>
    <n v="22"/>
    <n v="7"/>
    <x v="2"/>
    <x v="14"/>
    <x v="0"/>
    <n v="0"/>
    <x v="0"/>
    <s v="Under 1000"/>
    <x v="1"/>
    <n v="1"/>
  </r>
  <r>
    <x v="302"/>
    <n v="152"/>
    <n v="23"/>
    <n v="3"/>
    <x v="1"/>
    <x v="15"/>
    <x v="0"/>
    <n v="0"/>
    <x v="3"/>
    <s v="Under 1000"/>
    <x v="0"/>
    <n v="1"/>
  </r>
  <r>
    <x v="303"/>
    <n v="152"/>
    <n v="50"/>
    <n v="6"/>
    <x v="2"/>
    <x v="11"/>
    <x v="0"/>
    <n v="0"/>
    <x v="0"/>
    <s v="Under 1000"/>
    <x v="0"/>
    <n v="1"/>
  </r>
  <r>
    <x v="173"/>
    <n v="122"/>
    <n v="-21"/>
    <n v="3"/>
    <x v="1"/>
    <x v="15"/>
    <x v="3"/>
    <n v="1"/>
    <x v="3"/>
    <s v="Under 1000"/>
    <x v="1"/>
    <n v="1"/>
  </r>
  <r>
    <x v="202"/>
    <n v="149"/>
    <n v="48"/>
    <n v="6"/>
    <x v="2"/>
    <x v="11"/>
    <x v="0"/>
    <n v="0"/>
    <x v="0"/>
    <s v="Under 1000"/>
    <x v="1"/>
    <n v="1"/>
  </r>
  <r>
    <x v="304"/>
    <n v="149"/>
    <n v="-87"/>
    <n v="4"/>
    <x v="2"/>
    <x v="6"/>
    <x v="0"/>
    <n v="1"/>
    <x v="0"/>
    <s v="Under 1000"/>
    <x v="0"/>
    <n v="1"/>
  </r>
  <r>
    <x v="249"/>
    <n v="197"/>
    <n v="20"/>
    <n v="4"/>
    <x v="2"/>
    <x v="8"/>
    <x v="2"/>
    <n v="0"/>
    <x v="0"/>
    <s v="Under 1000"/>
    <x v="1"/>
    <n v="1"/>
  </r>
  <r>
    <x v="39"/>
    <n v="76"/>
    <n v="-54"/>
    <n v="3"/>
    <x v="0"/>
    <x v="0"/>
    <x v="0"/>
    <n v="1"/>
    <x v="3"/>
    <s v="Under 1000"/>
    <x v="1"/>
    <n v="1"/>
  </r>
  <r>
    <x v="230"/>
    <n v="221"/>
    <n v="-15"/>
    <n v="2"/>
    <x v="0"/>
    <x v="0"/>
    <x v="0"/>
    <n v="1"/>
    <x v="3"/>
    <s v="Under 1000"/>
    <x v="1"/>
    <n v="1"/>
  </r>
  <r>
    <x v="198"/>
    <n v="79"/>
    <n v="32"/>
    <n v="3"/>
    <x v="2"/>
    <x v="6"/>
    <x v="4"/>
    <n v="0"/>
    <x v="3"/>
    <s v="Under 1000"/>
    <x v="1"/>
    <n v="1"/>
  </r>
  <r>
    <x v="305"/>
    <n v="45"/>
    <n v="12"/>
    <n v="7"/>
    <x v="2"/>
    <x v="7"/>
    <x v="3"/>
    <n v="0"/>
    <x v="0"/>
    <s v="Under 1000"/>
    <x v="0"/>
    <n v="1"/>
  </r>
  <r>
    <x v="189"/>
    <n v="149"/>
    <n v="-1"/>
    <n v="1"/>
    <x v="2"/>
    <x v="6"/>
    <x v="0"/>
    <n v="1"/>
    <x v="3"/>
    <s v="Under 1000"/>
    <x v="1"/>
    <n v="1"/>
  </r>
  <r>
    <x v="269"/>
    <n v="80"/>
    <n v="22"/>
    <n v="3"/>
    <x v="2"/>
    <x v="11"/>
    <x v="4"/>
    <n v="0"/>
    <x v="3"/>
    <s v="Under 1000"/>
    <x v="1"/>
    <n v="1"/>
  </r>
  <r>
    <x v="224"/>
    <n v="195"/>
    <n v="12"/>
    <n v="9"/>
    <x v="2"/>
    <x v="16"/>
    <x v="2"/>
    <n v="0"/>
    <x v="2"/>
    <s v="Under 1000"/>
    <x v="1"/>
    <n v="1"/>
  </r>
  <r>
    <x v="29"/>
    <n v="19"/>
    <n v="0"/>
    <n v="3"/>
    <x v="2"/>
    <x v="9"/>
    <x v="3"/>
    <n v="0"/>
    <x v="3"/>
    <s v="Under 1000"/>
    <x v="1"/>
    <n v="1"/>
  </r>
  <r>
    <x v="101"/>
    <n v="81"/>
    <n v="41"/>
    <n v="3"/>
    <x v="2"/>
    <x v="11"/>
    <x v="4"/>
    <n v="0"/>
    <x v="3"/>
    <s v="Under 1000"/>
    <x v="1"/>
    <n v="1"/>
  </r>
  <r>
    <x v="306"/>
    <n v="83"/>
    <n v="34"/>
    <n v="5"/>
    <x v="2"/>
    <x v="16"/>
    <x v="4"/>
    <n v="0"/>
    <x v="0"/>
    <s v="Under 1000"/>
    <x v="0"/>
    <n v="1"/>
  </r>
  <r>
    <x v="24"/>
    <n v="149"/>
    <n v="17"/>
    <n v="4"/>
    <x v="1"/>
    <x v="15"/>
    <x v="0"/>
    <n v="0"/>
    <x v="0"/>
    <s v="Under 1000"/>
    <x v="1"/>
    <n v="1"/>
  </r>
  <r>
    <x v="307"/>
    <n v="193"/>
    <n v="46"/>
    <n v="1"/>
    <x v="0"/>
    <x v="3"/>
    <x v="2"/>
    <n v="0"/>
    <x v="3"/>
    <s v="Under 1000"/>
    <x v="0"/>
    <n v="1"/>
  </r>
  <r>
    <x v="58"/>
    <n v="85"/>
    <n v="24"/>
    <n v="10"/>
    <x v="2"/>
    <x v="7"/>
    <x v="4"/>
    <n v="0"/>
    <x v="2"/>
    <s v="Under 1000"/>
    <x v="1"/>
    <n v="1"/>
  </r>
  <r>
    <x v="189"/>
    <n v="44"/>
    <n v="-17"/>
    <n v="5"/>
    <x v="2"/>
    <x v="6"/>
    <x v="3"/>
    <n v="1"/>
    <x v="0"/>
    <s v="Under 1000"/>
    <x v="1"/>
    <n v="1"/>
  </r>
  <r>
    <x v="308"/>
    <n v="149"/>
    <n v="-40"/>
    <n v="2"/>
    <x v="0"/>
    <x v="4"/>
    <x v="0"/>
    <n v="1"/>
    <x v="3"/>
    <s v="Under 1000"/>
    <x v="0"/>
    <n v="1"/>
  </r>
  <r>
    <x v="309"/>
    <n v="26"/>
    <n v="0"/>
    <n v="2"/>
    <x v="2"/>
    <x v="8"/>
    <x v="0"/>
    <n v="0"/>
    <x v="3"/>
    <s v="Under 1000"/>
    <x v="0"/>
    <n v="1"/>
  </r>
  <r>
    <x v="226"/>
    <n v="86"/>
    <n v="0"/>
    <n v="4"/>
    <x v="2"/>
    <x v="14"/>
    <x v="4"/>
    <n v="0"/>
    <x v="0"/>
    <s v="Under 1000"/>
    <x v="1"/>
    <n v="1"/>
  </r>
  <r>
    <x v="310"/>
    <n v="86"/>
    <n v="22"/>
    <n v="2"/>
    <x v="2"/>
    <x v="6"/>
    <x v="4"/>
    <n v="0"/>
    <x v="3"/>
    <s v="Under 1000"/>
    <x v="0"/>
    <n v="1"/>
  </r>
  <r>
    <x v="34"/>
    <n v="79"/>
    <n v="16"/>
    <n v="3"/>
    <x v="2"/>
    <x v="14"/>
    <x v="0"/>
    <n v="0"/>
    <x v="3"/>
    <s v="Under 1000"/>
    <x v="1"/>
    <n v="1"/>
  </r>
  <r>
    <x v="311"/>
    <n v="193"/>
    <n v="-275"/>
    <n v="3"/>
    <x v="0"/>
    <x v="4"/>
    <x v="2"/>
    <n v="1"/>
    <x v="3"/>
    <s v="Under 1000"/>
    <x v="0"/>
    <n v="1"/>
  </r>
  <r>
    <x v="131"/>
    <n v="148"/>
    <n v="0"/>
    <n v="3"/>
    <x v="2"/>
    <x v="6"/>
    <x v="0"/>
    <n v="0"/>
    <x v="3"/>
    <s v="Under 1000"/>
    <x v="1"/>
    <n v="1"/>
  </r>
  <r>
    <x v="312"/>
    <n v="70"/>
    <n v="-14"/>
    <n v="2"/>
    <x v="1"/>
    <x v="15"/>
    <x v="3"/>
    <n v="1"/>
    <x v="3"/>
    <s v="Under 1000"/>
    <x v="0"/>
    <n v="1"/>
  </r>
  <r>
    <x v="313"/>
    <n v="148"/>
    <n v="59"/>
    <n v="3"/>
    <x v="2"/>
    <x v="7"/>
    <x v="0"/>
    <n v="0"/>
    <x v="3"/>
    <s v="Under 1000"/>
    <x v="0"/>
    <n v="1"/>
  </r>
  <r>
    <x v="21"/>
    <n v="190"/>
    <n v="19"/>
    <n v="9"/>
    <x v="1"/>
    <x v="15"/>
    <x v="2"/>
    <n v="0"/>
    <x v="2"/>
    <s v="Under 1000"/>
    <x v="1"/>
    <n v="1"/>
  </r>
  <r>
    <x v="228"/>
    <n v="52"/>
    <n v="14"/>
    <n v="2"/>
    <x v="2"/>
    <x v="11"/>
    <x v="0"/>
    <n v="0"/>
    <x v="3"/>
    <s v="Under 1000"/>
    <x v="1"/>
    <n v="1"/>
  </r>
  <r>
    <x v="295"/>
    <n v="147"/>
    <n v="44"/>
    <n v="3"/>
    <x v="2"/>
    <x v="6"/>
    <x v="0"/>
    <n v="0"/>
    <x v="3"/>
    <s v="Under 1000"/>
    <x v="1"/>
    <n v="1"/>
  </r>
  <r>
    <x v="159"/>
    <n v="190"/>
    <n v="68"/>
    <n v="8"/>
    <x v="2"/>
    <x v="14"/>
    <x v="2"/>
    <n v="0"/>
    <x v="2"/>
    <s v="Under 1000"/>
    <x v="1"/>
    <n v="1"/>
  </r>
  <r>
    <x v="314"/>
    <n v="80"/>
    <n v="-56"/>
    <n v="4"/>
    <x v="0"/>
    <x v="0"/>
    <x v="3"/>
    <n v="1"/>
    <x v="0"/>
    <s v="Under 1000"/>
    <x v="0"/>
    <n v="1"/>
  </r>
  <r>
    <x v="102"/>
    <n v="147"/>
    <n v="48"/>
    <n v="3"/>
    <x v="2"/>
    <x v="6"/>
    <x v="0"/>
    <n v="0"/>
    <x v="3"/>
    <s v="Under 1000"/>
    <x v="1"/>
    <n v="1"/>
  </r>
  <r>
    <x v="154"/>
    <n v="66"/>
    <n v="12"/>
    <n v="3"/>
    <x v="2"/>
    <x v="11"/>
    <x v="0"/>
    <n v="0"/>
    <x v="3"/>
    <s v="Under 1000"/>
    <x v="1"/>
    <n v="1"/>
  </r>
  <r>
    <x v="315"/>
    <n v="86"/>
    <n v="8"/>
    <n v="2"/>
    <x v="2"/>
    <x v="6"/>
    <x v="4"/>
    <n v="0"/>
    <x v="3"/>
    <s v="Under 1000"/>
    <x v="0"/>
    <n v="1"/>
  </r>
  <r>
    <x v="241"/>
    <n v="88"/>
    <n v="19"/>
    <n v="2"/>
    <x v="2"/>
    <x v="16"/>
    <x v="4"/>
    <n v="0"/>
    <x v="3"/>
    <s v="Under 1000"/>
    <x v="1"/>
    <n v="1"/>
  </r>
  <r>
    <x v="101"/>
    <n v="188"/>
    <n v="-193"/>
    <n v="2"/>
    <x v="0"/>
    <x v="0"/>
    <x v="2"/>
    <n v="1"/>
    <x v="3"/>
    <s v="Under 1000"/>
    <x v="1"/>
    <n v="1"/>
  </r>
  <r>
    <x v="147"/>
    <n v="89"/>
    <n v="29"/>
    <n v="2"/>
    <x v="2"/>
    <x v="11"/>
    <x v="3"/>
    <n v="0"/>
    <x v="3"/>
    <s v="Under 1000"/>
    <x v="1"/>
    <n v="1"/>
  </r>
  <r>
    <x v="316"/>
    <n v="146"/>
    <n v="19"/>
    <n v="5"/>
    <x v="2"/>
    <x v="11"/>
    <x v="0"/>
    <n v="0"/>
    <x v="0"/>
    <s v="Under 1000"/>
    <x v="0"/>
    <n v="1"/>
  </r>
  <r>
    <x v="94"/>
    <n v="143"/>
    <n v="32"/>
    <n v="1"/>
    <x v="1"/>
    <x v="2"/>
    <x v="0"/>
    <n v="0"/>
    <x v="3"/>
    <s v="Under 1000"/>
    <x v="1"/>
    <n v="1"/>
  </r>
  <r>
    <x v="244"/>
    <n v="25"/>
    <n v="-1"/>
    <n v="4"/>
    <x v="2"/>
    <x v="8"/>
    <x v="0"/>
    <n v="1"/>
    <x v="0"/>
    <s v="Under 1000"/>
    <x v="1"/>
    <n v="1"/>
  </r>
  <r>
    <x v="297"/>
    <n v="30"/>
    <n v="12"/>
    <n v="3"/>
    <x v="2"/>
    <x v="9"/>
    <x v="3"/>
    <n v="0"/>
    <x v="3"/>
    <s v="Under 1000"/>
    <x v="1"/>
    <n v="1"/>
  </r>
  <r>
    <x v="112"/>
    <n v="140"/>
    <n v="-58"/>
    <n v="4"/>
    <x v="1"/>
    <x v="15"/>
    <x v="0"/>
    <n v="1"/>
    <x v="0"/>
    <s v="Under 1000"/>
    <x v="1"/>
    <n v="1"/>
  </r>
  <r>
    <x v="214"/>
    <n v="83"/>
    <n v="-48"/>
    <n v="1"/>
    <x v="1"/>
    <x v="2"/>
    <x v="3"/>
    <n v="1"/>
    <x v="3"/>
    <s v="Under 1000"/>
    <x v="1"/>
    <n v="1"/>
  </r>
  <r>
    <x v="317"/>
    <n v="140"/>
    <n v="6"/>
    <n v="5"/>
    <x v="2"/>
    <x v="6"/>
    <x v="0"/>
    <n v="0"/>
    <x v="0"/>
    <s v="Under 1000"/>
    <x v="0"/>
    <n v="1"/>
  </r>
  <r>
    <x v="166"/>
    <n v="28"/>
    <n v="14"/>
    <n v="4"/>
    <x v="2"/>
    <x v="7"/>
    <x v="0"/>
    <n v="0"/>
    <x v="0"/>
    <s v="Under 1000"/>
    <x v="1"/>
    <n v="1"/>
  </r>
  <r>
    <x v="318"/>
    <n v="139"/>
    <n v="14"/>
    <n v="3"/>
    <x v="2"/>
    <x v="11"/>
    <x v="0"/>
    <n v="0"/>
    <x v="3"/>
    <s v="Under 1000"/>
    <x v="0"/>
    <n v="1"/>
  </r>
  <r>
    <x v="18"/>
    <n v="30"/>
    <n v="14"/>
    <n v="3"/>
    <x v="2"/>
    <x v="7"/>
    <x v="3"/>
    <n v="0"/>
    <x v="3"/>
    <s v="Under 1000"/>
    <x v="1"/>
    <n v="1"/>
  </r>
  <r>
    <x v="222"/>
    <n v="89"/>
    <n v="36"/>
    <n v="3"/>
    <x v="2"/>
    <x v="16"/>
    <x v="3"/>
    <n v="0"/>
    <x v="3"/>
    <s v="Under 1000"/>
    <x v="1"/>
    <n v="1"/>
  </r>
  <r>
    <x v="91"/>
    <n v="187"/>
    <n v="30"/>
    <n v="4"/>
    <x v="0"/>
    <x v="13"/>
    <x v="2"/>
    <n v="0"/>
    <x v="0"/>
    <s v="Under 1000"/>
    <x v="1"/>
    <n v="1"/>
  </r>
  <r>
    <x v="241"/>
    <n v="139"/>
    <n v="21"/>
    <n v="3"/>
    <x v="0"/>
    <x v="13"/>
    <x v="0"/>
    <n v="0"/>
    <x v="3"/>
    <s v="Under 1000"/>
    <x v="1"/>
    <n v="1"/>
  </r>
  <r>
    <x v="257"/>
    <n v="437"/>
    <n v="-14"/>
    <n v="2"/>
    <x v="2"/>
    <x v="6"/>
    <x v="3"/>
    <n v="1"/>
    <x v="3"/>
    <s v="Under 1000"/>
    <x v="1"/>
    <n v="1"/>
  </r>
  <r>
    <x v="195"/>
    <n v="138"/>
    <n v="-3"/>
    <n v="5"/>
    <x v="2"/>
    <x v="6"/>
    <x v="0"/>
    <n v="1"/>
    <x v="0"/>
    <s v="Under 1000"/>
    <x v="1"/>
    <n v="1"/>
  </r>
  <r>
    <x v="267"/>
    <n v="85"/>
    <n v="13"/>
    <n v="2"/>
    <x v="2"/>
    <x v="16"/>
    <x v="3"/>
    <n v="0"/>
    <x v="3"/>
    <s v="Under 1000"/>
    <x v="1"/>
    <n v="1"/>
  </r>
  <r>
    <x v="170"/>
    <n v="83"/>
    <n v="12"/>
    <n v="3"/>
    <x v="2"/>
    <x v="11"/>
    <x v="3"/>
    <n v="0"/>
    <x v="3"/>
    <s v="Under 1000"/>
    <x v="1"/>
    <n v="1"/>
  </r>
  <r>
    <x v="262"/>
    <n v="91"/>
    <n v="22"/>
    <n v="2"/>
    <x v="2"/>
    <x v="11"/>
    <x v="3"/>
    <n v="0"/>
    <x v="3"/>
    <s v="Under 1000"/>
    <x v="1"/>
    <n v="1"/>
  </r>
  <r>
    <x v="140"/>
    <n v="137"/>
    <n v="5"/>
    <n v="5"/>
    <x v="2"/>
    <x v="16"/>
    <x v="0"/>
    <n v="0"/>
    <x v="0"/>
    <s v="Under 1000"/>
    <x v="1"/>
    <n v="1"/>
  </r>
  <r>
    <x v="319"/>
    <n v="33"/>
    <n v="-12"/>
    <n v="7"/>
    <x v="2"/>
    <x v="6"/>
    <x v="3"/>
    <n v="1"/>
    <x v="0"/>
    <s v="Under 1000"/>
    <x v="0"/>
    <n v="1"/>
  </r>
  <r>
    <x v="40"/>
    <n v="134"/>
    <n v="-34"/>
    <n v="2"/>
    <x v="1"/>
    <x v="1"/>
    <x v="0"/>
    <n v="1"/>
    <x v="3"/>
    <s v="Under 1000"/>
    <x v="1"/>
    <n v="1"/>
  </r>
  <r>
    <x v="320"/>
    <n v="134"/>
    <n v="42"/>
    <n v="2"/>
    <x v="1"/>
    <x v="1"/>
    <x v="0"/>
    <n v="0"/>
    <x v="3"/>
    <s v="Under 1000"/>
    <x v="0"/>
    <n v="1"/>
  </r>
  <r>
    <x v="321"/>
    <n v="133"/>
    <n v="-56"/>
    <n v="2"/>
    <x v="1"/>
    <x v="1"/>
    <x v="0"/>
    <n v="1"/>
    <x v="3"/>
    <s v="Under 1000"/>
    <x v="0"/>
    <n v="1"/>
  </r>
  <r>
    <x v="168"/>
    <n v="93"/>
    <n v="-84"/>
    <n v="3"/>
    <x v="2"/>
    <x v="6"/>
    <x v="3"/>
    <n v="1"/>
    <x v="3"/>
    <s v="Under 1000"/>
    <x v="1"/>
    <n v="1"/>
  </r>
  <r>
    <x v="129"/>
    <n v="86"/>
    <n v="-21"/>
    <n v="1"/>
    <x v="0"/>
    <x v="0"/>
    <x v="3"/>
    <n v="1"/>
    <x v="3"/>
    <s v="Under 1000"/>
    <x v="1"/>
    <n v="1"/>
  </r>
  <r>
    <x v="23"/>
    <n v="132"/>
    <n v="54"/>
    <n v="5"/>
    <x v="2"/>
    <x v="11"/>
    <x v="0"/>
    <n v="0"/>
    <x v="0"/>
    <s v="Under 1000"/>
    <x v="1"/>
    <n v="1"/>
  </r>
  <r>
    <x v="53"/>
    <n v="132"/>
    <n v="-10"/>
    <n v="3"/>
    <x v="2"/>
    <x v="6"/>
    <x v="0"/>
    <n v="1"/>
    <x v="3"/>
    <s v="Under 1000"/>
    <x v="1"/>
    <n v="1"/>
  </r>
  <r>
    <x v="220"/>
    <n v="132"/>
    <n v="-79"/>
    <n v="5"/>
    <x v="1"/>
    <x v="15"/>
    <x v="0"/>
    <n v="1"/>
    <x v="0"/>
    <s v="Under 1000"/>
    <x v="1"/>
    <n v="1"/>
  </r>
  <r>
    <x v="260"/>
    <n v="93"/>
    <n v="-65"/>
    <n v="4"/>
    <x v="2"/>
    <x v="11"/>
    <x v="3"/>
    <n v="1"/>
    <x v="0"/>
    <s v="Under 1000"/>
    <x v="1"/>
    <n v="1"/>
  </r>
  <r>
    <x v="322"/>
    <n v="95"/>
    <n v="5"/>
    <n v="2"/>
    <x v="2"/>
    <x v="11"/>
    <x v="3"/>
    <n v="0"/>
    <x v="3"/>
    <s v="Under 1000"/>
    <x v="0"/>
    <n v="1"/>
  </r>
  <r>
    <x v="35"/>
    <n v="97"/>
    <n v="12"/>
    <n v="2"/>
    <x v="2"/>
    <x v="7"/>
    <x v="3"/>
    <n v="0"/>
    <x v="3"/>
    <s v="Under 1000"/>
    <x v="1"/>
    <n v="1"/>
  </r>
  <r>
    <x v="323"/>
    <n v="131"/>
    <n v="-154"/>
    <n v="8"/>
    <x v="1"/>
    <x v="15"/>
    <x v="0"/>
    <n v="1"/>
    <x v="2"/>
    <s v="Under 1000"/>
    <x v="0"/>
    <n v="1"/>
  </r>
  <r>
    <x v="266"/>
    <n v="97"/>
    <n v="29"/>
    <n v="2"/>
    <x v="2"/>
    <x v="7"/>
    <x v="3"/>
    <n v="0"/>
    <x v="3"/>
    <s v="Under 1000"/>
    <x v="1"/>
    <n v="1"/>
  </r>
  <r>
    <x v="18"/>
    <n v="128"/>
    <n v="4"/>
    <n v="3"/>
    <x v="2"/>
    <x v="6"/>
    <x v="0"/>
    <n v="0"/>
    <x v="3"/>
    <s v="Under 1000"/>
    <x v="1"/>
    <n v="1"/>
  </r>
  <r>
    <x v="10"/>
    <n v="186"/>
    <n v="241"/>
    <n v="9"/>
    <x v="2"/>
    <x v="16"/>
    <x v="2"/>
    <n v="0"/>
    <x v="2"/>
    <s v="Under 1000"/>
    <x v="1"/>
    <n v="0"/>
  </r>
  <r>
    <x v="34"/>
    <n v="128"/>
    <n v="47"/>
    <n v="4"/>
    <x v="2"/>
    <x v="7"/>
    <x v="0"/>
    <n v="0"/>
    <x v="0"/>
    <s v="Under 1000"/>
    <x v="1"/>
    <n v="1"/>
  </r>
  <r>
    <x v="140"/>
    <n v="185"/>
    <n v="48"/>
    <n v="4"/>
    <x v="2"/>
    <x v="11"/>
    <x v="2"/>
    <n v="0"/>
    <x v="0"/>
    <s v="Under 1000"/>
    <x v="1"/>
    <n v="1"/>
  </r>
  <r>
    <x v="324"/>
    <n v="29"/>
    <n v="10"/>
    <n v="2"/>
    <x v="2"/>
    <x v="11"/>
    <x v="0"/>
    <n v="0"/>
    <x v="3"/>
    <s v="Under 1000"/>
    <x v="0"/>
    <n v="1"/>
  </r>
  <r>
    <x v="33"/>
    <n v="127"/>
    <n v="29"/>
    <n v="3"/>
    <x v="1"/>
    <x v="15"/>
    <x v="0"/>
    <n v="0"/>
    <x v="3"/>
    <s v="Under 1000"/>
    <x v="1"/>
    <n v="1"/>
  </r>
  <r>
    <x v="205"/>
    <n v="97"/>
    <n v="36"/>
    <n v="7"/>
    <x v="2"/>
    <x v="7"/>
    <x v="3"/>
    <n v="0"/>
    <x v="0"/>
    <s v="Under 1000"/>
    <x v="1"/>
    <n v="1"/>
  </r>
  <r>
    <x v="108"/>
    <n v="125"/>
    <n v="0"/>
    <n v="3"/>
    <x v="0"/>
    <x v="13"/>
    <x v="0"/>
    <n v="0"/>
    <x v="3"/>
    <s v="Under 1000"/>
    <x v="1"/>
    <n v="1"/>
  </r>
  <r>
    <x v="325"/>
    <n v="299"/>
    <n v="-8"/>
    <n v="2"/>
    <x v="2"/>
    <x v="6"/>
    <x v="0"/>
    <n v="1"/>
    <x v="3"/>
    <s v="Under 1000"/>
    <x v="0"/>
    <n v="1"/>
  </r>
  <r>
    <x v="326"/>
    <n v="124"/>
    <n v="54"/>
    <n v="5"/>
    <x v="2"/>
    <x v="14"/>
    <x v="0"/>
    <n v="0"/>
    <x v="0"/>
    <s v="Under 1000"/>
    <x v="0"/>
    <n v="1"/>
  </r>
  <r>
    <x v="195"/>
    <n v="90"/>
    <n v="17"/>
    <n v="3"/>
    <x v="2"/>
    <x v="16"/>
    <x v="0"/>
    <n v="0"/>
    <x v="3"/>
    <s v="Under 1000"/>
    <x v="1"/>
    <n v="1"/>
  </r>
  <r>
    <x v="221"/>
    <n v="122"/>
    <n v="11"/>
    <n v="4"/>
    <x v="2"/>
    <x v="7"/>
    <x v="0"/>
    <n v="0"/>
    <x v="0"/>
    <s v="Under 1000"/>
    <x v="1"/>
    <n v="1"/>
  </r>
  <r>
    <x v="305"/>
    <n v="122"/>
    <n v="-66"/>
    <n v="9"/>
    <x v="0"/>
    <x v="13"/>
    <x v="0"/>
    <n v="1"/>
    <x v="2"/>
    <s v="Under 1000"/>
    <x v="1"/>
    <n v="1"/>
  </r>
  <r>
    <x v="42"/>
    <n v="90"/>
    <n v="30"/>
    <n v="2"/>
    <x v="1"/>
    <x v="1"/>
    <x v="3"/>
    <n v="0"/>
    <x v="3"/>
    <s v="Under 1000"/>
    <x v="1"/>
    <n v="1"/>
  </r>
  <r>
    <x v="327"/>
    <n v="182"/>
    <n v="-11"/>
    <n v="3"/>
    <x v="1"/>
    <x v="2"/>
    <x v="2"/>
    <n v="1"/>
    <x v="3"/>
    <s v="Under 1000"/>
    <x v="0"/>
    <n v="1"/>
  </r>
  <r>
    <x v="121"/>
    <n v="122"/>
    <n v="59"/>
    <n v="7"/>
    <x v="1"/>
    <x v="15"/>
    <x v="0"/>
    <n v="0"/>
    <x v="0"/>
    <s v="Under 1000"/>
    <x v="1"/>
    <n v="1"/>
  </r>
  <r>
    <x v="328"/>
    <n v="121"/>
    <n v="19"/>
    <n v="4"/>
    <x v="2"/>
    <x v="11"/>
    <x v="0"/>
    <n v="0"/>
    <x v="0"/>
    <s v="Under 1000"/>
    <x v="0"/>
    <n v="1"/>
  </r>
  <r>
    <x v="135"/>
    <n v="120"/>
    <n v="1"/>
    <n v="1"/>
    <x v="1"/>
    <x v="1"/>
    <x v="0"/>
    <n v="0"/>
    <x v="3"/>
    <s v="Under 1000"/>
    <x v="1"/>
    <n v="1"/>
  </r>
  <r>
    <x v="147"/>
    <n v="120"/>
    <n v="23"/>
    <n v="5"/>
    <x v="2"/>
    <x v="11"/>
    <x v="0"/>
    <n v="0"/>
    <x v="0"/>
    <s v="Under 1000"/>
    <x v="1"/>
    <n v="1"/>
  </r>
  <r>
    <x v="74"/>
    <n v="34"/>
    <n v="-11"/>
    <n v="5"/>
    <x v="2"/>
    <x v="14"/>
    <x v="0"/>
    <n v="1"/>
    <x v="0"/>
    <s v="Under 1000"/>
    <x v="1"/>
    <n v="1"/>
  </r>
  <r>
    <x v="67"/>
    <n v="117"/>
    <n v="17"/>
    <n v="6"/>
    <x v="2"/>
    <x v="8"/>
    <x v="0"/>
    <n v="0"/>
    <x v="0"/>
    <s v="Under 1000"/>
    <x v="1"/>
    <n v="1"/>
  </r>
  <r>
    <x v="329"/>
    <n v="38"/>
    <n v="9"/>
    <n v="2"/>
    <x v="2"/>
    <x v="11"/>
    <x v="0"/>
    <n v="0"/>
    <x v="3"/>
    <s v="Under 1000"/>
    <x v="0"/>
    <n v="1"/>
  </r>
  <r>
    <x v="6"/>
    <n v="117"/>
    <n v="-6"/>
    <n v="3"/>
    <x v="0"/>
    <x v="4"/>
    <x v="0"/>
    <n v="1"/>
    <x v="3"/>
    <s v="Under 1000"/>
    <x v="1"/>
    <n v="1"/>
  </r>
  <r>
    <x v="185"/>
    <n v="180"/>
    <n v="54"/>
    <n v="4"/>
    <x v="2"/>
    <x v="14"/>
    <x v="2"/>
    <n v="0"/>
    <x v="0"/>
    <s v="Under 1000"/>
    <x v="1"/>
    <n v="1"/>
  </r>
  <r>
    <x v="192"/>
    <n v="99"/>
    <n v="-5"/>
    <n v="1"/>
    <x v="2"/>
    <x v="6"/>
    <x v="3"/>
    <n v="1"/>
    <x v="3"/>
    <s v="Under 1000"/>
    <x v="1"/>
    <n v="1"/>
  </r>
  <r>
    <x v="89"/>
    <n v="172"/>
    <n v="-103"/>
    <n v="3"/>
    <x v="1"/>
    <x v="1"/>
    <x v="1"/>
    <n v="1"/>
    <x v="3"/>
    <s v="Under 1000"/>
    <x v="1"/>
    <n v="1"/>
  </r>
  <r>
    <x v="117"/>
    <n v="116"/>
    <n v="16"/>
    <n v="4"/>
    <x v="2"/>
    <x v="11"/>
    <x v="0"/>
    <n v="0"/>
    <x v="0"/>
    <s v="Under 1000"/>
    <x v="1"/>
    <n v="1"/>
  </r>
  <r>
    <x v="6"/>
    <n v="116"/>
    <n v="-4"/>
    <n v="1"/>
    <x v="2"/>
    <x v="6"/>
    <x v="0"/>
    <n v="1"/>
    <x v="3"/>
    <s v="Under 1000"/>
    <x v="1"/>
    <n v="1"/>
  </r>
  <r>
    <x v="330"/>
    <n v="171"/>
    <n v="68"/>
    <n v="7"/>
    <x v="2"/>
    <x v="11"/>
    <x v="1"/>
    <n v="0"/>
    <x v="0"/>
    <s v="Under 1000"/>
    <x v="0"/>
    <n v="1"/>
  </r>
  <r>
    <x v="98"/>
    <n v="46"/>
    <n v="14"/>
    <n v="5"/>
    <x v="2"/>
    <x v="9"/>
    <x v="0"/>
    <n v="0"/>
    <x v="0"/>
    <s v="Under 1000"/>
    <x v="1"/>
    <n v="1"/>
  </r>
  <r>
    <x v="69"/>
    <n v="115"/>
    <n v="-39"/>
    <n v="3"/>
    <x v="2"/>
    <x v="5"/>
    <x v="0"/>
    <n v="1"/>
    <x v="3"/>
    <s v="Under 1000"/>
    <x v="1"/>
    <n v="1"/>
  </r>
  <r>
    <x v="331"/>
    <n v="100"/>
    <n v="7"/>
    <n v="2"/>
    <x v="2"/>
    <x v="14"/>
    <x v="3"/>
    <n v="0"/>
    <x v="3"/>
    <s v="Under 1000"/>
    <x v="0"/>
    <n v="1"/>
  </r>
  <r>
    <x v="132"/>
    <n v="44"/>
    <n v="8"/>
    <n v="2"/>
    <x v="2"/>
    <x v="11"/>
    <x v="0"/>
    <n v="0"/>
    <x v="3"/>
    <s v="Under 1000"/>
    <x v="1"/>
    <n v="1"/>
  </r>
  <r>
    <x v="206"/>
    <n v="139"/>
    <n v="14"/>
    <n v="3"/>
    <x v="2"/>
    <x v="8"/>
    <x v="0"/>
    <n v="0"/>
    <x v="3"/>
    <s v="Under 1000"/>
    <x v="1"/>
    <n v="1"/>
  </r>
  <r>
    <x v="332"/>
    <n v="171"/>
    <n v="-140"/>
    <n v="2"/>
    <x v="1"/>
    <x v="2"/>
    <x v="1"/>
    <n v="1"/>
    <x v="3"/>
    <s v="Under 1000"/>
    <x v="0"/>
    <n v="1"/>
  </r>
  <r>
    <x v="333"/>
    <n v="100"/>
    <n v="12"/>
    <n v="2"/>
    <x v="2"/>
    <x v="14"/>
    <x v="3"/>
    <n v="0"/>
    <x v="3"/>
    <s v="Under 1000"/>
    <x v="0"/>
    <n v="1"/>
  </r>
  <r>
    <x v="317"/>
    <n v="115"/>
    <n v="25"/>
    <n v="6"/>
    <x v="2"/>
    <x v="11"/>
    <x v="0"/>
    <n v="0"/>
    <x v="0"/>
    <s v="Under 1000"/>
    <x v="1"/>
    <n v="1"/>
  </r>
  <r>
    <x v="6"/>
    <n v="168"/>
    <n v="-9"/>
    <n v="3"/>
    <x v="2"/>
    <x v="6"/>
    <x v="0"/>
    <n v="1"/>
    <x v="3"/>
    <s v="Under 1000"/>
    <x v="1"/>
    <n v="1"/>
  </r>
  <r>
    <x v="334"/>
    <n v="115"/>
    <n v="47"/>
    <n v="2"/>
    <x v="0"/>
    <x v="13"/>
    <x v="0"/>
    <n v="0"/>
    <x v="3"/>
    <s v="Under 1000"/>
    <x v="0"/>
    <n v="1"/>
  </r>
  <r>
    <x v="4"/>
    <n v="168"/>
    <n v="-111"/>
    <n v="2"/>
    <x v="0"/>
    <x v="4"/>
    <x v="1"/>
    <n v="1"/>
    <x v="3"/>
    <s v="Under 1000"/>
    <x v="1"/>
    <n v="1"/>
  </r>
  <r>
    <x v="335"/>
    <n v="31"/>
    <n v="-7"/>
    <n v="5"/>
    <x v="2"/>
    <x v="9"/>
    <x v="3"/>
    <n v="1"/>
    <x v="0"/>
    <s v="Under 1000"/>
    <x v="0"/>
    <n v="1"/>
  </r>
  <r>
    <x v="34"/>
    <n v="114"/>
    <n v="41"/>
    <n v="6"/>
    <x v="1"/>
    <x v="15"/>
    <x v="0"/>
    <n v="0"/>
    <x v="0"/>
    <s v="Under 1000"/>
    <x v="1"/>
    <n v="1"/>
  </r>
  <r>
    <x v="105"/>
    <n v="111"/>
    <n v="9"/>
    <n v="4"/>
    <x v="2"/>
    <x v="11"/>
    <x v="0"/>
    <n v="0"/>
    <x v="0"/>
    <s v="Under 1000"/>
    <x v="1"/>
    <n v="1"/>
  </r>
  <r>
    <x v="336"/>
    <n v="11"/>
    <n v="-8"/>
    <n v="2"/>
    <x v="2"/>
    <x v="9"/>
    <x v="3"/>
    <n v="1"/>
    <x v="3"/>
    <s v="Under 1000"/>
    <x v="0"/>
    <n v="1"/>
  </r>
  <r>
    <x v="217"/>
    <n v="110"/>
    <n v="35"/>
    <n v="1"/>
    <x v="1"/>
    <x v="15"/>
    <x v="0"/>
    <n v="0"/>
    <x v="3"/>
    <s v="Under 1000"/>
    <x v="1"/>
    <n v="1"/>
  </r>
  <r>
    <x v="98"/>
    <n v="59"/>
    <n v="15"/>
    <n v="2"/>
    <x v="2"/>
    <x v="14"/>
    <x v="3"/>
    <n v="0"/>
    <x v="3"/>
    <s v="Under 1000"/>
    <x v="1"/>
    <n v="1"/>
  </r>
  <r>
    <x v="198"/>
    <n v="166"/>
    <n v="27"/>
    <n v="2"/>
    <x v="0"/>
    <x v="13"/>
    <x v="1"/>
    <n v="0"/>
    <x v="3"/>
    <s v="Under 1000"/>
    <x v="1"/>
    <n v="1"/>
  </r>
  <r>
    <x v="27"/>
    <n v="109"/>
    <n v="-6"/>
    <n v="6"/>
    <x v="2"/>
    <x v="6"/>
    <x v="0"/>
    <n v="1"/>
    <x v="0"/>
    <s v="Under 1000"/>
    <x v="1"/>
    <n v="1"/>
  </r>
  <r>
    <x v="276"/>
    <n v="34"/>
    <n v="-6"/>
    <n v="4"/>
    <x v="2"/>
    <x v="12"/>
    <x v="0"/>
    <n v="1"/>
    <x v="0"/>
    <s v="Under 1000"/>
    <x v="1"/>
    <n v="1"/>
  </r>
  <r>
    <x v="260"/>
    <n v="109"/>
    <n v="40"/>
    <n v="1"/>
    <x v="1"/>
    <x v="15"/>
    <x v="0"/>
    <n v="0"/>
    <x v="3"/>
    <s v="Under 1000"/>
    <x v="1"/>
    <n v="1"/>
  </r>
  <r>
    <x v="44"/>
    <n v="108"/>
    <n v="22"/>
    <n v="3"/>
    <x v="0"/>
    <x v="13"/>
    <x v="0"/>
    <n v="0"/>
    <x v="3"/>
    <s v="Under 1000"/>
    <x v="1"/>
    <n v="1"/>
  </r>
  <r>
    <x v="278"/>
    <n v="103"/>
    <n v="50"/>
    <n v="2"/>
    <x v="1"/>
    <x v="15"/>
    <x v="3"/>
    <n v="0"/>
    <x v="3"/>
    <s v="Under 1000"/>
    <x v="1"/>
    <n v="1"/>
  </r>
  <r>
    <x v="178"/>
    <n v="10"/>
    <n v="-8"/>
    <n v="2"/>
    <x v="2"/>
    <x v="9"/>
    <x v="0"/>
    <n v="1"/>
    <x v="3"/>
    <s v="Under 1000"/>
    <x v="1"/>
    <n v="1"/>
  </r>
  <r>
    <x v="139"/>
    <n v="90"/>
    <n v="17"/>
    <n v="3"/>
    <x v="2"/>
    <x v="7"/>
    <x v="0"/>
    <n v="0"/>
    <x v="3"/>
    <s v="Under 1000"/>
    <x v="1"/>
    <n v="1"/>
  </r>
  <r>
    <x v="173"/>
    <n v="105"/>
    <n v="46"/>
    <n v="2"/>
    <x v="2"/>
    <x v="11"/>
    <x v="3"/>
    <n v="0"/>
    <x v="3"/>
    <s v="Under 1000"/>
    <x v="1"/>
    <n v="1"/>
  </r>
  <r>
    <x v="304"/>
    <n v="105"/>
    <n v="20"/>
    <n v="2"/>
    <x v="2"/>
    <x v="11"/>
    <x v="4"/>
    <n v="0"/>
    <x v="3"/>
    <s v="Under 1000"/>
    <x v="1"/>
    <n v="1"/>
  </r>
  <r>
    <x v="337"/>
    <n v="22"/>
    <n v="-6"/>
    <n v="1"/>
    <x v="1"/>
    <x v="15"/>
    <x v="0"/>
    <n v="1"/>
    <x v="3"/>
    <s v="Under 1000"/>
    <x v="0"/>
    <n v="1"/>
  </r>
  <r>
    <x v="83"/>
    <n v="105"/>
    <n v="-33"/>
    <n v="5"/>
    <x v="2"/>
    <x v="8"/>
    <x v="0"/>
    <n v="1"/>
    <x v="0"/>
    <s v="Under 1000"/>
    <x v="1"/>
    <n v="1"/>
  </r>
  <r>
    <x v="338"/>
    <n v="105"/>
    <n v="25"/>
    <n v="2"/>
    <x v="2"/>
    <x v="7"/>
    <x v="1"/>
    <n v="0"/>
    <x v="3"/>
    <s v="Under 1000"/>
    <x v="0"/>
    <n v="1"/>
  </r>
  <r>
    <x v="339"/>
    <n v="25"/>
    <n v="-7"/>
    <n v="5"/>
    <x v="2"/>
    <x v="6"/>
    <x v="3"/>
    <n v="1"/>
    <x v="0"/>
    <s v="Under 1000"/>
    <x v="0"/>
    <n v="1"/>
  </r>
  <r>
    <x v="278"/>
    <n v="104"/>
    <n v="2"/>
    <n v="2"/>
    <x v="1"/>
    <x v="15"/>
    <x v="0"/>
    <n v="0"/>
    <x v="3"/>
    <s v="Under 1000"/>
    <x v="1"/>
    <n v="1"/>
  </r>
  <r>
    <x v="340"/>
    <n v="16"/>
    <n v="5"/>
    <n v="1"/>
    <x v="2"/>
    <x v="11"/>
    <x v="3"/>
    <n v="0"/>
    <x v="3"/>
    <s v="Under 1000"/>
    <x v="0"/>
    <n v="1"/>
  </r>
  <r>
    <x v="183"/>
    <n v="64"/>
    <n v="-7"/>
    <n v="3"/>
    <x v="2"/>
    <x v="6"/>
    <x v="0"/>
    <n v="1"/>
    <x v="3"/>
    <s v="Under 1000"/>
    <x v="1"/>
    <n v="1"/>
  </r>
  <r>
    <x v="341"/>
    <n v="38"/>
    <n v="-6"/>
    <n v="2"/>
    <x v="1"/>
    <x v="15"/>
    <x v="3"/>
    <n v="1"/>
    <x v="3"/>
    <s v="Under 1000"/>
    <x v="0"/>
    <n v="1"/>
  </r>
  <r>
    <x v="342"/>
    <n v="83"/>
    <n v="12"/>
    <n v="2"/>
    <x v="1"/>
    <x v="1"/>
    <x v="0"/>
    <n v="0"/>
    <x v="3"/>
    <s v="Under 1000"/>
    <x v="0"/>
    <n v="1"/>
  </r>
  <r>
    <x v="159"/>
    <n v="103"/>
    <n v="36"/>
    <n v="2"/>
    <x v="2"/>
    <x v="7"/>
    <x v="0"/>
    <n v="0"/>
    <x v="3"/>
    <s v="Under 1000"/>
    <x v="1"/>
    <n v="1"/>
  </r>
  <r>
    <x v="131"/>
    <n v="37"/>
    <n v="-6"/>
    <n v="1"/>
    <x v="2"/>
    <x v="6"/>
    <x v="3"/>
    <n v="1"/>
    <x v="3"/>
    <s v="Under 1000"/>
    <x v="1"/>
    <n v="1"/>
  </r>
  <r>
    <x v="343"/>
    <n v="105"/>
    <n v="33"/>
    <n v="6"/>
    <x v="2"/>
    <x v="6"/>
    <x v="1"/>
    <n v="0"/>
    <x v="0"/>
    <s v="Under 1000"/>
    <x v="0"/>
    <n v="1"/>
  </r>
  <r>
    <x v="110"/>
    <n v="78"/>
    <n v="-6"/>
    <n v="2"/>
    <x v="1"/>
    <x v="15"/>
    <x v="3"/>
    <n v="1"/>
    <x v="3"/>
    <s v="Under 1000"/>
    <x v="1"/>
    <n v="1"/>
  </r>
  <r>
    <x v="14"/>
    <n v="102"/>
    <n v="-90"/>
    <n v="1"/>
    <x v="2"/>
    <x v="6"/>
    <x v="0"/>
    <n v="1"/>
    <x v="3"/>
    <s v="Under 1000"/>
    <x v="1"/>
    <n v="1"/>
  </r>
  <r>
    <x v="344"/>
    <n v="102"/>
    <n v="11"/>
    <n v="6"/>
    <x v="2"/>
    <x v="14"/>
    <x v="0"/>
    <n v="0"/>
    <x v="0"/>
    <s v="Under 1000"/>
    <x v="0"/>
    <n v="1"/>
  </r>
  <r>
    <x v="230"/>
    <n v="10"/>
    <n v="-8"/>
    <n v="1"/>
    <x v="2"/>
    <x v="8"/>
    <x v="3"/>
    <n v="1"/>
    <x v="3"/>
    <s v="Under 1000"/>
    <x v="1"/>
    <n v="1"/>
  </r>
  <r>
    <x v="93"/>
    <n v="101"/>
    <n v="18"/>
    <n v="9"/>
    <x v="2"/>
    <x v="9"/>
    <x v="0"/>
    <n v="0"/>
    <x v="2"/>
    <s v="Under 1000"/>
    <x v="1"/>
    <n v="1"/>
  </r>
  <r>
    <x v="345"/>
    <n v="42"/>
    <n v="-6"/>
    <n v="4"/>
    <x v="2"/>
    <x v="6"/>
    <x v="3"/>
    <n v="1"/>
    <x v="0"/>
    <s v="Under 1000"/>
    <x v="0"/>
    <n v="1"/>
  </r>
  <r>
    <x v="239"/>
    <n v="56"/>
    <n v="18"/>
    <n v="2"/>
    <x v="2"/>
    <x v="7"/>
    <x v="3"/>
    <n v="0"/>
    <x v="3"/>
    <s v="Under 1000"/>
    <x v="1"/>
    <n v="1"/>
  </r>
  <r>
    <x v="339"/>
    <n v="95"/>
    <n v="5"/>
    <n v="2"/>
    <x v="2"/>
    <x v="11"/>
    <x v="0"/>
    <n v="0"/>
    <x v="3"/>
    <s v="Under 1000"/>
    <x v="1"/>
    <n v="1"/>
  </r>
  <r>
    <x v="346"/>
    <n v="159"/>
    <n v="2"/>
    <n v="3"/>
    <x v="1"/>
    <x v="15"/>
    <x v="1"/>
    <n v="0"/>
    <x v="3"/>
    <s v="Under 1000"/>
    <x v="0"/>
    <n v="1"/>
  </r>
  <r>
    <x v="304"/>
    <n v="158"/>
    <n v="69"/>
    <n v="3"/>
    <x v="2"/>
    <x v="11"/>
    <x v="1"/>
    <n v="0"/>
    <x v="3"/>
    <s v="Under 1000"/>
    <x v="1"/>
    <n v="1"/>
  </r>
  <r>
    <x v="230"/>
    <n v="106"/>
    <n v="0"/>
    <n v="2"/>
    <x v="0"/>
    <x v="4"/>
    <x v="1"/>
    <n v="0"/>
    <x v="3"/>
    <s v="Under 1000"/>
    <x v="1"/>
    <n v="1"/>
  </r>
  <r>
    <x v="92"/>
    <n v="101"/>
    <n v="16"/>
    <n v="4"/>
    <x v="2"/>
    <x v="14"/>
    <x v="0"/>
    <n v="0"/>
    <x v="0"/>
    <s v="Under 1000"/>
    <x v="1"/>
    <n v="1"/>
  </r>
  <r>
    <x v="152"/>
    <n v="107"/>
    <n v="37"/>
    <n v="3"/>
    <x v="2"/>
    <x v="16"/>
    <x v="0"/>
    <n v="0"/>
    <x v="3"/>
    <s v="Under 1000"/>
    <x v="1"/>
    <n v="1"/>
  </r>
  <r>
    <x v="347"/>
    <n v="156"/>
    <n v="36"/>
    <n v="5"/>
    <x v="2"/>
    <x v="14"/>
    <x v="1"/>
    <n v="0"/>
    <x v="0"/>
    <s v="Under 1000"/>
    <x v="0"/>
    <n v="1"/>
  </r>
  <r>
    <x v="348"/>
    <n v="108"/>
    <n v="-19"/>
    <n v="3"/>
    <x v="0"/>
    <x v="0"/>
    <x v="3"/>
    <n v="1"/>
    <x v="3"/>
    <s v="Under 1000"/>
    <x v="0"/>
    <n v="1"/>
  </r>
  <r>
    <x v="233"/>
    <n v="107"/>
    <n v="-54"/>
    <n v="4"/>
    <x v="2"/>
    <x v="11"/>
    <x v="1"/>
    <n v="1"/>
    <x v="0"/>
    <s v="Under 1000"/>
    <x v="1"/>
    <n v="1"/>
  </r>
  <r>
    <x v="349"/>
    <n v="100"/>
    <n v="-58"/>
    <n v="4"/>
    <x v="2"/>
    <x v="7"/>
    <x v="0"/>
    <n v="1"/>
    <x v="0"/>
    <s v="Under 1000"/>
    <x v="0"/>
    <n v="1"/>
  </r>
  <r>
    <x v="249"/>
    <n v="108"/>
    <n v="26"/>
    <n v="4"/>
    <x v="2"/>
    <x v="16"/>
    <x v="3"/>
    <n v="0"/>
    <x v="0"/>
    <s v="Under 1000"/>
    <x v="1"/>
    <n v="1"/>
  </r>
  <r>
    <x v="350"/>
    <n v="100"/>
    <n v="6"/>
    <n v="4"/>
    <x v="2"/>
    <x v="11"/>
    <x v="0"/>
    <n v="0"/>
    <x v="0"/>
    <s v="Under 1000"/>
    <x v="0"/>
    <n v="1"/>
  </r>
  <r>
    <x v="186"/>
    <n v="100"/>
    <n v="-23"/>
    <n v="1"/>
    <x v="0"/>
    <x v="4"/>
    <x v="0"/>
    <n v="1"/>
    <x v="3"/>
    <s v="Under 1000"/>
    <x v="1"/>
    <n v="1"/>
  </r>
  <r>
    <x v="96"/>
    <n v="43"/>
    <n v="17"/>
    <n v="2"/>
    <x v="2"/>
    <x v="14"/>
    <x v="3"/>
    <n v="0"/>
    <x v="3"/>
    <s v="Under 1000"/>
    <x v="1"/>
    <n v="1"/>
  </r>
  <r>
    <x v="167"/>
    <n v="155"/>
    <n v="26"/>
    <n v="3"/>
    <x v="2"/>
    <x v="11"/>
    <x v="1"/>
    <n v="0"/>
    <x v="3"/>
    <s v="Under 1000"/>
    <x v="1"/>
    <n v="1"/>
  </r>
  <r>
    <x v="351"/>
    <n v="151"/>
    <n v="9"/>
    <n v="3"/>
    <x v="2"/>
    <x v="7"/>
    <x v="1"/>
    <n v="0"/>
    <x v="3"/>
    <s v="Under 1000"/>
    <x v="0"/>
    <n v="1"/>
  </r>
  <r>
    <x v="133"/>
    <n v="151"/>
    <n v="29"/>
    <n v="5"/>
    <x v="2"/>
    <x v="7"/>
    <x v="1"/>
    <n v="0"/>
    <x v="0"/>
    <s v="Under 1000"/>
    <x v="1"/>
    <n v="1"/>
  </r>
  <r>
    <x v="15"/>
    <n v="110"/>
    <n v="-68"/>
    <n v="4"/>
    <x v="2"/>
    <x v="6"/>
    <x v="1"/>
    <n v="1"/>
    <x v="0"/>
    <s v="Under 1000"/>
    <x v="1"/>
    <n v="1"/>
  </r>
  <r>
    <x v="74"/>
    <n v="98"/>
    <n v="9"/>
    <n v="2"/>
    <x v="1"/>
    <x v="15"/>
    <x v="0"/>
    <n v="0"/>
    <x v="3"/>
    <s v="Under 1000"/>
    <x v="1"/>
    <n v="1"/>
  </r>
  <r>
    <x v="15"/>
    <n v="97"/>
    <n v="-62"/>
    <n v="2"/>
    <x v="2"/>
    <x v="5"/>
    <x v="0"/>
    <n v="1"/>
    <x v="3"/>
    <s v="Under 1000"/>
    <x v="1"/>
    <n v="1"/>
  </r>
  <r>
    <x v="94"/>
    <n v="111"/>
    <n v="35"/>
    <n v="5"/>
    <x v="2"/>
    <x v="16"/>
    <x v="0"/>
    <n v="0"/>
    <x v="0"/>
    <s v="Under 1000"/>
    <x v="1"/>
    <n v="1"/>
  </r>
  <r>
    <x v="265"/>
    <n v="45"/>
    <n v="17"/>
    <n v="1"/>
    <x v="0"/>
    <x v="13"/>
    <x v="0"/>
    <n v="0"/>
    <x v="3"/>
    <s v="Under 1000"/>
    <x v="1"/>
    <n v="1"/>
  </r>
  <r>
    <x v="352"/>
    <n v="112"/>
    <n v="15"/>
    <n v="2"/>
    <x v="1"/>
    <x v="1"/>
    <x v="0"/>
    <n v="0"/>
    <x v="3"/>
    <s v="Under 1000"/>
    <x v="0"/>
    <n v="1"/>
  </r>
  <r>
    <x v="2"/>
    <n v="110"/>
    <n v="20"/>
    <n v="5"/>
    <x v="2"/>
    <x v="11"/>
    <x v="4"/>
    <n v="0"/>
    <x v="0"/>
    <s v="Under 1000"/>
    <x v="1"/>
    <n v="1"/>
  </r>
  <r>
    <x v="61"/>
    <n v="98"/>
    <n v="-5"/>
    <n v="2"/>
    <x v="2"/>
    <x v="6"/>
    <x v="3"/>
    <n v="1"/>
    <x v="3"/>
    <s v="Under 1000"/>
    <x v="1"/>
    <n v="1"/>
  </r>
  <r>
    <x v="353"/>
    <n v="110"/>
    <n v="12"/>
    <n v="7"/>
    <x v="2"/>
    <x v="11"/>
    <x v="4"/>
    <n v="0"/>
    <x v="0"/>
    <s v="Under 1000"/>
    <x v="0"/>
    <n v="1"/>
  </r>
  <r>
    <x v="18"/>
    <n v="95"/>
    <n v="11"/>
    <n v="4"/>
    <x v="1"/>
    <x v="15"/>
    <x v="0"/>
    <n v="0"/>
    <x v="0"/>
    <s v="Under 1000"/>
    <x v="1"/>
    <n v="1"/>
  </r>
  <r>
    <x v="184"/>
    <n v="1228"/>
    <n v="14"/>
    <n v="3"/>
    <x v="1"/>
    <x v="1"/>
    <x v="3"/>
    <n v="0"/>
    <x v="3"/>
    <s v="1000 - 2999"/>
    <x v="1"/>
    <n v="1"/>
  </r>
  <r>
    <x v="253"/>
    <n v="29"/>
    <n v="0"/>
    <n v="3"/>
    <x v="1"/>
    <x v="15"/>
    <x v="0"/>
    <n v="0"/>
    <x v="3"/>
    <s v="Under 1000"/>
    <x v="1"/>
    <n v="1"/>
  </r>
  <r>
    <x v="1"/>
    <n v="94"/>
    <n v="27"/>
    <n v="2"/>
    <x v="2"/>
    <x v="14"/>
    <x v="0"/>
    <n v="0"/>
    <x v="3"/>
    <s v="Under 1000"/>
    <x v="1"/>
    <n v="1"/>
  </r>
  <r>
    <x v="87"/>
    <n v="115"/>
    <n v="25"/>
    <n v="1"/>
    <x v="0"/>
    <x v="13"/>
    <x v="0"/>
    <n v="0"/>
    <x v="3"/>
    <s v="Under 1000"/>
    <x v="1"/>
    <n v="1"/>
  </r>
  <r>
    <x v="170"/>
    <n v="149"/>
    <n v="15"/>
    <n v="3"/>
    <x v="2"/>
    <x v="6"/>
    <x v="1"/>
    <n v="0"/>
    <x v="3"/>
    <s v="Under 1000"/>
    <x v="1"/>
    <n v="1"/>
  </r>
  <r>
    <x v="92"/>
    <n v="148"/>
    <n v="23"/>
    <n v="4"/>
    <x v="2"/>
    <x v="8"/>
    <x v="1"/>
    <n v="0"/>
    <x v="0"/>
    <s v="Under 1000"/>
    <x v="1"/>
    <n v="1"/>
  </r>
  <r>
    <x v="25"/>
    <n v="93"/>
    <n v="15"/>
    <n v="2"/>
    <x v="0"/>
    <x v="13"/>
    <x v="0"/>
    <n v="0"/>
    <x v="3"/>
    <s v="Under 1000"/>
    <x v="1"/>
    <n v="1"/>
  </r>
  <r>
    <x v="329"/>
    <n v="113"/>
    <n v="24"/>
    <n v="4"/>
    <x v="2"/>
    <x v="7"/>
    <x v="4"/>
    <n v="0"/>
    <x v="0"/>
    <s v="Under 1000"/>
    <x v="1"/>
    <n v="1"/>
  </r>
  <r>
    <x v="232"/>
    <n v="48"/>
    <n v="2"/>
    <n v="3"/>
    <x v="2"/>
    <x v="11"/>
    <x v="0"/>
    <n v="0"/>
    <x v="3"/>
    <s v="Under 1000"/>
    <x v="1"/>
    <n v="1"/>
  </r>
  <r>
    <x v="296"/>
    <n v="148"/>
    <n v="9"/>
    <n v="1"/>
    <x v="0"/>
    <x v="0"/>
    <x v="3"/>
    <n v="0"/>
    <x v="3"/>
    <s v="Under 1000"/>
    <x v="1"/>
    <n v="1"/>
  </r>
  <r>
    <x v="354"/>
    <n v="114"/>
    <n v="11"/>
    <n v="4"/>
    <x v="2"/>
    <x v="14"/>
    <x v="4"/>
    <n v="0"/>
    <x v="0"/>
    <s v="Under 1000"/>
    <x v="0"/>
    <n v="1"/>
  </r>
  <r>
    <x v="51"/>
    <n v="92"/>
    <n v="42"/>
    <n v="2"/>
    <x v="2"/>
    <x v="11"/>
    <x v="0"/>
    <n v="0"/>
    <x v="3"/>
    <s v="Under 1000"/>
    <x v="1"/>
    <n v="1"/>
  </r>
  <r>
    <x v="355"/>
    <n v="117"/>
    <n v="14"/>
    <n v="3"/>
    <x v="2"/>
    <x v="16"/>
    <x v="3"/>
    <n v="0"/>
    <x v="3"/>
    <s v="Under 1000"/>
    <x v="0"/>
    <n v="1"/>
  </r>
  <r>
    <x v="52"/>
    <n v="21"/>
    <n v="-10"/>
    <n v="4"/>
    <x v="2"/>
    <x v="12"/>
    <x v="0"/>
    <n v="1"/>
    <x v="0"/>
    <s v="Under 1000"/>
    <x v="1"/>
    <n v="1"/>
  </r>
  <r>
    <x v="356"/>
    <n v="33"/>
    <n v="-10"/>
    <n v="6"/>
    <x v="2"/>
    <x v="12"/>
    <x v="3"/>
    <n v="1"/>
    <x v="0"/>
    <s v="Under 1000"/>
    <x v="0"/>
    <n v="1"/>
  </r>
  <r>
    <x v="69"/>
    <n v="114"/>
    <n v="8"/>
    <n v="3"/>
    <x v="0"/>
    <x v="13"/>
    <x v="4"/>
    <n v="0"/>
    <x v="3"/>
    <s v="Under 1000"/>
    <x v="1"/>
    <n v="1"/>
  </r>
  <r>
    <x v="172"/>
    <n v="115"/>
    <n v="0"/>
    <n v="1"/>
    <x v="0"/>
    <x v="13"/>
    <x v="4"/>
    <n v="0"/>
    <x v="3"/>
    <s v="Under 1000"/>
    <x v="1"/>
    <n v="1"/>
  </r>
  <r>
    <x v="9"/>
    <n v="90"/>
    <n v="29"/>
    <n v="5"/>
    <x v="2"/>
    <x v="14"/>
    <x v="0"/>
    <n v="0"/>
    <x v="0"/>
    <s v="Under 1000"/>
    <x v="1"/>
    <n v="1"/>
  </r>
  <r>
    <x v="357"/>
    <n v="61"/>
    <n v="1"/>
    <n v="2"/>
    <x v="1"/>
    <x v="15"/>
    <x v="0"/>
    <n v="0"/>
    <x v="3"/>
    <s v="Under 1000"/>
    <x v="0"/>
    <n v="1"/>
  </r>
  <r>
    <x v="358"/>
    <n v="119"/>
    <n v="1"/>
    <n v="1"/>
    <x v="1"/>
    <x v="1"/>
    <x v="0"/>
    <n v="0"/>
    <x v="3"/>
    <s v="Under 1000"/>
    <x v="0"/>
    <n v="1"/>
  </r>
  <r>
    <x v="81"/>
    <n v="117"/>
    <n v="36"/>
    <n v="2"/>
    <x v="2"/>
    <x v="5"/>
    <x v="4"/>
    <n v="0"/>
    <x v="3"/>
    <s v="Under 1000"/>
    <x v="1"/>
    <n v="1"/>
  </r>
  <r>
    <x v="359"/>
    <n v="148"/>
    <n v="54"/>
    <n v="2"/>
    <x v="1"/>
    <x v="1"/>
    <x v="3"/>
    <n v="0"/>
    <x v="3"/>
    <s v="Under 1000"/>
    <x v="0"/>
    <n v="1"/>
  </r>
  <r>
    <x v="158"/>
    <n v="249"/>
    <n v="-5"/>
    <n v="4"/>
    <x v="2"/>
    <x v="6"/>
    <x v="0"/>
    <n v="1"/>
    <x v="0"/>
    <s v="Under 1000"/>
    <x v="1"/>
    <n v="1"/>
  </r>
  <r>
    <x v="85"/>
    <n v="147"/>
    <n v="73"/>
    <n v="3"/>
    <x v="2"/>
    <x v="11"/>
    <x v="3"/>
    <n v="0"/>
    <x v="3"/>
    <s v="Under 1000"/>
    <x v="1"/>
    <n v="1"/>
  </r>
  <r>
    <x v="360"/>
    <n v="118"/>
    <n v="35"/>
    <n v="7"/>
    <x v="2"/>
    <x v="14"/>
    <x v="1"/>
    <n v="0"/>
    <x v="0"/>
    <s v="Under 1000"/>
    <x v="0"/>
    <n v="1"/>
  </r>
  <r>
    <x v="162"/>
    <n v="119"/>
    <n v="56"/>
    <n v="7"/>
    <x v="2"/>
    <x v="6"/>
    <x v="1"/>
    <n v="0"/>
    <x v="0"/>
    <s v="Under 1000"/>
    <x v="1"/>
    <n v="1"/>
  </r>
  <r>
    <x v="346"/>
    <n v="90"/>
    <n v="27"/>
    <n v="2"/>
    <x v="2"/>
    <x v="14"/>
    <x v="0"/>
    <n v="0"/>
    <x v="3"/>
    <s v="Under 1000"/>
    <x v="1"/>
    <n v="1"/>
  </r>
  <r>
    <x v="231"/>
    <n v="32"/>
    <n v="1"/>
    <n v="2"/>
    <x v="2"/>
    <x v="11"/>
    <x v="0"/>
    <n v="0"/>
    <x v="3"/>
    <s v="Under 1000"/>
    <x v="1"/>
    <n v="1"/>
  </r>
  <r>
    <x v="361"/>
    <n v="89"/>
    <n v="-89"/>
    <n v="2"/>
    <x v="1"/>
    <x v="15"/>
    <x v="0"/>
    <n v="1"/>
    <x v="3"/>
    <s v="Under 1000"/>
    <x v="0"/>
    <n v="1"/>
  </r>
  <r>
    <x v="296"/>
    <n v="146"/>
    <n v="66"/>
    <n v="1"/>
    <x v="0"/>
    <x v="4"/>
    <x v="3"/>
    <n v="0"/>
    <x v="3"/>
    <s v="Under 1000"/>
    <x v="1"/>
    <n v="1"/>
  </r>
  <r>
    <x v="362"/>
    <n v="89"/>
    <n v="-37"/>
    <n v="4"/>
    <x v="2"/>
    <x v="16"/>
    <x v="0"/>
    <n v="1"/>
    <x v="0"/>
    <s v="Under 1000"/>
    <x v="0"/>
    <n v="1"/>
  </r>
  <r>
    <x v="211"/>
    <n v="88"/>
    <n v="11"/>
    <n v="3"/>
    <x v="0"/>
    <x v="13"/>
    <x v="0"/>
    <n v="0"/>
    <x v="3"/>
    <s v="Under 1000"/>
    <x v="1"/>
    <n v="1"/>
  </r>
  <r>
    <x v="363"/>
    <n v="121"/>
    <n v="41"/>
    <n v="4"/>
    <x v="2"/>
    <x v="11"/>
    <x v="1"/>
    <n v="0"/>
    <x v="0"/>
    <s v="Under 1000"/>
    <x v="0"/>
    <n v="1"/>
  </r>
  <r>
    <x v="241"/>
    <n v="88"/>
    <n v="20"/>
    <n v="2"/>
    <x v="2"/>
    <x v="6"/>
    <x v="0"/>
    <n v="0"/>
    <x v="3"/>
    <s v="Under 1000"/>
    <x v="1"/>
    <n v="1"/>
  </r>
  <r>
    <x v="150"/>
    <n v="87"/>
    <n v="-83"/>
    <n v="5"/>
    <x v="2"/>
    <x v="8"/>
    <x v="0"/>
    <n v="1"/>
    <x v="0"/>
    <s v="Under 1000"/>
    <x v="1"/>
    <n v="1"/>
  </r>
  <r>
    <x v="364"/>
    <n v="87"/>
    <n v="4"/>
    <n v="2"/>
    <x v="2"/>
    <x v="16"/>
    <x v="0"/>
    <n v="0"/>
    <x v="3"/>
    <s v="Under 1000"/>
    <x v="0"/>
    <n v="1"/>
  </r>
  <r>
    <x v="365"/>
    <n v="122"/>
    <n v="15"/>
    <n v="3"/>
    <x v="0"/>
    <x v="13"/>
    <x v="1"/>
    <n v="0"/>
    <x v="3"/>
    <s v="Under 1000"/>
    <x v="0"/>
    <n v="1"/>
  </r>
  <r>
    <x v="366"/>
    <n v="87"/>
    <n v="10"/>
    <n v="3"/>
    <x v="2"/>
    <x v="11"/>
    <x v="0"/>
    <n v="0"/>
    <x v="3"/>
    <s v="Under 1000"/>
    <x v="0"/>
    <n v="1"/>
  </r>
  <r>
    <x v="367"/>
    <n v="53"/>
    <n v="8"/>
    <n v="3"/>
    <x v="1"/>
    <x v="15"/>
    <x v="3"/>
    <n v="0"/>
    <x v="3"/>
    <s v="Under 1000"/>
    <x v="0"/>
    <n v="1"/>
  </r>
  <r>
    <x v="102"/>
    <n v="87"/>
    <n v="-32"/>
    <n v="9"/>
    <x v="2"/>
    <x v="9"/>
    <x v="0"/>
    <n v="1"/>
    <x v="2"/>
    <s v="Under 1000"/>
    <x v="1"/>
    <n v="1"/>
  </r>
  <r>
    <x v="368"/>
    <n v="86"/>
    <n v="-55"/>
    <n v="6"/>
    <x v="2"/>
    <x v="6"/>
    <x v="0"/>
    <n v="1"/>
    <x v="0"/>
    <s v="Under 1000"/>
    <x v="0"/>
    <n v="1"/>
  </r>
  <r>
    <x v="369"/>
    <n v="125"/>
    <n v="22"/>
    <n v="3"/>
    <x v="2"/>
    <x v="11"/>
    <x v="1"/>
    <n v="0"/>
    <x v="3"/>
    <s v="Under 1000"/>
    <x v="0"/>
    <n v="1"/>
  </r>
  <r>
    <x v="148"/>
    <n v="128"/>
    <n v="-3"/>
    <n v="3"/>
    <x v="2"/>
    <x v="6"/>
    <x v="4"/>
    <n v="1"/>
    <x v="3"/>
    <s v="Under 1000"/>
    <x v="1"/>
    <n v="1"/>
  </r>
  <r>
    <x v="192"/>
    <n v="143"/>
    <n v="-124"/>
    <n v="5"/>
    <x v="2"/>
    <x v="6"/>
    <x v="3"/>
    <n v="1"/>
    <x v="0"/>
    <s v="Under 1000"/>
    <x v="1"/>
    <n v="1"/>
  </r>
  <r>
    <x v="53"/>
    <n v="86"/>
    <n v="22"/>
    <n v="2"/>
    <x v="2"/>
    <x v="6"/>
    <x v="0"/>
    <n v="0"/>
    <x v="3"/>
    <s v="Under 1000"/>
    <x v="1"/>
    <n v="1"/>
  </r>
  <r>
    <x v="370"/>
    <n v="86"/>
    <n v="9"/>
    <n v="3"/>
    <x v="2"/>
    <x v="6"/>
    <x v="0"/>
    <n v="0"/>
    <x v="3"/>
    <s v="Under 1000"/>
    <x v="0"/>
    <n v="1"/>
  </r>
  <r>
    <x v="257"/>
    <n v="85"/>
    <n v="-9"/>
    <n v="4"/>
    <x v="2"/>
    <x v="6"/>
    <x v="0"/>
    <n v="1"/>
    <x v="0"/>
    <s v="Under 1000"/>
    <x v="1"/>
    <n v="1"/>
  </r>
  <r>
    <x v="236"/>
    <n v="129"/>
    <n v="-75"/>
    <n v="5"/>
    <x v="2"/>
    <x v="16"/>
    <x v="4"/>
    <n v="1"/>
    <x v="0"/>
    <s v="Under 1000"/>
    <x v="1"/>
    <n v="1"/>
  </r>
  <r>
    <x v="371"/>
    <n v="84"/>
    <n v="-42"/>
    <n v="2"/>
    <x v="0"/>
    <x v="13"/>
    <x v="0"/>
    <n v="1"/>
    <x v="3"/>
    <s v="Under 1000"/>
    <x v="0"/>
    <n v="1"/>
  </r>
  <r>
    <x v="91"/>
    <n v="83"/>
    <n v="-81"/>
    <n v="3"/>
    <x v="1"/>
    <x v="1"/>
    <x v="0"/>
    <n v="1"/>
    <x v="3"/>
    <s v="Under 1000"/>
    <x v="1"/>
    <n v="1"/>
  </r>
  <r>
    <x v="265"/>
    <n v="143"/>
    <n v="6"/>
    <n v="2"/>
    <x v="0"/>
    <x v="13"/>
    <x v="3"/>
    <n v="0"/>
    <x v="3"/>
    <s v="Under 1000"/>
    <x v="1"/>
    <n v="1"/>
  </r>
  <r>
    <x v="372"/>
    <n v="336"/>
    <n v="123"/>
    <n v="3"/>
    <x v="0"/>
    <x v="4"/>
    <x v="3"/>
    <n v="0"/>
    <x v="3"/>
    <s v="Under 1000"/>
    <x v="0"/>
    <n v="1"/>
  </r>
  <r>
    <x v="44"/>
    <n v="323"/>
    <n v="122"/>
    <n v="5"/>
    <x v="0"/>
    <x v="4"/>
    <x v="3"/>
    <n v="0"/>
    <x v="0"/>
    <s v="Under 1000"/>
    <x v="1"/>
    <n v="1"/>
  </r>
  <r>
    <x v="228"/>
    <n v="130"/>
    <n v="61"/>
    <n v="3"/>
    <x v="2"/>
    <x v="16"/>
    <x v="4"/>
    <n v="0"/>
    <x v="3"/>
    <s v="Under 1000"/>
    <x v="1"/>
    <n v="1"/>
  </r>
  <r>
    <x v="260"/>
    <n v="152"/>
    <n v="-3"/>
    <n v="5"/>
    <x v="2"/>
    <x v="6"/>
    <x v="0"/>
    <n v="1"/>
    <x v="0"/>
    <s v="Under 1000"/>
    <x v="1"/>
    <n v="1"/>
  </r>
  <r>
    <x v="365"/>
    <n v="25"/>
    <n v="10"/>
    <n v="1"/>
    <x v="1"/>
    <x v="15"/>
    <x v="3"/>
    <n v="0"/>
    <x v="3"/>
    <s v="Under 1000"/>
    <x v="1"/>
    <n v="1"/>
  </r>
  <r>
    <x v="109"/>
    <n v="140"/>
    <n v="15"/>
    <n v="5"/>
    <x v="2"/>
    <x v="11"/>
    <x v="3"/>
    <n v="0"/>
    <x v="0"/>
    <s v="Under 1000"/>
    <x v="1"/>
    <n v="1"/>
  </r>
  <r>
    <x v="209"/>
    <n v="45"/>
    <n v="0"/>
    <n v="2"/>
    <x v="2"/>
    <x v="11"/>
    <x v="3"/>
    <n v="0"/>
    <x v="3"/>
    <s v="Under 1000"/>
    <x v="1"/>
    <n v="1"/>
  </r>
  <r>
    <x v="125"/>
    <n v="132"/>
    <n v="49"/>
    <n v="3"/>
    <x v="2"/>
    <x v="16"/>
    <x v="0"/>
    <n v="0"/>
    <x v="3"/>
    <s v="Under 1000"/>
    <x v="1"/>
    <n v="1"/>
  </r>
  <r>
    <x v="197"/>
    <n v="133"/>
    <n v="12"/>
    <n v="5"/>
    <x v="2"/>
    <x v="11"/>
    <x v="4"/>
    <n v="0"/>
    <x v="0"/>
    <s v="Under 1000"/>
    <x v="1"/>
    <n v="1"/>
  </r>
  <r>
    <x v="155"/>
    <n v="82"/>
    <n v="13"/>
    <n v="2"/>
    <x v="2"/>
    <x v="16"/>
    <x v="0"/>
    <n v="0"/>
    <x v="3"/>
    <s v="Under 1000"/>
    <x v="1"/>
    <n v="1"/>
  </r>
  <r>
    <x v="211"/>
    <n v="140"/>
    <n v="56"/>
    <n v="4"/>
    <x v="2"/>
    <x v="16"/>
    <x v="3"/>
    <n v="0"/>
    <x v="0"/>
    <s v="Under 1000"/>
    <x v="1"/>
    <n v="1"/>
  </r>
  <r>
    <x v="298"/>
    <n v="81"/>
    <n v="19"/>
    <n v="7"/>
    <x v="2"/>
    <x v="7"/>
    <x v="0"/>
    <n v="0"/>
    <x v="0"/>
    <s v="Under 1000"/>
    <x v="1"/>
    <n v="1"/>
  </r>
  <r>
    <x v="45"/>
    <n v="137"/>
    <n v="38"/>
    <n v="5"/>
    <x v="2"/>
    <x v="7"/>
    <x v="4"/>
    <n v="0"/>
    <x v="0"/>
    <s v="Under 1000"/>
    <x v="1"/>
    <n v="1"/>
  </r>
  <r>
    <x v="373"/>
    <n v="137"/>
    <n v="-41"/>
    <n v="3"/>
    <x v="0"/>
    <x v="4"/>
    <x v="4"/>
    <n v="1"/>
    <x v="3"/>
    <s v="Under 1000"/>
    <x v="0"/>
    <n v="1"/>
  </r>
  <r>
    <x v="351"/>
    <n v="140"/>
    <n v="57"/>
    <n v="2"/>
    <x v="2"/>
    <x v="5"/>
    <x v="4"/>
    <n v="0"/>
    <x v="3"/>
    <s v="Under 1000"/>
    <x v="1"/>
    <n v="1"/>
  </r>
  <r>
    <x v="374"/>
    <n v="139"/>
    <n v="30"/>
    <n v="3"/>
    <x v="2"/>
    <x v="16"/>
    <x v="3"/>
    <n v="0"/>
    <x v="3"/>
    <s v="Under 1000"/>
    <x v="0"/>
    <n v="1"/>
  </r>
  <r>
    <x v="241"/>
    <n v="138"/>
    <n v="11"/>
    <n v="5"/>
    <x v="2"/>
    <x v="11"/>
    <x v="3"/>
    <n v="0"/>
    <x v="0"/>
    <s v="Under 1000"/>
    <x v="1"/>
    <n v="1"/>
  </r>
  <r>
    <x v="375"/>
    <n v="79"/>
    <n v="-124"/>
    <n v="9"/>
    <x v="2"/>
    <x v="9"/>
    <x v="0"/>
    <n v="1"/>
    <x v="2"/>
    <s v="Under 1000"/>
    <x v="0"/>
    <n v="1"/>
  </r>
  <r>
    <x v="376"/>
    <n v="136"/>
    <n v="41"/>
    <n v="3"/>
    <x v="0"/>
    <x v="13"/>
    <x v="3"/>
    <n v="0"/>
    <x v="3"/>
    <s v="Under 1000"/>
    <x v="0"/>
    <n v="1"/>
  </r>
  <r>
    <x v="265"/>
    <n v="145"/>
    <n v="16"/>
    <n v="3"/>
    <x v="2"/>
    <x v="14"/>
    <x v="4"/>
    <n v="0"/>
    <x v="3"/>
    <s v="Under 1000"/>
    <x v="1"/>
    <n v="1"/>
  </r>
  <r>
    <x v="142"/>
    <n v="44"/>
    <n v="20"/>
    <n v="2"/>
    <x v="2"/>
    <x v="14"/>
    <x v="3"/>
    <n v="0"/>
    <x v="3"/>
    <s v="Under 1000"/>
    <x v="1"/>
    <n v="1"/>
  </r>
  <r>
    <x v="274"/>
    <n v="79"/>
    <n v="6"/>
    <n v="7"/>
    <x v="2"/>
    <x v="6"/>
    <x v="0"/>
    <n v="0"/>
    <x v="0"/>
    <s v="Under 1000"/>
    <x v="1"/>
    <n v="1"/>
  </r>
  <r>
    <x v="126"/>
    <n v="79"/>
    <n v="36"/>
    <n v="4"/>
    <x v="2"/>
    <x v="16"/>
    <x v="0"/>
    <n v="0"/>
    <x v="0"/>
    <s v="Under 1000"/>
    <x v="1"/>
    <n v="1"/>
  </r>
  <r>
    <x v="180"/>
    <n v="134"/>
    <n v="-13"/>
    <n v="3"/>
    <x v="0"/>
    <x v="0"/>
    <x v="3"/>
    <n v="1"/>
    <x v="3"/>
    <s v="Under 1000"/>
    <x v="1"/>
    <n v="1"/>
  </r>
  <r>
    <x v="21"/>
    <n v="133"/>
    <n v="5"/>
    <n v="5"/>
    <x v="2"/>
    <x v="11"/>
    <x v="3"/>
    <n v="0"/>
    <x v="0"/>
    <s v="Under 1000"/>
    <x v="1"/>
    <n v="1"/>
  </r>
  <r>
    <x v="179"/>
    <n v="47"/>
    <n v="20"/>
    <n v="7"/>
    <x v="2"/>
    <x v="7"/>
    <x v="3"/>
    <n v="0"/>
    <x v="0"/>
    <s v="Under 1000"/>
    <x v="1"/>
    <n v="1"/>
  </r>
  <r>
    <x v="226"/>
    <n v="133"/>
    <n v="-42"/>
    <n v="1"/>
    <x v="0"/>
    <x v="3"/>
    <x v="3"/>
    <n v="1"/>
    <x v="3"/>
    <s v="Under 1000"/>
    <x v="1"/>
    <n v="1"/>
  </r>
  <r>
    <x v="377"/>
    <n v="78"/>
    <n v="27"/>
    <n v="3"/>
    <x v="2"/>
    <x v="11"/>
    <x v="0"/>
    <n v="0"/>
    <x v="3"/>
    <s v="Under 1000"/>
    <x v="0"/>
    <n v="1"/>
  </r>
  <r>
    <x v="378"/>
    <n v="78"/>
    <n v="7"/>
    <n v="1"/>
    <x v="1"/>
    <x v="1"/>
    <x v="0"/>
    <n v="0"/>
    <x v="3"/>
    <s v="Under 1000"/>
    <x v="0"/>
    <n v="1"/>
  </r>
  <r>
    <x v="379"/>
    <n v="76"/>
    <n v="-92"/>
    <n v="8"/>
    <x v="1"/>
    <x v="15"/>
    <x v="0"/>
    <n v="1"/>
    <x v="2"/>
    <s v="Under 1000"/>
    <x v="0"/>
    <n v="1"/>
  </r>
  <r>
    <x v="380"/>
    <n v="76"/>
    <n v="-50"/>
    <n v="1"/>
    <x v="2"/>
    <x v="6"/>
    <x v="0"/>
    <n v="1"/>
    <x v="3"/>
    <s v="Under 1000"/>
    <x v="0"/>
    <n v="1"/>
  </r>
  <r>
    <x v="202"/>
    <n v="76"/>
    <n v="19"/>
    <n v="3"/>
    <x v="2"/>
    <x v="7"/>
    <x v="0"/>
    <n v="0"/>
    <x v="3"/>
    <s v="Under 1000"/>
    <x v="1"/>
    <n v="1"/>
  </r>
  <r>
    <x v="123"/>
    <n v="74"/>
    <n v="29"/>
    <n v="3"/>
    <x v="2"/>
    <x v="11"/>
    <x v="0"/>
    <n v="0"/>
    <x v="3"/>
    <s v="Under 1000"/>
    <x v="1"/>
    <n v="1"/>
  </r>
  <r>
    <x v="381"/>
    <n v="74"/>
    <n v="-25"/>
    <n v="3"/>
    <x v="2"/>
    <x v="11"/>
    <x v="0"/>
    <n v="1"/>
    <x v="3"/>
    <s v="Under 1000"/>
    <x v="0"/>
    <n v="1"/>
  </r>
  <r>
    <x v="113"/>
    <n v="146"/>
    <n v="-63"/>
    <n v="3"/>
    <x v="0"/>
    <x v="0"/>
    <x v="4"/>
    <n v="1"/>
    <x v="3"/>
    <s v="Under 1000"/>
    <x v="1"/>
    <n v="1"/>
  </r>
  <r>
    <x v="110"/>
    <n v="73"/>
    <n v="-31"/>
    <n v="1"/>
    <x v="1"/>
    <x v="2"/>
    <x v="0"/>
    <n v="1"/>
    <x v="3"/>
    <s v="Under 1000"/>
    <x v="1"/>
    <n v="1"/>
  </r>
  <r>
    <x v="58"/>
    <n v="80"/>
    <n v="22"/>
    <n v="3"/>
    <x v="2"/>
    <x v="11"/>
    <x v="3"/>
    <n v="0"/>
    <x v="3"/>
    <s v="Under 1000"/>
    <x v="1"/>
    <n v="1"/>
  </r>
  <r>
    <x v="262"/>
    <n v="133"/>
    <n v="46"/>
    <n v="5"/>
    <x v="2"/>
    <x v="16"/>
    <x v="1"/>
    <n v="0"/>
    <x v="0"/>
    <s v="Under 1000"/>
    <x v="1"/>
    <n v="1"/>
  </r>
  <r>
    <x v="382"/>
    <n v="146"/>
    <n v="7"/>
    <n v="2"/>
    <x v="0"/>
    <x v="4"/>
    <x v="4"/>
    <n v="0"/>
    <x v="3"/>
    <s v="Under 1000"/>
    <x v="0"/>
    <n v="1"/>
  </r>
  <r>
    <x v="186"/>
    <n v="130"/>
    <n v="-41"/>
    <n v="4"/>
    <x v="2"/>
    <x v="6"/>
    <x v="1"/>
    <n v="1"/>
    <x v="0"/>
    <s v="Under 1000"/>
    <x v="1"/>
    <n v="1"/>
  </r>
  <r>
    <x v="383"/>
    <n v="141"/>
    <n v="41"/>
    <n v="3"/>
    <x v="2"/>
    <x v="16"/>
    <x v="3"/>
    <n v="0"/>
    <x v="3"/>
    <s v="Under 1000"/>
    <x v="0"/>
    <n v="1"/>
  </r>
  <r>
    <x v="182"/>
    <n v="147"/>
    <n v="21"/>
    <n v="3"/>
    <x v="1"/>
    <x v="15"/>
    <x v="4"/>
    <n v="0"/>
    <x v="3"/>
    <s v="Under 1000"/>
    <x v="1"/>
    <n v="1"/>
  </r>
  <r>
    <x v="69"/>
    <n v="73"/>
    <n v="-7"/>
    <n v="1"/>
    <x v="0"/>
    <x v="4"/>
    <x v="0"/>
    <n v="1"/>
    <x v="3"/>
    <s v="Under 1000"/>
    <x v="1"/>
    <n v="1"/>
  </r>
  <r>
    <x v="384"/>
    <n v="148"/>
    <n v="72"/>
    <n v="7"/>
    <x v="2"/>
    <x v="14"/>
    <x v="4"/>
    <n v="0"/>
    <x v="0"/>
    <s v="Under 1000"/>
    <x v="0"/>
    <n v="1"/>
  </r>
  <r>
    <x v="385"/>
    <n v="58"/>
    <n v="0"/>
    <n v="4"/>
    <x v="2"/>
    <x v="6"/>
    <x v="3"/>
    <n v="0"/>
    <x v="0"/>
    <s v="Under 1000"/>
    <x v="0"/>
    <n v="1"/>
  </r>
  <r>
    <x v="276"/>
    <n v="21"/>
    <n v="-13"/>
    <n v="3"/>
    <x v="2"/>
    <x v="12"/>
    <x v="3"/>
    <n v="1"/>
    <x v="3"/>
    <s v="Under 1000"/>
    <x v="1"/>
    <n v="1"/>
  </r>
  <r>
    <x v="3"/>
    <n v="148"/>
    <n v="25"/>
    <n v="3"/>
    <x v="2"/>
    <x v="6"/>
    <x v="4"/>
    <n v="0"/>
    <x v="3"/>
    <s v="Under 1000"/>
    <x v="1"/>
    <n v="1"/>
  </r>
  <r>
    <x v="386"/>
    <n v="144"/>
    <n v="-7"/>
    <n v="4"/>
    <x v="0"/>
    <x v="0"/>
    <x v="0"/>
    <n v="1"/>
    <x v="0"/>
    <s v="Under 1000"/>
    <x v="0"/>
    <n v="1"/>
  </r>
  <r>
    <x v="258"/>
    <n v="145"/>
    <n v="-104"/>
    <n v="5"/>
    <x v="1"/>
    <x v="1"/>
    <x v="3"/>
    <n v="1"/>
    <x v="0"/>
    <s v="Under 1000"/>
    <x v="1"/>
    <n v="1"/>
  </r>
  <r>
    <x v="82"/>
    <n v="72"/>
    <n v="-49"/>
    <n v="1"/>
    <x v="0"/>
    <x v="4"/>
    <x v="0"/>
    <n v="1"/>
    <x v="3"/>
    <s v="Under 1000"/>
    <x v="1"/>
    <n v="1"/>
  </r>
  <r>
    <x v="20"/>
    <n v="125"/>
    <n v="15"/>
    <n v="5"/>
    <x v="2"/>
    <x v="16"/>
    <x v="1"/>
    <n v="0"/>
    <x v="0"/>
    <s v="Under 1000"/>
    <x v="1"/>
    <n v="1"/>
  </r>
  <r>
    <x v="45"/>
    <n v="149"/>
    <n v="15"/>
    <n v="3"/>
    <x v="2"/>
    <x v="6"/>
    <x v="4"/>
    <n v="0"/>
    <x v="3"/>
    <s v="Under 1000"/>
    <x v="1"/>
    <n v="1"/>
  </r>
  <r>
    <x v="86"/>
    <n v="72"/>
    <n v="16"/>
    <n v="2"/>
    <x v="2"/>
    <x v="16"/>
    <x v="0"/>
    <n v="0"/>
    <x v="3"/>
    <s v="Under 1000"/>
    <x v="1"/>
    <n v="1"/>
  </r>
  <r>
    <x v="25"/>
    <n v="71"/>
    <n v="0"/>
    <n v="8"/>
    <x v="2"/>
    <x v="9"/>
    <x v="0"/>
    <n v="0"/>
    <x v="2"/>
    <s v="Under 1000"/>
    <x v="1"/>
    <n v="1"/>
  </r>
  <r>
    <x v="387"/>
    <n v="71"/>
    <n v="-14"/>
    <n v="4"/>
    <x v="1"/>
    <x v="15"/>
    <x v="0"/>
    <n v="1"/>
    <x v="0"/>
    <s v="Under 1000"/>
    <x v="0"/>
    <n v="1"/>
  </r>
  <r>
    <x v="66"/>
    <n v="154"/>
    <n v="-85"/>
    <n v="3"/>
    <x v="1"/>
    <x v="1"/>
    <x v="1"/>
    <n v="1"/>
    <x v="3"/>
    <s v="Under 1000"/>
    <x v="1"/>
    <n v="1"/>
  </r>
  <r>
    <x v="120"/>
    <n v="191"/>
    <n v="13"/>
    <n v="8"/>
    <x v="1"/>
    <x v="15"/>
    <x v="0"/>
    <n v="0"/>
    <x v="2"/>
    <s v="Under 1000"/>
    <x v="1"/>
    <n v="1"/>
  </r>
  <r>
    <x v="371"/>
    <n v="170"/>
    <n v="19"/>
    <n v="5"/>
    <x v="2"/>
    <x v="14"/>
    <x v="3"/>
    <n v="0"/>
    <x v="0"/>
    <s v="Under 1000"/>
    <x v="1"/>
    <n v="1"/>
  </r>
  <r>
    <x v="40"/>
    <n v="47"/>
    <n v="-3"/>
    <n v="2"/>
    <x v="2"/>
    <x v="11"/>
    <x v="3"/>
    <n v="1"/>
    <x v="3"/>
    <s v="Under 1000"/>
    <x v="1"/>
    <n v="1"/>
  </r>
  <r>
    <x v="50"/>
    <n v="122"/>
    <n v="-47"/>
    <n v="4"/>
    <x v="2"/>
    <x v="6"/>
    <x v="1"/>
    <n v="1"/>
    <x v="0"/>
    <s v="Under 1000"/>
    <x v="1"/>
    <n v="1"/>
  </r>
  <r>
    <x v="298"/>
    <n v="70"/>
    <n v="26"/>
    <n v="5"/>
    <x v="2"/>
    <x v="7"/>
    <x v="0"/>
    <n v="0"/>
    <x v="0"/>
    <s v="Under 1000"/>
    <x v="1"/>
    <n v="1"/>
  </r>
  <r>
    <x v="231"/>
    <n v="155"/>
    <n v="5"/>
    <n v="3"/>
    <x v="2"/>
    <x v="11"/>
    <x v="1"/>
    <n v="0"/>
    <x v="3"/>
    <s v="Under 1000"/>
    <x v="1"/>
    <n v="1"/>
  </r>
  <r>
    <x v="388"/>
    <n v="67"/>
    <n v="-86"/>
    <n v="9"/>
    <x v="1"/>
    <x v="15"/>
    <x v="0"/>
    <n v="1"/>
    <x v="2"/>
    <s v="Under 1000"/>
    <x v="0"/>
    <n v="1"/>
  </r>
  <r>
    <x v="69"/>
    <n v="67"/>
    <n v="-42"/>
    <n v="3"/>
    <x v="2"/>
    <x v="11"/>
    <x v="0"/>
    <n v="1"/>
    <x v="3"/>
    <s v="Under 1000"/>
    <x v="1"/>
    <n v="1"/>
  </r>
  <r>
    <x v="37"/>
    <n v="148"/>
    <n v="-101"/>
    <n v="2"/>
    <x v="1"/>
    <x v="2"/>
    <x v="3"/>
    <n v="1"/>
    <x v="3"/>
    <s v="Under 1000"/>
    <x v="1"/>
    <n v="1"/>
  </r>
  <r>
    <x v="196"/>
    <n v="122"/>
    <n v="38"/>
    <n v="6"/>
    <x v="2"/>
    <x v="14"/>
    <x v="2"/>
    <n v="0"/>
    <x v="0"/>
    <s v="Under 1000"/>
    <x v="1"/>
    <n v="1"/>
  </r>
  <r>
    <x v="389"/>
    <n v="16"/>
    <n v="-5"/>
    <n v="2"/>
    <x v="2"/>
    <x v="11"/>
    <x v="3"/>
    <n v="1"/>
    <x v="3"/>
    <s v="Under 1000"/>
    <x v="0"/>
    <n v="1"/>
  </r>
  <r>
    <x v="173"/>
    <n v="121"/>
    <n v="-17"/>
    <n v="3"/>
    <x v="1"/>
    <x v="15"/>
    <x v="2"/>
    <n v="1"/>
    <x v="3"/>
    <s v="Under 1000"/>
    <x v="1"/>
    <n v="1"/>
  </r>
  <r>
    <x v="110"/>
    <n v="42"/>
    <n v="-15"/>
    <n v="12"/>
    <x v="2"/>
    <x v="9"/>
    <x v="3"/>
    <n v="1"/>
    <x v="1"/>
    <s v="Under 1000"/>
    <x v="1"/>
    <n v="1"/>
  </r>
  <r>
    <x v="230"/>
    <n v="65"/>
    <n v="-4"/>
    <n v="6"/>
    <x v="2"/>
    <x v="7"/>
    <x v="0"/>
    <n v="1"/>
    <x v="0"/>
    <s v="Under 1000"/>
    <x v="1"/>
    <n v="1"/>
  </r>
  <r>
    <x v="354"/>
    <n v="119"/>
    <n v="-43"/>
    <n v="7"/>
    <x v="2"/>
    <x v="8"/>
    <x v="2"/>
    <n v="1"/>
    <x v="0"/>
    <s v="Under 1000"/>
    <x v="1"/>
    <n v="1"/>
  </r>
  <r>
    <x v="368"/>
    <n v="155"/>
    <n v="56"/>
    <n v="3"/>
    <x v="1"/>
    <x v="15"/>
    <x v="1"/>
    <n v="0"/>
    <x v="3"/>
    <s v="Under 1000"/>
    <x v="1"/>
    <n v="1"/>
  </r>
  <r>
    <x v="4"/>
    <n v="119"/>
    <n v="-5"/>
    <n v="8"/>
    <x v="2"/>
    <x v="6"/>
    <x v="2"/>
    <n v="1"/>
    <x v="2"/>
    <s v="Under 1000"/>
    <x v="1"/>
    <n v="1"/>
  </r>
  <r>
    <x v="390"/>
    <n v="118"/>
    <n v="25"/>
    <n v="4"/>
    <x v="2"/>
    <x v="7"/>
    <x v="2"/>
    <n v="0"/>
    <x v="0"/>
    <s v="Under 1000"/>
    <x v="0"/>
    <n v="1"/>
  </r>
  <r>
    <x v="101"/>
    <n v="116"/>
    <n v="22"/>
    <n v="1"/>
    <x v="0"/>
    <x v="13"/>
    <x v="2"/>
    <n v="0"/>
    <x v="3"/>
    <s v="Under 1000"/>
    <x v="1"/>
    <n v="1"/>
  </r>
  <r>
    <x v="21"/>
    <n v="158"/>
    <n v="-29"/>
    <n v="10"/>
    <x v="2"/>
    <x v="7"/>
    <x v="1"/>
    <n v="1"/>
    <x v="2"/>
    <s v="Under 1000"/>
    <x v="1"/>
    <n v="1"/>
  </r>
  <r>
    <x v="291"/>
    <n v="158"/>
    <n v="69"/>
    <n v="3"/>
    <x v="2"/>
    <x v="11"/>
    <x v="1"/>
    <n v="0"/>
    <x v="3"/>
    <s v="Under 1000"/>
    <x v="1"/>
    <n v="1"/>
  </r>
  <r>
    <x v="256"/>
    <n v="65"/>
    <n v="-52"/>
    <n v="3"/>
    <x v="0"/>
    <x v="13"/>
    <x v="0"/>
    <n v="1"/>
    <x v="3"/>
    <s v="Under 1000"/>
    <x v="1"/>
    <n v="1"/>
  </r>
  <r>
    <x v="391"/>
    <n v="160"/>
    <n v="-59"/>
    <n v="2"/>
    <x v="2"/>
    <x v="6"/>
    <x v="1"/>
    <n v="1"/>
    <x v="3"/>
    <s v="Under 1000"/>
    <x v="0"/>
    <n v="1"/>
  </r>
  <r>
    <x v="46"/>
    <n v="162"/>
    <n v="20"/>
    <n v="3"/>
    <x v="1"/>
    <x v="1"/>
    <x v="1"/>
    <n v="0"/>
    <x v="3"/>
    <s v="Under 1000"/>
    <x v="1"/>
    <n v="1"/>
  </r>
  <r>
    <x v="152"/>
    <n v="63"/>
    <n v="1"/>
    <n v="4"/>
    <x v="2"/>
    <x v="14"/>
    <x v="0"/>
    <n v="0"/>
    <x v="0"/>
    <s v="Under 1000"/>
    <x v="1"/>
    <n v="1"/>
  </r>
  <r>
    <x v="392"/>
    <n v="64"/>
    <n v="27"/>
    <n v="5"/>
    <x v="2"/>
    <x v="7"/>
    <x v="3"/>
    <n v="0"/>
    <x v="0"/>
    <s v="Under 1000"/>
    <x v="0"/>
    <n v="1"/>
  </r>
  <r>
    <x v="393"/>
    <n v="166"/>
    <n v="-113"/>
    <n v="4"/>
    <x v="0"/>
    <x v="13"/>
    <x v="1"/>
    <n v="1"/>
    <x v="0"/>
    <s v="Under 1000"/>
    <x v="0"/>
    <n v="1"/>
  </r>
  <r>
    <x v="394"/>
    <n v="167"/>
    <n v="43"/>
    <n v="7"/>
    <x v="2"/>
    <x v="14"/>
    <x v="1"/>
    <n v="0"/>
    <x v="0"/>
    <s v="Under 1000"/>
    <x v="0"/>
    <n v="1"/>
  </r>
  <r>
    <x v="395"/>
    <n v="123"/>
    <n v="17"/>
    <n v="3"/>
    <x v="1"/>
    <x v="15"/>
    <x v="0"/>
    <n v="0"/>
    <x v="3"/>
    <s v="Under 1000"/>
    <x v="0"/>
    <n v="1"/>
  </r>
  <r>
    <x v="95"/>
    <n v="63"/>
    <n v="14"/>
    <n v="2"/>
    <x v="2"/>
    <x v="16"/>
    <x v="0"/>
    <n v="0"/>
    <x v="3"/>
    <s v="Under 1000"/>
    <x v="1"/>
    <n v="1"/>
  </r>
  <r>
    <x v="296"/>
    <n v="891"/>
    <n v="0"/>
    <n v="5"/>
    <x v="2"/>
    <x v="6"/>
    <x v="0"/>
    <n v="0"/>
    <x v="0"/>
    <s v="Under 1000"/>
    <x v="1"/>
    <n v="1"/>
  </r>
  <r>
    <x v="166"/>
    <n v="75"/>
    <n v="28"/>
    <n v="9"/>
    <x v="2"/>
    <x v="7"/>
    <x v="3"/>
    <n v="0"/>
    <x v="2"/>
    <s v="Under 1000"/>
    <x v="1"/>
    <n v="1"/>
  </r>
  <r>
    <x v="239"/>
    <n v="62"/>
    <n v="6"/>
    <n v="5"/>
    <x v="2"/>
    <x v="7"/>
    <x v="0"/>
    <n v="0"/>
    <x v="0"/>
    <s v="Under 1000"/>
    <x v="1"/>
    <n v="1"/>
  </r>
  <r>
    <x v="308"/>
    <n v="29"/>
    <n v="-18"/>
    <n v="7"/>
    <x v="2"/>
    <x v="9"/>
    <x v="3"/>
    <n v="1"/>
    <x v="0"/>
    <s v="Under 1000"/>
    <x v="1"/>
    <n v="1"/>
  </r>
  <r>
    <x v="396"/>
    <n v="168"/>
    <n v="18"/>
    <n v="6"/>
    <x v="2"/>
    <x v="11"/>
    <x v="4"/>
    <n v="0"/>
    <x v="0"/>
    <s v="Under 1000"/>
    <x v="0"/>
    <n v="1"/>
  </r>
  <r>
    <x v="179"/>
    <n v="70"/>
    <n v="24"/>
    <n v="3"/>
    <x v="2"/>
    <x v="11"/>
    <x v="3"/>
    <n v="0"/>
    <x v="3"/>
    <s v="Under 1000"/>
    <x v="1"/>
    <n v="1"/>
  </r>
  <r>
    <x v="198"/>
    <n v="169"/>
    <n v="55"/>
    <n v="4"/>
    <x v="2"/>
    <x v="6"/>
    <x v="4"/>
    <n v="0"/>
    <x v="0"/>
    <s v="Under 1000"/>
    <x v="1"/>
    <n v="1"/>
  </r>
  <r>
    <x v="120"/>
    <n v="32"/>
    <n v="-8"/>
    <n v="2"/>
    <x v="2"/>
    <x v="11"/>
    <x v="0"/>
    <n v="1"/>
    <x v="3"/>
    <s v="Under 1000"/>
    <x v="1"/>
    <n v="1"/>
  </r>
  <r>
    <x v="89"/>
    <n v="44"/>
    <n v="-8"/>
    <n v="3"/>
    <x v="2"/>
    <x v="11"/>
    <x v="3"/>
    <n v="1"/>
    <x v="3"/>
    <s v="Under 1000"/>
    <x v="1"/>
    <n v="1"/>
  </r>
  <r>
    <x v="77"/>
    <n v="116"/>
    <n v="-56"/>
    <n v="5"/>
    <x v="2"/>
    <x v="11"/>
    <x v="2"/>
    <n v="1"/>
    <x v="0"/>
    <s v="Under 1000"/>
    <x v="1"/>
    <n v="1"/>
  </r>
  <r>
    <x v="397"/>
    <n v="156"/>
    <n v="21"/>
    <n v="3"/>
    <x v="1"/>
    <x v="1"/>
    <x v="0"/>
    <n v="0"/>
    <x v="3"/>
    <s v="Under 1000"/>
    <x v="0"/>
    <n v="1"/>
  </r>
  <r>
    <x v="141"/>
    <n v="62"/>
    <n v="6"/>
    <n v="6"/>
    <x v="2"/>
    <x v="9"/>
    <x v="0"/>
    <n v="0"/>
    <x v="0"/>
    <s v="Under 1000"/>
    <x v="1"/>
    <n v="1"/>
  </r>
  <r>
    <x v="25"/>
    <n v="54"/>
    <n v="1"/>
    <n v="2"/>
    <x v="2"/>
    <x v="6"/>
    <x v="3"/>
    <n v="0"/>
    <x v="3"/>
    <s v="Under 1000"/>
    <x v="1"/>
    <n v="1"/>
  </r>
  <r>
    <x v="147"/>
    <n v="111"/>
    <n v="11"/>
    <n v="9"/>
    <x v="2"/>
    <x v="7"/>
    <x v="2"/>
    <n v="0"/>
    <x v="2"/>
    <s v="Under 1000"/>
    <x v="1"/>
    <n v="1"/>
  </r>
  <r>
    <x v="398"/>
    <n v="158"/>
    <n v="-63"/>
    <n v="4"/>
    <x v="1"/>
    <x v="1"/>
    <x v="3"/>
    <n v="1"/>
    <x v="0"/>
    <s v="Under 1000"/>
    <x v="0"/>
    <n v="1"/>
  </r>
  <r>
    <x v="183"/>
    <n v="7"/>
    <n v="-3"/>
    <n v="2"/>
    <x v="2"/>
    <x v="9"/>
    <x v="3"/>
    <n v="1"/>
    <x v="3"/>
    <s v="Under 1000"/>
    <x v="1"/>
    <n v="1"/>
  </r>
  <r>
    <x v="346"/>
    <n v="61"/>
    <n v="28"/>
    <n v="2"/>
    <x v="2"/>
    <x v="7"/>
    <x v="3"/>
    <n v="0"/>
    <x v="3"/>
    <s v="Under 1000"/>
    <x v="1"/>
    <n v="1"/>
  </r>
  <r>
    <x v="176"/>
    <n v="61"/>
    <n v="-50"/>
    <n v="4"/>
    <x v="2"/>
    <x v="7"/>
    <x v="0"/>
    <n v="1"/>
    <x v="0"/>
    <s v="Under 1000"/>
    <x v="1"/>
    <n v="1"/>
  </r>
  <r>
    <x v="274"/>
    <n v="154"/>
    <n v="26"/>
    <n v="4"/>
    <x v="0"/>
    <x v="13"/>
    <x v="0"/>
    <n v="0"/>
    <x v="0"/>
    <s v="Under 1000"/>
    <x v="1"/>
    <n v="1"/>
  </r>
  <r>
    <x v="9"/>
    <n v="62"/>
    <n v="1"/>
    <n v="3"/>
    <x v="2"/>
    <x v="6"/>
    <x v="0"/>
    <n v="0"/>
    <x v="3"/>
    <s v="Under 1000"/>
    <x v="1"/>
    <n v="1"/>
  </r>
  <r>
    <x v="399"/>
    <n v="169"/>
    <n v="38"/>
    <n v="3"/>
    <x v="2"/>
    <x v="6"/>
    <x v="4"/>
    <n v="0"/>
    <x v="3"/>
    <s v="Under 1000"/>
    <x v="0"/>
    <n v="1"/>
  </r>
  <r>
    <x v="376"/>
    <n v="61"/>
    <n v="18"/>
    <n v="2"/>
    <x v="0"/>
    <x v="13"/>
    <x v="0"/>
    <n v="0"/>
    <x v="3"/>
    <s v="Under 1000"/>
    <x v="1"/>
    <n v="1"/>
  </r>
  <r>
    <x v="93"/>
    <n v="61"/>
    <n v="-23"/>
    <n v="2"/>
    <x v="2"/>
    <x v="6"/>
    <x v="0"/>
    <n v="1"/>
    <x v="3"/>
    <s v="Under 1000"/>
    <x v="1"/>
    <n v="1"/>
  </r>
  <r>
    <x v="400"/>
    <n v="171"/>
    <n v="14"/>
    <n v="9"/>
    <x v="2"/>
    <x v="16"/>
    <x v="4"/>
    <n v="0"/>
    <x v="2"/>
    <s v="Under 1000"/>
    <x v="0"/>
    <n v="1"/>
  </r>
  <r>
    <x v="244"/>
    <n v="60"/>
    <n v="-49"/>
    <n v="8"/>
    <x v="2"/>
    <x v="7"/>
    <x v="0"/>
    <n v="1"/>
    <x v="2"/>
    <s v="Under 1000"/>
    <x v="1"/>
    <n v="1"/>
  </r>
  <r>
    <x v="356"/>
    <n v="25"/>
    <n v="-11"/>
    <n v="1"/>
    <x v="2"/>
    <x v="11"/>
    <x v="3"/>
    <n v="1"/>
    <x v="3"/>
    <s v="Under 1000"/>
    <x v="1"/>
    <n v="1"/>
  </r>
  <r>
    <x v="156"/>
    <n v="163"/>
    <n v="26"/>
    <n v="4"/>
    <x v="2"/>
    <x v="16"/>
    <x v="0"/>
    <n v="0"/>
    <x v="0"/>
    <s v="Under 1000"/>
    <x v="1"/>
    <n v="1"/>
  </r>
  <r>
    <x v="132"/>
    <n v="173"/>
    <n v="86"/>
    <n v="1"/>
    <x v="0"/>
    <x v="3"/>
    <x v="4"/>
    <n v="0"/>
    <x v="3"/>
    <s v="Under 1000"/>
    <x v="1"/>
    <n v="1"/>
  </r>
  <r>
    <x v="40"/>
    <n v="257"/>
    <n v="-3"/>
    <n v="2"/>
    <x v="1"/>
    <x v="2"/>
    <x v="3"/>
    <n v="1"/>
    <x v="3"/>
    <s v="Under 1000"/>
    <x v="1"/>
    <n v="1"/>
  </r>
  <r>
    <x v="401"/>
    <n v="108"/>
    <n v="37"/>
    <n v="2"/>
    <x v="2"/>
    <x v="11"/>
    <x v="2"/>
    <n v="0"/>
    <x v="3"/>
    <s v="Under 1000"/>
    <x v="0"/>
    <n v="1"/>
  </r>
  <r>
    <x v="402"/>
    <n v="177"/>
    <n v="41"/>
    <n v="4"/>
    <x v="2"/>
    <x v="16"/>
    <x v="4"/>
    <n v="0"/>
    <x v="0"/>
    <s v="Under 1000"/>
    <x v="0"/>
    <n v="1"/>
  </r>
  <r>
    <x v="74"/>
    <n v="106"/>
    <n v="15"/>
    <n v="7"/>
    <x v="2"/>
    <x v="7"/>
    <x v="2"/>
    <n v="0"/>
    <x v="0"/>
    <s v="Under 1000"/>
    <x v="1"/>
    <n v="1"/>
  </r>
  <r>
    <x v="29"/>
    <n v="41"/>
    <n v="-14"/>
    <n v="5"/>
    <x v="2"/>
    <x v="12"/>
    <x v="3"/>
    <n v="1"/>
    <x v="0"/>
    <s v="Under 1000"/>
    <x v="1"/>
    <n v="1"/>
  </r>
  <r>
    <x v="87"/>
    <n v="168"/>
    <n v="-10"/>
    <n v="3"/>
    <x v="0"/>
    <x v="13"/>
    <x v="3"/>
    <n v="1"/>
    <x v="3"/>
    <s v="Under 1000"/>
    <x v="1"/>
    <n v="1"/>
  </r>
  <r>
    <x v="108"/>
    <n v="60"/>
    <n v="21"/>
    <n v="4"/>
    <x v="2"/>
    <x v="11"/>
    <x v="0"/>
    <n v="0"/>
    <x v="0"/>
    <s v="Under 1000"/>
    <x v="1"/>
    <n v="1"/>
  </r>
  <r>
    <x v="403"/>
    <n v="31"/>
    <n v="-11"/>
    <n v="4"/>
    <x v="2"/>
    <x v="11"/>
    <x v="0"/>
    <n v="1"/>
    <x v="0"/>
    <s v="Under 1000"/>
    <x v="0"/>
    <n v="1"/>
  </r>
  <r>
    <x v="196"/>
    <n v="179"/>
    <n v="0"/>
    <n v="2"/>
    <x v="2"/>
    <x v="6"/>
    <x v="4"/>
    <n v="0"/>
    <x v="3"/>
    <s v="Under 1000"/>
    <x v="1"/>
    <n v="1"/>
  </r>
  <r>
    <x v="140"/>
    <n v="106"/>
    <n v="12"/>
    <n v="3"/>
    <x v="2"/>
    <x v="5"/>
    <x v="2"/>
    <n v="0"/>
    <x v="3"/>
    <s v="Under 1000"/>
    <x v="1"/>
    <n v="1"/>
  </r>
  <r>
    <x v="262"/>
    <n v="60"/>
    <n v="13"/>
    <n v="2"/>
    <x v="2"/>
    <x v="14"/>
    <x v="0"/>
    <n v="0"/>
    <x v="3"/>
    <s v="Under 1000"/>
    <x v="1"/>
    <n v="1"/>
  </r>
  <r>
    <x v="117"/>
    <n v="180"/>
    <n v="5"/>
    <n v="3"/>
    <x v="2"/>
    <x v="5"/>
    <x v="4"/>
    <n v="0"/>
    <x v="3"/>
    <s v="Under 1000"/>
    <x v="1"/>
    <n v="1"/>
  </r>
  <r>
    <x v="103"/>
    <n v="60"/>
    <n v="-10"/>
    <n v="2"/>
    <x v="1"/>
    <x v="15"/>
    <x v="0"/>
    <n v="1"/>
    <x v="3"/>
    <s v="Under 1000"/>
    <x v="1"/>
    <n v="1"/>
  </r>
  <r>
    <x v="357"/>
    <n v="59"/>
    <n v="25"/>
    <n v="3"/>
    <x v="2"/>
    <x v="11"/>
    <x v="0"/>
    <n v="0"/>
    <x v="3"/>
    <s v="Under 1000"/>
    <x v="1"/>
    <n v="1"/>
  </r>
  <r>
    <x v="54"/>
    <n v="170"/>
    <n v="73"/>
    <n v="2"/>
    <x v="0"/>
    <x v="13"/>
    <x v="3"/>
    <n v="0"/>
    <x v="3"/>
    <s v="Under 1000"/>
    <x v="1"/>
    <n v="1"/>
  </r>
  <r>
    <x v="362"/>
    <n v="59"/>
    <n v="10"/>
    <n v="2"/>
    <x v="2"/>
    <x v="7"/>
    <x v="0"/>
    <n v="0"/>
    <x v="3"/>
    <s v="Under 1000"/>
    <x v="1"/>
    <n v="1"/>
  </r>
  <r>
    <x v="276"/>
    <n v="24"/>
    <n v="-21"/>
    <n v="7"/>
    <x v="2"/>
    <x v="9"/>
    <x v="0"/>
    <n v="1"/>
    <x v="0"/>
    <s v="Under 1000"/>
    <x v="1"/>
    <n v="1"/>
  </r>
  <r>
    <x v="33"/>
    <n v="105"/>
    <n v="-26"/>
    <n v="8"/>
    <x v="2"/>
    <x v="12"/>
    <x v="2"/>
    <n v="1"/>
    <x v="2"/>
    <s v="Under 1000"/>
    <x v="1"/>
    <n v="1"/>
  </r>
  <r>
    <x v="211"/>
    <n v="103"/>
    <n v="46"/>
    <n v="2"/>
    <x v="2"/>
    <x v="6"/>
    <x v="2"/>
    <n v="0"/>
    <x v="3"/>
    <s v="Under 1000"/>
    <x v="1"/>
    <n v="1"/>
  </r>
  <r>
    <x v="404"/>
    <n v="171"/>
    <n v="17"/>
    <n v="6"/>
    <x v="2"/>
    <x v="14"/>
    <x v="3"/>
    <n v="0"/>
    <x v="0"/>
    <s v="Under 1000"/>
    <x v="0"/>
    <n v="1"/>
  </r>
  <r>
    <x v="147"/>
    <n v="102"/>
    <n v="13"/>
    <n v="2"/>
    <x v="2"/>
    <x v="11"/>
    <x v="2"/>
    <n v="0"/>
    <x v="3"/>
    <s v="Under 1000"/>
    <x v="1"/>
    <n v="1"/>
  </r>
  <r>
    <x v="139"/>
    <n v="98"/>
    <n v="12"/>
    <n v="2"/>
    <x v="2"/>
    <x v="7"/>
    <x v="2"/>
    <n v="0"/>
    <x v="3"/>
    <s v="Under 1000"/>
    <x v="1"/>
    <n v="1"/>
  </r>
  <r>
    <x v="291"/>
    <n v="59"/>
    <n v="10"/>
    <n v="4"/>
    <x v="2"/>
    <x v="12"/>
    <x v="0"/>
    <n v="0"/>
    <x v="0"/>
    <s v="Under 1000"/>
    <x v="1"/>
    <n v="1"/>
  </r>
  <r>
    <x v="296"/>
    <n v="189"/>
    <n v="60"/>
    <n v="4"/>
    <x v="1"/>
    <x v="15"/>
    <x v="4"/>
    <n v="0"/>
    <x v="0"/>
    <s v="Under 1000"/>
    <x v="1"/>
    <n v="1"/>
  </r>
  <r>
    <x v="405"/>
    <n v="58"/>
    <n v="-52"/>
    <n v="3"/>
    <x v="1"/>
    <x v="1"/>
    <x v="0"/>
    <n v="1"/>
    <x v="3"/>
    <s v="Under 1000"/>
    <x v="0"/>
    <n v="1"/>
  </r>
  <r>
    <x v="95"/>
    <n v="60"/>
    <n v="3"/>
    <n v="3"/>
    <x v="2"/>
    <x v="6"/>
    <x v="3"/>
    <n v="0"/>
    <x v="3"/>
    <s v="Under 1000"/>
    <x v="1"/>
    <n v="1"/>
  </r>
  <r>
    <x v="406"/>
    <n v="58"/>
    <n v="-8"/>
    <n v="2"/>
    <x v="2"/>
    <x v="6"/>
    <x v="0"/>
    <n v="1"/>
    <x v="3"/>
    <s v="Under 1000"/>
    <x v="0"/>
    <n v="1"/>
  </r>
  <r>
    <x v="166"/>
    <n v="94"/>
    <n v="20"/>
    <n v="2"/>
    <x v="1"/>
    <x v="15"/>
    <x v="3"/>
    <n v="0"/>
    <x v="3"/>
    <s v="Under 1000"/>
    <x v="1"/>
    <n v="1"/>
  </r>
  <r>
    <x v="117"/>
    <n v="193"/>
    <n v="-166"/>
    <n v="3"/>
    <x v="2"/>
    <x v="6"/>
    <x v="1"/>
    <n v="1"/>
    <x v="3"/>
    <s v="Under 1000"/>
    <x v="1"/>
    <n v="1"/>
  </r>
  <r>
    <x v="203"/>
    <n v="199"/>
    <n v="0"/>
    <n v="4"/>
    <x v="2"/>
    <x v="11"/>
    <x v="1"/>
    <n v="0"/>
    <x v="0"/>
    <s v="Under 1000"/>
    <x v="1"/>
    <n v="1"/>
  </r>
  <r>
    <x v="133"/>
    <n v="202"/>
    <n v="89"/>
    <n v="9"/>
    <x v="2"/>
    <x v="14"/>
    <x v="1"/>
    <n v="0"/>
    <x v="2"/>
    <s v="Under 1000"/>
    <x v="1"/>
    <n v="1"/>
  </r>
  <r>
    <x v="133"/>
    <n v="58"/>
    <n v="17"/>
    <n v="2"/>
    <x v="2"/>
    <x v="7"/>
    <x v="0"/>
    <n v="0"/>
    <x v="3"/>
    <s v="Under 1000"/>
    <x v="1"/>
    <n v="1"/>
  </r>
  <r>
    <x v="407"/>
    <n v="57"/>
    <n v="-28"/>
    <n v="2"/>
    <x v="2"/>
    <x v="8"/>
    <x v="0"/>
    <n v="1"/>
    <x v="3"/>
    <s v="Under 1000"/>
    <x v="0"/>
    <n v="1"/>
  </r>
  <r>
    <x v="103"/>
    <n v="204"/>
    <n v="-94"/>
    <n v="4"/>
    <x v="2"/>
    <x v="7"/>
    <x v="1"/>
    <n v="1"/>
    <x v="0"/>
    <s v="Under 1000"/>
    <x v="1"/>
    <n v="1"/>
  </r>
  <r>
    <x v="408"/>
    <n v="98"/>
    <n v="-12"/>
    <n v="2"/>
    <x v="0"/>
    <x v="0"/>
    <x v="2"/>
    <n v="1"/>
    <x v="3"/>
    <s v="Under 1000"/>
    <x v="0"/>
    <n v="1"/>
  </r>
  <r>
    <x v="110"/>
    <n v="22"/>
    <n v="-12"/>
    <n v="3"/>
    <x v="2"/>
    <x v="11"/>
    <x v="0"/>
    <n v="1"/>
    <x v="3"/>
    <s v="Under 1000"/>
    <x v="1"/>
    <n v="1"/>
  </r>
  <r>
    <x v="83"/>
    <n v="97"/>
    <n v="17"/>
    <n v="2"/>
    <x v="2"/>
    <x v="11"/>
    <x v="2"/>
    <n v="0"/>
    <x v="3"/>
    <s v="Under 1000"/>
    <x v="1"/>
    <n v="1"/>
  </r>
  <r>
    <x v="300"/>
    <n v="57"/>
    <n v="24"/>
    <n v="5"/>
    <x v="2"/>
    <x v="12"/>
    <x v="0"/>
    <n v="0"/>
    <x v="0"/>
    <s v="Under 1000"/>
    <x v="1"/>
    <n v="1"/>
  </r>
  <r>
    <x v="409"/>
    <n v="97"/>
    <n v="14"/>
    <n v="2"/>
    <x v="2"/>
    <x v="14"/>
    <x v="2"/>
    <n v="0"/>
    <x v="3"/>
    <s v="Under 1000"/>
    <x v="0"/>
    <n v="1"/>
  </r>
  <r>
    <x v="171"/>
    <n v="97"/>
    <n v="17"/>
    <n v="2"/>
    <x v="2"/>
    <x v="11"/>
    <x v="2"/>
    <n v="0"/>
    <x v="3"/>
    <s v="Under 1000"/>
    <x v="1"/>
    <n v="1"/>
  </r>
  <r>
    <x v="91"/>
    <n v="96"/>
    <n v="22"/>
    <n v="5"/>
    <x v="2"/>
    <x v="11"/>
    <x v="2"/>
    <n v="0"/>
    <x v="0"/>
    <s v="Under 1000"/>
    <x v="1"/>
    <n v="1"/>
  </r>
  <r>
    <x v="114"/>
    <n v="94"/>
    <n v="27"/>
    <n v="2"/>
    <x v="2"/>
    <x v="16"/>
    <x v="2"/>
    <n v="0"/>
    <x v="3"/>
    <s v="Under 1000"/>
    <x v="1"/>
    <n v="1"/>
  </r>
  <r>
    <x v="260"/>
    <n v="26"/>
    <n v="-17"/>
    <n v="1"/>
    <x v="2"/>
    <x v="11"/>
    <x v="0"/>
    <n v="1"/>
    <x v="3"/>
    <s v="Under 1000"/>
    <x v="1"/>
    <n v="1"/>
  </r>
  <r>
    <x v="410"/>
    <n v="93"/>
    <n v="44"/>
    <n v="2"/>
    <x v="2"/>
    <x v="11"/>
    <x v="2"/>
    <n v="0"/>
    <x v="3"/>
    <s v="Under 1000"/>
    <x v="0"/>
    <n v="1"/>
  </r>
  <r>
    <x v="29"/>
    <n v="93"/>
    <n v="-65"/>
    <n v="4"/>
    <x v="2"/>
    <x v="11"/>
    <x v="2"/>
    <n v="1"/>
    <x v="0"/>
    <s v="Under 1000"/>
    <x v="1"/>
    <n v="1"/>
  </r>
  <r>
    <x v="222"/>
    <n v="92"/>
    <n v="5"/>
    <n v="6"/>
    <x v="2"/>
    <x v="7"/>
    <x v="2"/>
    <n v="0"/>
    <x v="0"/>
    <s v="Under 1000"/>
    <x v="1"/>
    <n v="1"/>
  </r>
  <r>
    <x v="9"/>
    <n v="57"/>
    <n v="27"/>
    <n v="2"/>
    <x v="2"/>
    <x v="14"/>
    <x v="0"/>
    <n v="0"/>
    <x v="3"/>
    <s v="Under 1000"/>
    <x v="1"/>
    <n v="1"/>
  </r>
  <r>
    <x v="138"/>
    <n v="57"/>
    <n v="7"/>
    <n v="3"/>
    <x v="1"/>
    <x v="15"/>
    <x v="0"/>
    <n v="0"/>
    <x v="3"/>
    <s v="Under 1000"/>
    <x v="1"/>
    <n v="1"/>
  </r>
  <r>
    <x v="411"/>
    <n v="57"/>
    <n v="21"/>
    <n v="4"/>
    <x v="2"/>
    <x v="12"/>
    <x v="0"/>
    <n v="0"/>
    <x v="0"/>
    <s v="Under 1000"/>
    <x v="0"/>
    <n v="1"/>
  </r>
  <r>
    <x v="239"/>
    <n v="128"/>
    <n v="4"/>
    <n v="3"/>
    <x v="2"/>
    <x v="6"/>
    <x v="0"/>
    <n v="0"/>
    <x v="3"/>
    <s v="Under 1000"/>
    <x v="1"/>
    <n v="1"/>
  </r>
  <r>
    <x v="37"/>
    <n v="89"/>
    <n v="-4"/>
    <n v="5"/>
    <x v="2"/>
    <x v="6"/>
    <x v="2"/>
    <n v="1"/>
    <x v="0"/>
    <s v="Under 1000"/>
    <x v="1"/>
    <n v="1"/>
  </r>
  <r>
    <x v="132"/>
    <n v="221"/>
    <n v="26"/>
    <n v="7"/>
    <x v="1"/>
    <x v="15"/>
    <x v="0"/>
    <n v="0"/>
    <x v="0"/>
    <s v="Under 1000"/>
    <x v="1"/>
    <n v="1"/>
  </r>
  <r>
    <x v="240"/>
    <n v="205"/>
    <n v="-119"/>
    <n v="3"/>
    <x v="2"/>
    <x v="6"/>
    <x v="4"/>
    <n v="1"/>
    <x v="3"/>
    <s v="Under 1000"/>
    <x v="1"/>
    <n v="1"/>
  </r>
  <r>
    <x v="308"/>
    <n v="191"/>
    <n v="51"/>
    <n v="5"/>
    <x v="2"/>
    <x v="16"/>
    <x v="3"/>
    <n v="0"/>
    <x v="0"/>
    <s v="Under 1000"/>
    <x v="1"/>
    <n v="1"/>
  </r>
  <r>
    <x v="179"/>
    <n v="206"/>
    <n v="18"/>
    <n v="4"/>
    <x v="2"/>
    <x v="7"/>
    <x v="4"/>
    <n v="0"/>
    <x v="0"/>
    <s v="Under 1000"/>
    <x v="1"/>
    <n v="1"/>
  </r>
  <r>
    <x v="192"/>
    <n v="56"/>
    <n v="0"/>
    <n v="4"/>
    <x v="2"/>
    <x v="7"/>
    <x v="0"/>
    <n v="0"/>
    <x v="0"/>
    <s v="Under 1000"/>
    <x v="1"/>
    <n v="1"/>
  </r>
  <r>
    <x v="202"/>
    <n v="88"/>
    <n v="16"/>
    <n v="4"/>
    <x v="2"/>
    <x v="11"/>
    <x v="2"/>
    <n v="0"/>
    <x v="0"/>
    <s v="Under 1000"/>
    <x v="1"/>
    <n v="1"/>
  </r>
  <r>
    <x v="294"/>
    <n v="224"/>
    <n v="58"/>
    <n v="3"/>
    <x v="0"/>
    <x v="4"/>
    <x v="3"/>
    <n v="0"/>
    <x v="3"/>
    <s v="Under 1000"/>
    <x v="1"/>
    <n v="1"/>
  </r>
  <r>
    <x v="412"/>
    <n v="193"/>
    <n v="8"/>
    <n v="4"/>
    <x v="2"/>
    <x v="14"/>
    <x v="3"/>
    <n v="0"/>
    <x v="0"/>
    <s v="Under 1000"/>
    <x v="0"/>
    <n v="1"/>
  </r>
  <r>
    <x v="101"/>
    <n v="87"/>
    <n v="36"/>
    <n v="5"/>
    <x v="2"/>
    <x v="11"/>
    <x v="2"/>
    <n v="0"/>
    <x v="0"/>
    <s v="Under 1000"/>
    <x v="1"/>
    <n v="1"/>
  </r>
  <r>
    <x v="141"/>
    <n v="189"/>
    <n v="4"/>
    <n v="1"/>
    <x v="2"/>
    <x v="6"/>
    <x v="3"/>
    <n v="0"/>
    <x v="3"/>
    <s v="Under 1000"/>
    <x v="1"/>
    <n v="1"/>
  </r>
  <r>
    <x v="195"/>
    <n v="55"/>
    <n v="-33"/>
    <n v="2"/>
    <x v="1"/>
    <x v="1"/>
    <x v="0"/>
    <n v="1"/>
    <x v="3"/>
    <s v="Under 1000"/>
    <x v="1"/>
    <n v="1"/>
  </r>
  <r>
    <x v="413"/>
    <n v="85"/>
    <n v="-1"/>
    <n v="3"/>
    <x v="2"/>
    <x v="6"/>
    <x v="2"/>
    <n v="1"/>
    <x v="3"/>
    <s v="Under 1000"/>
    <x v="0"/>
    <n v="1"/>
  </r>
  <r>
    <x v="125"/>
    <n v="252"/>
    <n v="56"/>
    <n v="2"/>
    <x v="0"/>
    <x v="4"/>
    <x v="3"/>
    <n v="0"/>
    <x v="3"/>
    <s v="Under 1000"/>
    <x v="1"/>
    <n v="1"/>
  </r>
  <r>
    <x v="139"/>
    <n v="197"/>
    <n v="73"/>
    <n v="1"/>
    <x v="1"/>
    <x v="2"/>
    <x v="0"/>
    <n v="0"/>
    <x v="3"/>
    <s v="Under 1000"/>
    <x v="1"/>
    <n v="1"/>
  </r>
  <r>
    <x v="10"/>
    <n v="17"/>
    <n v="-3"/>
    <n v="2"/>
    <x v="2"/>
    <x v="11"/>
    <x v="3"/>
    <n v="1"/>
    <x v="3"/>
    <s v="Under 1000"/>
    <x v="1"/>
    <n v="1"/>
  </r>
  <r>
    <x v="414"/>
    <n v="100"/>
    <n v="28"/>
    <n v="2"/>
    <x v="2"/>
    <x v="7"/>
    <x v="3"/>
    <n v="0"/>
    <x v="3"/>
    <s v="Under 1000"/>
    <x v="0"/>
    <n v="1"/>
  </r>
  <r>
    <x v="40"/>
    <n v="80"/>
    <n v="-19"/>
    <n v="5"/>
    <x v="2"/>
    <x v="11"/>
    <x v="3"/>
    <n v="1"/>
    <x v="0"/>
    <s v="Under 1000"/>
    <x v="1"/>
    <n v="1"/>
  </r>
  <r>
    <x v="137"/>
    <n v="75"/>
    <n v="29"/>
    <n v="1"/>
    <x v="2"/>
    <x v="5"/>
    <x v="3"/>
    <n v="0"/>
    <x v="3"/>
    <s v="Under 1000"/>
    <x v="1"/>
    <n v="1"/>
  </r>
  <r>
    <x v="40"/>
    <n v="26"/>
    <n v="4"/>
    <n v="2"/>
    <x v="2"/>
    <x v="6"/>
    <x v="3"/>
    <n v="0"/>
    <x v="3"/>
    <s v="Under 1000"/>
    <x v="1"/>
    <n v="1"/>
  </r>
  <r>
    <x v="415"/>
    <n v="55"/>
    <n v="12"/>
    <n v="5"/>
    <x v="2"/>
    <x v="9"/>
    <x v="0"/>
    <n v="0"/>
    <x v="0"/>
    <s v="Under 1000"/>
    <x v="0"/>
    <n v="1"/>
  </r>
  <r>
    <x v="292"/>
    <n v="157"/>
    <n v="5"/>
    <n v="9"/>
    <x v="2"/>
    <x v="6"/>
    <x v="3"/>
    <n v="0"/>
    <x v="2"/>
    <s v="Under 1000"/>
    <x v="1"/>
    <n v="1"/>
  </r>
  <r>
    <x v="89"/>
    <n v="200"/>
    <n v="-60"/>
    <n v="4"/>
    <x v="1"/>
    <x v="2"/>
    <x v="3"/>
    <n v="1"/>
    <x v="0"/>
    <s v="Under 1000"/>
    <x v="1"/>
    <n v="1"/>
  </r>
  <r>
    <x v="191"/>
    <n v="230"/>
    <n v="5"/>
    <n v="2"/>
    <x v="2"/>
    <x v="6"/>
    <x v="3"/>
    <n v="0"/>
    <x v="3"/>
    <s v="Under 1000"/>
    <x v="1"/>
    <n v="1"/>
  </r>
  <r>
    <x v="179"/>
    <n v="213"/>
    <n v="-145"/>
    <n v="3"/>
    <x v="1"/>
    <x v="2"/>
    <x v="4"/>
    <n v="1"/>
    <x v="3"/>
    <s v="Under 1000"/>
    <x v="1"/>
    <n v="1"/>
  </r>
  <r>
    <x v="161"/>
    <n v="55"/>
    <n v="4"/>
    <n v="2"/>
    <x v="2"/>
    <x v="11"/>
    <x v="0"/>
    <n v="0"/>
    <x v="3"/>
    <s v="Under 1000"/>
    <x v="1"/>
    <n v="1"/>
  </r>
  <r>
    <x v="416"/>
    <n v="220"/>
    <n v="-19"/>
    <n v="2"/>
    <x v="2"/>
    <x v="6"/>
    <x v="4"/>
    <n v="1"/>
    <x v="3"/>
    <s v="Under 1000"/>
    <x v="0"/>
    <n v="1"/>
  </r>
  <r>
    <x v="46"/>
    <n v="150"/>
    <n v="32"/>
    <n v="3"/>
    <x v="2"/>
    <x v="7"/>
    <x v="0"/>
    <n v="0"/>
    <x v="3"/>
    <s v="Under 1000"/>
    <x v="1"/>
    <n v="1"/>
  </r>
  <r>
    <x v="105"/>
    <n v="203"/>
    <n v="84"/>
    <n v="2"/>
    <x v="0"/>
    <x v="3"/>
    <x v="3"/>
    <n v="0"/>
    <x v="3"/>
    <s v="Under 1000"/>
    <x v="1"/>
    <n v="1"/>
  </r>
  <r>
    <x v="135"/>
    <n v="93"/>
    <n v="31"/>
    <n v="3"/>
    <x v="0"/>
    <x v="13"/>
    <x v="3"/>
    <n v="0"/>
    <x v="3"/>
    <s v="Under 1000"/>
    <x v="1"/>
    <n v="1"/>
  </r>
  <r>
    <x v="417"/>
    <n v="290"/>
    <n v="35"/>
    <n v="6"/>
    <x v="2"/>
    <x v="7"/>
    <x v="0"/>
    <n v="0"/>
    <x v="0"/>
    <s v="Under 1000"/>
    <x v="0"/>
    <n v="1"/>
  </r>
  <r>
    <x v="237"/>
    <n v="48"/>
    <n v="6"/>
    <n v="1"/>
    <x v="2"/>
    <x v="6"/>
    <x v="0"/>
    <n v="0"/>
    <x v="3"/>
    <s v="Under 1000"/>
    <x v="1"/>
    <n v="1"/>
  </r>
  <r>
    <x v="222"/>
    <n v="221"/>
    <n v="35"/>
    <n v="4"/>
    <x v="0"/>
    <x v="13"/>
    <x v="4"/>
    <n v="0"/>
    <x v="0"/>
    <s v="Under 1000"/>
    <x v="1"/>
    <n v="1"/>
  </r>
  <r>
    <x v="418"/>
    <n v="55"/>
    <n v="18"/>
    <n v="2"/>
    <x v="2"/>
    <x v="8"/>
    <x v="0"/>
    <n v="0"/>
    <x v="3"/>
    <s v="Under 1000"/>
    <x v="0"/>
    <n v="1"/>
  </r>
  <r>
    <x v="87"/>
    <n v="227"/>
    <n v="102"/>
    <n v="8"/>
    <x v="0"/>
    <x v="13"/>
    <x v="4"/>
    <n v="0"/>
    <x v="2"/>
    <s v="Under 1000"/>
    <x v="1"/>
    <n v="1"/>
  </r>
  <r>
    <x v="419"/>
    <n v="55"/>
    <n v="-39"/>
    <n v="4"/>
    <x v="2"/>
    <x v="11"/>
    <x v="0"/>
    <n v="1"/>
    <x v="0"/>
    <s v="Under 1000"/>
    <x v="0"/>
    <n v="1"/>
  </r>
  <r>
    <x v="417"/>
    <n v="207"/>
    <n v="33"/>
    <n v="2"/>
    <x v="0"/>
    <x v="13"/>
    <x v="3"/>
    <n v="0"/>
    <x v="3"/>
    <s v="Under 1000"/>
    <x v="1"/>
    <n v="1"/>
  </r>
  <r>
    <x v="52"/>
    <n v="64"/>
    <n v="6"/>
    <n v="4"/>
    <x v="2"/>
    <x v="6"/>
    <x v="0"/>
    <n v="0"/>
    <x v="0"/>
    <s v="Under 1000"/>
    <x v="1"/>
    <n v="1"/>
  </r>
  <r>
    <x v="203"/>
    <n v="89"/>
    <n v="6"/>
    <n v="5"/>
    <x v="2"/>
    <x v="6"/>
    <x v="0"/>
    <n v="0"/>
    <x v="0"/>
    <s v="Under 1000"/>
    <x v="1"/>
    <n v="1"/>
  </r>
  <r>
    <x v="21"/>
    <n v="54"/>
    <n v="27"/>
    <n v="2"/>
    <x v="2"/>
    <x v="11"/>
    <x v="0"/>
    <n v="0"/>
    <x v="3"/>
    <s v="Under 1000"/>
    <x v="1"/>
    <n v="1"/>
  </r>
  <r>
    <x v="109"/>
    <n v="84"/>
    <n v="41"/>
    <n v="3"/>
    <x v="2"/>
    <x v="14"/>
    <x v="2"/>
    <n v="0"/>
    <x v="3"/>
    <s v="Under 1000"/>
    <x v="1"/>
    <n v="1"/>
  </r>
  <r>
    <x v="257"/>
    <n v="209"/>
    <n v="-21"/>
    <n v="2"/>
    <x v="0"/>
    <x v="0"/>
    <x v="3"/>
    <n v="1"/>
    <x v="3"/>
    <s v="Under 1000"/>
    <x v="1"/>
    <n v="1"/>
  </r>
  <r>
    <x v="168"/>
    <n v="79"/>
    <n v="33"/>
    <n v="4"/>
    <x v="2"/>
    <x v="11"/>
    <x v="3"/>
    <n v="0"/>
    <x v="0"/>
    <s v="Under 1000"/>
    <x v="1"/>
    <n v="1"/>
  </r>
  <r>
    <x v="420"/>
    <n v="54"/>
    <n v="8"/>
    <n v="4"/>
    <x v="2"/>
    <x v="14"/>
    <x v="0"/>
    <n v="0"/>
    <x v="0"/>
    <s v="Under 1000"/>
    <x v="0"/>
    <n v="1"/>
  </r>
  <r>
    <x v="64"/>
    <n v="229"/>
    <n v="59"/>
    <n v="9"/>
    <x v="2"/>
    <x v="6"/>
    <x v="4"/>
    <n v="0"/>
    <x v="2"/>
    <s v="Under 1000"/>
    <x v="1"/>
    <n v="1"/>
  </r>
  <r>
    <x v="346"/>
    <n v="158"/>
    <n v="38"/>
    <n v="3"/>
    <x v="2"/>
    <x v="7"/>
    <x v="3"/>
    <n v="0"/>
    <x v="3"/>
    <s v="Under 1000"/>
    <x v="1"/>
    <n v="1"/>
  </r>
  <r>
    <x v="147"/>
    <n v="248"/>
    <n v="105"/>
    <n v="2"/>
    <x v="0"/>
    <x v="4"/>
    <x v="4"/>
    <n v="0"/>
    <x v="3"/>
    <s v="Under 1000"/>
    <x v="1"/>
    <n v="1"/>
  </r>
  <r>
    <x v="18"/>
    <n v="199"/>
    <n v="6"/>
    <n v="2"/>
    <x v="2"/>
    <x v="6"/>
    <x v="3"/>
    <n v="0"/>
    <x v="3"/>
    <s v="Under 1000"/>
    <x v="1"/>
    <n v="1"/>
  </r>
  <r>
    <x v="12"/>
    <n v="253"/>
    <n v="-11"/>
    <n v="1"/>
    <x v="2"/>
    <x v="5"/>
    <x v="4"/>
    <n v="1"/>
    <x v="3"/>
    <s v="Under 1000"/>
    <x v="1"/>
    <n v="1"/>
  </r>
  <r>
    <x v="275"/>
    <n v="257"/>
    <n v="-252"/>
    <n v="4"/>
    <x v="2"/>
    <x v="6"/>
    <x v="4"/>
    <n v="1"/>
    <x v="0"/>
    <s v="Under 1000"/>
    <x v="1"/>
    <n v="1"/>
  </r>
  <r>
    <x v="421"/>
    <n v="193"/>
    <n v="33"/>
    <n v="5"/>
    <x v="0"/>
    <x v="13"/>
    <x v="0"/>
    <n v="0"/>
    <x v="0"/>
    <s v="Under 1000"/>
    <x v="0"/>
    <n v="1"/>
  </r>
  <r>
    <x v="422"/>
    <n v="109"/>
    <n v="35"/>
    <n v="6"/>
    <x v="2"/>
    <x v="14"/>
    <x v="0"/>
    <n v="0"/>
    <x v="0"/>
    <s v="Under 1000"/>
    <x v="0"/>
    <n v="1"/>
  </r>
  <r>
    <x v="209"/>
    <n v="214"/>
    <n v="30"/>
    <n v="3"/>
    <x v="0"/>
    <x v="13"/>
    <x v="0"/>
    <n v="0"/>
    <x v="3"/>
    <s v="Under 1000"/>
    <x v="1"/>
    <n v="1"/>
  </r>
  <r>
    <x v="269"/>
    <n v="141"/>
    <n v="7"/>
    <n v="7"/>
    <x v="2"/>
    <x v="6"/>
    <x v="0"/>
    <n v="0"/>
    <x v="0"/>
    <s v="Under 1000"/>
    <x v="1"/>
    <n v="1"/>
  </r>
  <r>
    <x v="132"/>
    <n v="201"/>
    <n v="32"/>
    <n v="4"/>
    <x v="1"/>
    <x v="15"/>
    <x v="3"/>
    <n v="0"/>
    <x v="0"/>
    <s v="Under 1000"/>
    <x v="1"/>
    <n v="1"/>
  </r>
  <r>
    <x v="137"/>
    <n v="54"/>
    <n v="12"/>
    <n v="4"/>
    <x v="2"/>
    <x v="16"/>
    <x v="0"/>
    <n v="0"/>
    <x v="0"/>
    <s v="Under 1000"/>
    <x v="1"/>
    <n v="1"/>
  </r>
  <r>
    <x v="11"/>
    <n v="83"/>
    <n v="6"/>
    <n v="6"/>
    <x v="2"/>
    <x v="16"/>
    <x v="1"/>
    <n v="0"/>
    <x v="0"/>
    <s v="Under 1000"/>
    <x v="1"/>
    <n v="1"/>
  </r>
  <r>
    <x v="173"/>
    <n v="54"/>
    <n v="-3"/>
    <n v="3"/>
    <x v="2"/>
    <x v="6"/>
    <x v="0"/>
    <n v="1"/>
    <x v="3"/>
    <s v="Under 1000"/>
    <x v="1"/>
    <n v="1"/>
  </r>
  <r>
    <x v="85"/>
    <n v="53"/>
    <n v="5"/>
    <n v="3"/>
    <x v="2"/>
    <x v="14"/>
    <x v="0"/>
    <n v="0"/>
    <x v="3"/>
    <s v="Under 1000"/>
    <x v="1"/>
    <n v="1"/>
  </r>
  <r>
    <x v="214"/>
    <n v="258"/>
    <n v="-27"/>
    <n v="2"/>
    <x v="0"/>
    <x v="4"/>
    <x v="4"/>
    <n v="1"/>
    <x v="3"/>
    <s v="Under 1000"/>
    <x v="1"/>
    <n v="1"/>
  </r>
  <r>
    <x v="423"/>
    <n v="199"/>
    <n v="8"/>
    <n v="2"/>
    <x v="2"/>
    <x v="6"/>
    <x v="0"/>
    <n v="0"/>
    <x v="3"/>
    <s v="Under 1000"/>
    <x v="0"/>
    <n v="1"/>
  </r>
  <r>
    <x v="268"/>
    <n v="82"/>
    <n v="-27"/>
    <n v="3"/>
    <x v="2"/>
    <x v="8"/>
    <x v="1"/>
    <n v="1"/>
    <x v="3"/>
    <s v="Under 1000"/>
    <x v="1"/>
    <n v="1"/>
  </r>
  <r>
    <x v="241"/>
    <n v="139"/>
    <n v="36"/>
    <n v="3"/>
    <x v="2"/>
    <x v="11"/>
    <x v="0"/>
    <n v="0"/>
    <x v="3"/>
    <s v="Under 1000"/>
    <x v="1"/>
    <n v="1"/>
  </r>
  <r>
    <x v="74"/>
    <n v="53"/>
    <n v="15"/>
    <n v="2"/>
    <x v="2"/>
    <x v="11"/>
    <x v="0"/>
    <n v="0"/>
    <x v="3"/>
    <s v="Under 1000"/>
    <x v="1"/>
    <n v="1"/>
  </r>
  <r>
    <x v="304"/>
    <n v="53"/>
    <n v="1"/>
    <n v="4"/>
    <x v="2"/>
    <x v="11"/>
    <x v="0"/>
    <n v="0"/>
    <x v="0"/>
    <s v="Under 1000"/>
    <x v="1"/>
    <n v="1"/>
  </r>
  <r>
    <x v="424"/>
    <n v="101"/>
    <n v="38"/>
    <n v="2"/>
    <x v="1"/>
    <x v="15"/>
    <x v="0"/>
    <n v="0"/>
    <x v="3"/>
    <s v="Under 1000"/>
    <x v="0"/>
    <n v="1"/>
  </r>
  <r>
    <x v="29"/>
    <n v="262"/>
    <n v="215"/>
    <n v="2"/>
    <x v="0"/>
    <x v="3"/>
    <x v="4"/>
    <n v="0"/>
    <x v="3"/>
    <s v="Under 1000"/>
    <x v="1"/>
    <n v="1"/>
  </r>
  <r>
    <x v="82"/>
    <n v="82"/>
    <n v="-39"/>
    <n v="5"/>
    <x v="2"/>
    <x v="14"/>
    <x v="1"/>
    <n v="1"/>
    <x v="0"/>
    <s v="Under 1000"/>
    <x v="1"/>
    <n v="1"/>
  </r>
  <r>
    <x v="327"/>
    <n v="154"/>
    <n v="39"/>
    <n v="3"/>
    <x v="2"/>
    <x v="7"/>
    <x v="0"/>
    <n v="0"/>
    <x v="3"/>
    <s v="Under 1000"/>
    <x v="1"/>
    <n v="1"/>
  </r>
  <r>
    <x v="425"/>
    <n v="52"/>
    <n v="18"/>
    <n v="2"/>
    <x v="2"/>
    <x v="11"/>
    <x v="0"/>
    <n v="0"/>
    <x v="3"/>
    <s v="Under 1000"/>
    <x v="0"/>
    <n v="1"/>
  </r>
  <r>
    <x v="353"/>
    <n v="1599"/>
    <n v="37"/>
    <n v="6"/>
    <x v="0"/>
    <x v="0"/>
    <x v="3"/>
    <n v="0"/>
    <x v="0"/>
    <s v="1000 - 2999"/>
    <x v="1"/>
    <n v="1"/>
  </r>
  <r>
    <x v="223"/>
    <n v="338"/>
    <n v="41"/>
    <n v="7"/>
    <x v="2"/>
    <x v="7"/>
    <x v="3"/>
    <n v="0"/>
    <x v="0"/>
    <s v="Under 1000"/>
    <x v="1"/>
    <n v="1"/>
  </r>
  <r>
    <x v="260"/>
    <n v="51"/>
    <n v="-49"/>
    <n v="2"/>
    <x v="0"/>
    <x v="0"/>
    <x v="0"/>
    <n v="1"/>
    <x v="3"/>
    <s v="Under 1000"/>
    <x v="1"/>
    <n v="1"/>
  </r>
  <r>
    <x v="258"/>
    <n v="224"/>
    <n v="-81"/>
    <n v="3"/>
    <x v="1"/>
    <x v="1"/>
    <x v="0"/>
    <n v="1"/>
    <x v="3"/>
    <s v="Under 1000"/>
    <x v="1"/>
    <n v="1"/>
  </r>
  <r>
    <x v="426"/>
    <n v="207"/>
    <n v="37"/>
    <n v="4"/>
    <x v="2"/>
    <x v="7"/>
    <x v="0"/>
    <n v="0"/>
    <x v="0"/>
    <s v="Under 1000"/>
    <x v="0"/>
    <n v="1"/>
  </r>
  <r>
    <x v="427"/>
    <n v="51"/>
    <n v="14"/>
    <n v="2"/>
    <x v="2"/>
    <x v="11"/>
    <x v="0"/>
    <n v="0"/>
    <x v="3"/>
    <s v="Under 1000"/>
    <x v="0"/>
    <n v="1"/>
  </r>
  <r>
    <x v="98"/>
    <n v="82"/>
    <n v="8"/>
    <n v="3"/>
    <x v="0"/>
    <x v="13"/>
    <x v="1"/>
    <n v="0"/>
    <x v="3"/>
    <s v="Under 1000"/>
    <x v="1"/>
    <n v="1"/>
  </r>
  <r>
    <x v="106"/>
    <n v="50"/>
    <n v="-17"/>
    <n v="2"/>
    <x v="2"/>
    <x v="11"/>
    <x v="0"/>
    <n v="1"/>
    <x v="3"/>
    <s v="Under 1000"/>
    <x v="1"/>
    <n v="1"/>
  </r>
  <r>
    <x v="14"/>
    <n v="263"/>
    <n v="-31"/>
    <n v="9"/>
    <x v="0"/>
    <x v="0"/>
    <x v="4"/>
    <n v="1"/>
    <x v="2"/>
    <s v="Under 1000"/>
    <x v="1"/>
    <n v="1"/>
  </r>
  <r>
    <x v="209"/>
    <n v="50"/>
    <n v="7"/>
    <n v="6"/>
    <x v="2"/>
    <x v="9"/>
    <x v="0"/>
    <n v="0"/>
    <x v="0"/>
    <s v="Under 1000"/>
    <x v="1"/>
    <n v="1"/>
  </r>
  <r>
    <x v="368"/>
    <n v="245"/>
    <n v="-3"/>
    <n v="4"/>
    <x v="0"/>
    <x v="4"/>
    <x v="3"/>
    <n v="1"/>
    <x v="0"/>
    <s v="Under 1000"/>
    <x v="1"/>
    <n v="1"/>
  </r>
  <r>
    <x v="125"/>
    <n v="82"/>
    <n v="24"/>
    <n v="6"/>
    <x v="2"/>
    <x v="7"/>
    <x v="1"/>
    <n v="0"/>
    <x v="0"/>
    <s v="Under 1000"/>
    <x v="1"/>
    <n v="1"/>
  </r>
  <r>
    <x v="112"/>
    <n v="229"/>
    <n v="-41"/>
    <n v="8"/>
    <x v="0"/>
    <x v="13"/>
    <x v="0"/>
    <n v="1"/>
    <x v="2"/>
    <s v="Under 1000"/>
    <x v="1"/>
    <n v="1"/>
  </r>
  <r>
    <x v="147"/>
    <n v="50"/>
    <n v="14"/>
    <n v="1"/>
    <x v="0"/>
    <x v="0"/>
    <x v="0"/>
    <n v="0"/>
    <x v="3"/>
    <s v="Under 1000"/>
    <x v="1"/>
    <n v="1"/>
  </r>
  <r>
    <x v="179"/>
    <n v="220"/>
    <n v="40"/>
    <n v="2"/>
    <x v="0"/>
    <x v="13"/>
    <x v="0"/>
    <n v="0"/>
    <x v="3"/>
    <s v="Under 1000"/>
    <x v="1"/>
    <n v="1"/>
  </r>
  <r>
    <x v="8"/>
    <n v="263"/>
    <n v="-63"/>
    <n v="2"/>
    <x v="0"/>
    <x v="0"/>
    <x v="4"/>
    <n v="1"/>
    <x v="3"/>
    <s v="Under 1000"/>
    <x v="1"/>
    <n v="1"/>
  </r>
  <r>
    <x v="3"/>
    <n v="81"/>
    <n v="-41"/>
    <n v="5"/>
    <x v="2"/>
    <x v="12"/>
    <x v="1"/>
    <n v="1"/>
    <x v="0"/>
    <s v="Under 1000"/>
    <x v="1"/>
    <n v="1"/>
  </r>
  <r>
    <x v="428"/>
    <n v="50"/>
    <n v="-17"/>
    <n v="2"/>
    <x v="2"/>
    <x v="11"/>
    <x v="0"/>
    <n v="1"/>
    <x v="3"/>
    <s v="Under 1000"/>
    <x v="0"/>
    <n v="1"/>
  </r>
  <r>
    <x v="3"/>
    <n v="49"/>
    <n v="5"/>
    <n v="4"/>
    <x v="2"/>
    <x v="7"/>
    <x v="0"/>
    <n v="0"/>
    <x v="0"/>
    <s v="Under 1000"/>
    <x v="1"/>
    <n v="1"/>
  </r>
  <r>
    <x v="9"/>
    <n v="237"/>
    <n v="47"/>
    <n v="9"/>
    <x v="2"/>
    <x v="14"/>
    <x v="3"/>
    <n v="0"/>
    <x v="2"/>
    <s v="Under 1000"/>
    <x v="1"/>
    <n v="1"/>
  </r>
  <r>
    <x v="429"/>
    <n v="264"/>
    <n v="-30"/>
    <n v="3"/>
    <x v="1"/>
    <x v="15"/>
    <x v="4"/>
    <n v="1"/>
    <x v="3"/>
    <s v="Under 1000"/>
    <x v="0"/>
    <n v="1"/>
  </r>
  <r>
    <x v="89"/>
    <n v="49"/>
    <n v="3"/>
    <n v="1"/>
    <x v="2"/>
    <x v="16"/>
    <x v="0"/>
    <n v="0"/>
    <x v="3"/>
    <s v="Under 1000"/>
    <x v="1"/>
    <n v="1"/>
  </r>
  <r>
    <x v="275"/>
    <n v="63"/>
    <n v="-24"/>
    <n v="6"/>
    <x v="2"/>
    <x v="8"/>
    <x v="0"/>
    <n v="1"/>
    <x v="0"/>
    <s v="Under 1000"/>
    <x v="1"/>
    <n v="1"/>
  </r>
  <r>
    <x v="120"/>
    <n v="81"/>
    <n v="-51"/>
    <n v="7"/>
    <x v="2"/>
    <x v="11"/>
    <x v="1"/>
    <n v="1"/>
    <x v="0"/>
    <s v="Under 1000"/>
    <x v="1"/>
    <n v="1"/>
  </r>
  <r>
    <x v="130"/>
    <n v="264"/>
    <n v="71"/>
    <n v="10"/>
    <x v="1"/>
    <x v="15"/>
    <x v="4"/>
    <n v="0"/>
    <x v="2"/>
    <s v="Under 1000"/>
    <x v="1"/>
    <n v="1"/>
  </r>
  <r>
    <x v="296"/>
    <n v="48"/>
    <n v="11"/>
    <n v="2"/>
    <x v="2"/>
    <x v="16"/>
    <x v="0"/>
    <n v="0"/>
    <x v="3"/>
    <s v="Under 1000"/>
    <x v="1"/>
    <n v="1"/>
  </r>
  <r>
    <x v="289"/>
    <n v="48"/>
    <n v="15"/>
    <n v="1"/>
    <x v="2"/>
    <x v="7"/>
    <x v="0"/>
    <n v="0"/>
    <x v="3"/>
    <s v="Under 1000"/>
    <x v="1"/>
    <n v="1"/>
  </r>
  <r>
    <x v="104"/>
    <n v="245"/>
    <n v="-78"/>
    <n v="2"/>
    <x v="0"/>
    <x v="3"/>
    <x v="3"/>
    <n v="1"/>
    <x v="3"/>
    <s v="Under 1000"/>
    <x v="1"/>
    <n v="1"/>
  </r>
  <r>
    <x v="33"/>
    <n v="146"/>
    <n v="42"/>
    <n v="5"/>
    <x v="2"/>
    <x v="7"/>
    <x v="3"/>
    <n v="0"/>
    <x v="0"/>
    <s v="Under 1000"/>
    <x v="1"/>
    <n v="1"/>
  </r>
  <r>
    <x v="95"/>
    <n v="245"/>
    <n v="10"/>
    <n v="2"/>
    <x v="1"/>
    <x v="2"/>
    <x v="0"/>
    <n v="0"/>
    <x v="3"/>
    <s v="Under 1000"/>
    <x v="1"/>
    <n v="1"/>
  </r>
  <r>
    <x v="232"/>
    <n v="245"/>
    <n v="91"/>
    <n v="2"/>
    <x v="1"/>
    <x v="2"/>
    <x v="3"/>
    <n v="0"/>
    <x v="3"/>
    <s v="Under 1000"/>
    <x v="1"/>
    <n v="1"/>
  </r>
  <r>
    <x v="363"/>
    <n v="80"/>
    <n v="3"/>
    <n v="3"/>
    <x v="2"/>
    <x v="11"/>
    <x v="1"/>
    <n v="0"/>
    <x v="3"/>
    <s v="Under 1000"/>
    <x v="1"/>
    <n v="1"/>
  </r>
  <r>
    <x v="164"/>
    <n v="269"/>
    <n v="33"/>
    <n v="5"/>
    <x v="1"/>
    <x v="1"/>
    <x v="4"/>
    <n v="0"/>
    <x v="0"/>
    <s v="Under 1000"/>
    <x v="1"/>
    <n v="1"/>
  </r>
  <r>
    <x v="430"/>
    <n v="80"/>
    <n v="22"/>
    <n v="3"/>
    <x v="2"/>
    <x v="11"/>
    <x v="1"/>
    <n v="0"/>
    <x v="3"/>
    <s v="Under 1000"/>
    <x v="0"/>
    <n v="1"/>
  </r>
  <r>
    <x v="198"/>
    <n v="284"/>
    <n v="44"/>
    <n v="6"/>
    <x v="2"/>
    <x v="7"/>
    <x v="0"/>
    <n v="0"/>
    <x v="0"/>
    <s v="Under 1000"/>
    <x v="1"/>
    <n v="1"/>
  </r>
  <r>
    <x v="431"/>
    <n v="313"/>
    <n v="44"/>
    <n v="3"/>
    <x v="0"/>
    <x v="0"/>
    <x v="0"/>
    <n v="0"/>
    <x v="3"/>
    <s v="Under 1000"/>
    <x v="0"/>
    <n v="1"/>
  </r>
  <r>
    <x v="432"/>
    <n v="80"/>
    <n v="-26"/>
    <n v="9"/>
    <x v="2"/>
    <x v="9"/>
    <x v="1"/>
    <n v="1"/>
    <x v="2"/>
    <s v="Under 1000"/>
    <x v="0"/>
    <n v="1"/>
  </r>
  <r>
    <x v="433"/>
    <n v="48"/>
    <n v="-8"/>
    <n v="8"/>
    <x v="2"/>
    <x v="11"/>
    <x v="0"/>
    <n v="1"/>
    <x v="2"/>
    <s v="Under 1000"/>
    <x v="0"/>
    <n v="1"/>
  </r>
  <r>
    <x v="434"/>
    <n v="87"/>
    <n v="16"/>
    <n v="2"/>
    <x v="2"/>
    <x v="6"/>
    <x v="3"/>
    <n v="0"/>
    <x v="3"/>
    <s v="Under 1000"/>
    <x v="0"/>
    <n v="1"/>
  </r>
  <r>
    <x v="256"/>
    <n v="47"/>
    <n v="-114"/>
    <n v="5"/>
    <x v="1"/>
    <x v="15"/>
    <x v="0"/>
    <n v="1"/>
    <x v="0"/>
    <s v="Under 1000"/>
    <x v="1"/>
    <n v="1"/>
  </r>
  <r>
    <x v="362"/>
    <n v="140"/>
    <n v="28"/>
    <n v="2"/>
    <x v="0"/>
    <x v="4"/>
    <x v="0"/>
    <n v="0"/>
    <x v="3"/>
    <s v="Under 1000"/>
    <x v="1"/>
    <n v="1"/>
  </r>
  <r>
    <x v="141"/>
    <n v="47"/>
    <n v="1"/>
    <n v="2"/>
    <x v="2"/>
    <x v="11"/>
    <x v="0"/>
    <n v="0"/>
    <x v="3"/>
    <s v="Under 1000"/>
    <x v="1"/>
    <n v="1"/>
  </r>
  <r>
    <x v="159"/>
    <n v="79"/>
    <n v="-2"/>
    <n v="2"/>
    <x v="1"/>
    <x v="15"/>
    <x v="1"/>
    <n v="1"/>
    <x v="3"/>
    <s v="Under 1000"/>
    <x v="1"/>
    <n v="1"/>
  </r>
  <r>
    <x v="131"/>
    <n v="78"/>
    <n v="-64"/>
    <n v="7"/>
    <x v="2"/>
    <x v="11"/>
    <x v="1"/>
    <n v="1"/>
    <x v="0"/>
    <s v="Under 1000"/>
    <x v="1"/>
    <n v="1"/>
  </r>
  <r>
    <x v="176"/>
    <n v="47"/>
    <n v="-3"/>
    <n v="2"/>
    <x v="2"/>
    <x v="11"/>
    <x v="0"/>
    <n v="1"/>
    <x v="3"/>
    <s v="Under 1000"/>
    <x v="1"/>
    <n v="1"/>
  </r>
  <r>
    <x v="297"/>
    <n v="185"/>
    <n v="48"/>
    <n v="4"/>
    <x v="2"/>
    <x v="11"/>
    <x v="3"/>
    <n v="0"/>
    <x v="0"/>
    <s v="Under 1000"/>
    <x v="1"/>
    <n v="1"/>
  </r>
  <r>
    <x v="172"/>
    <n v="77"/>
    <n v="36"/>
    <n v="2"/>
    <x v="2"/>
    <x v="16"/>
    <x v="1"/>
    <n v="0"/>
    <x v="3"/>
    <s v="Under 1000"/>
    <x v="1"/>
    <n v="1"/>
  </r>
  <r>
    <x v="435"/>
    <n v="259"/>
    <n v="47"/>
    <n v="5"/>
    <x v="2"/>
    <x v="7"/>
    <x v="3"/>
    <n v="0"/>
    <x v="0"/>
    <s v="Under 1000"/>
    <x v="0"/>
    <n v="1"/>
  </r>
  <r>
    <x v="436"/>
    <n v="75"/>
    <n v="0"/>
    <n v="7"/>
    <x v="2"/>
    <x v="6"/>
    <x v="1"/>
    <n v="0"/>
    <x v="0"/>
    <s v="Under 1000"/>
    <x v="0"/>
    <n v="1"/>
  </r>
  <r>
    <x v="437"/>
    <n v="75"/>
    <n v="0"/>
    <n v="3"/>
    <x v="2"/>
    <x v="16"/>
    <x v="1"/>
    <n v="0"/>
    <x v="3"/>
    <s v="Under 1000"/>
    <x v="0"/>
    <n v="1"/>
  </r>
  <r>
    <x v="161"/>
    <n v="46"/>
    <n v="0"/>
    <n v="4"/>
    <x v="2"/>
    <x v="12"/>
    <x v="0"/>
    <n v="0"/>
    <x v="0"/>
    <s v="Under 1000"/>
    <x v="1"/>
    <n v="1"/>
  </r>
  <r>
    <x v="162"/>
    <n v="46"/>
    <n v="13"/>
    <n v="3"/>
    <x v="2"/>
    <x v="7"/>
    <x v="0"/>
    <n v="0"/>
    <x v="3"/>
    <s v="Under 1000"/>
    <x v="1"/>
    <n v="1"/>
  </r>
  <r>
    <x v="2"/>
    <n v="200"/>
    <n v="13"/>
    <n v="5"/>
    <x v="0"/>
    <x v="4"/>
    <x v="0"/>
    <n v="0"/>
    <x v="0"/>
    <s v="Under 1000"/>
    <x v="1"/>
    <n v="1"/>
  </r>
  <r>
    <x v="438"/>
    <n v="46"/>
    <n v="-14"/>
    <n v="1"/>
    <x v="0"/>
    <x v="4"/>
    <x v="0"/>
    <n v="1"/>
    <x v="3"/>
    <s v="Under 1000"/>
    <x v="0"/>
    <n v="1"/>
  </r>
  <r>
    <x v="439"/>
    <n v="126"/>
    <n v="52"/>
    <n v="4"/>
    <x v="2"/>
    <x v="7"/>
    <x v="3"/>
    <n v="0"/>
    <x v="0"/>
    <s v="Under 1000"/>
    <x v="0"/>
    <n v="1"/>
  </r>
  <r>
    <x v="237"/>
    <n v="74"/>
    <n v="29"/>
    <n v="3"/>
    <x v="2"/>
    <x v="11"/>
    <x v="1"/>
    <n v="0"/>
    <x v="3"/>
    <s v="Under 1000"/>
    <x v="1"/>
    <n v="1"/>
  </r>
  <r>
    <x v="204"/>
    <n v="45"/>
    <n v="13"/>
    <n v="4"/>
    <x v="2"/>
    <x v="9"/>
    <x v="0"/>
    <n v="0"/>
    <x v="0"/>
    <s v="Under 1000"/>
    <x v="1"/>
    <n v="1"/>
  </r>
  <r>
    <x v="180"/>
    <n v="74"/>
    <n v="9"/>
    <n v="3"/>
    <x v="2"/>
    <x v="16"/>
    <x v="3"/>
    <n v="0"/>
    <x v="3"/>
    <s v="Under 1000"/>
    <x v="1"/>
    <n v="1"/>
  </r>
  <r>
    <x v="260"/>
    <n v="129"/>
    <n v="11"/>
    <n v="2"/>
    <x v="0"/>
    <x v="4"/>
    <x v="3"/>
    <n v="0"/>
    <x v="3"/>
    <s v="Under 1000"/>
    <x v="1"/>
    <n v="1"/>
  </r>
  <r>
    <x v="297"/>
    <n v="122"/>
    <n v="50"/>
    <n v="7"/>
    <x v="2"/>
    <x v="11"/>
    <x v="3"/>
    <n v="0"/>
    <x v="0"/>
    <s v="Under 1000"/>
    <x v="1"/>
    <n v="1"/>
  </r>
  <r>
    <x v="192"/>
    <n v="74"/>
    <n v="-51"/>
    <n v="3"/>
    <x v="2"/>
    <x v="11"/>
    <x v="3"/>
    <n v="1"/>
    <x v="3"/>
    <s v="Under 1000"/>
    <x v="1"/>
    <n v="1"/>
  </r>
  <r>
    <x v="229"/>
    <n v="278"/>
    <n v="39"/>
    <n v="5"/>
    <x v="1"/>
    <x v="1"/>
    <x v="4"/>
    <n v="0"/>
    <x v="0"/>
    <s v="Under 1000"/>
    <x v="1"/>
    <n v="1"/>
  </r>
  <r>
    <x v="440"/>
    <n v="282"/>
    <n v="14"/>
    <n v="4"/>
    <x v="2"/>
    <x v="5"/>
    <x v="4"/>
    <n v="0"/>
    <x v="0"/>
    <s v="Under 1000"/>
    <x v="0"/>
    <n v="1"/>
  </r>
  <r>
    <x v="134"/>
    <n v="45"/>
    <n v="0"/>
    <n v="2"/>
    <x v="2"/>
    <x v="14"/>
    <x v="0"/>
    <n v="0"/>
    <x v="3"/>
    <s v="Under 1000"/>
    <x v="1"/>
    <n v="1"/>
  </r>
  <r>
    <x v="51"/>
    <n v="45"/>
    <n v="6"/>
    <n v="3"/>
    <x v="2"/>
    <x v="16"/>
    <x v="0"/>
    <n v="0"/>
    <x v="3"/>
    <s v="Under 1000"/>
    <x v="1"/>
    <n v="1"/>
  </r>
  <r>
    <x v="392"/>
    <n v="45"/>
    <n v="16"/>
    <n v="3"/>
    <x v="2"/>
    <x v="11"/>
    <x v="0"/>
    <n v="0"/>
    <x v="3"/>
    <s v="Under 1000"/>
    <x v="1"/>
    <n v="1"/>
  </r>
  <r>
    <x v="441"/>
    <n v="73"/>
    <n v="-36"/>
    <n v="3"/>
    <x v="1"/>
    <x v="1"/>
    <x v="3"/>
    <n v="1"/>
    <x v="3"/>
    <s v="Under 1000"/>
    <x v="0"/>
    <n v="1"/>
  </r>
  <r>
    <x v="83"/>
    <n v="45"/>
    <n v="12"/>
    <n v="4"/>
    <x v="2"/>
    <x v="7"/>
    <x v="0"/>
    <n v="0"/>
    <x v="0"/>
    <s v="Under 1000"/>
    <x v="1"/>
    <n v="1"/>
  </r>
  <r>
    <x v="312"/>
    <n v="72"/>
    <n v="-6"/>
    <n v="3"/>
    <x v="2"/>
    <x v="6"/>
    <x v="3"/>
    <n v="1"/>
    <x v="3"/>
    <s v="Under 1000"/>
    <x v="1"/>
    <n v="1"/>
  </r>
  <r>
    <x v="371"/>
    <n v="71"/>
    <n v="-44"/>
    <n v="5"/>
    <x v="0"/>
    <x v="13"/>
    <x v="3"/>
    <n v="1"/>
    <x v="0"/>
    <s v="Under 1000"/>
    <x v="1"/>
    <n v="1"/>
  </r>
  <r>
    <x v="429"/>
    <n v="45"/>
    <n v="-2"/>
    <n v="4"/>
    <x v="2"/>
    <x v="16"/>
    <x v="0"/>
    <n v="1"/>
    <x v="0"/>
    <s v="Under 1000"/>
    <x v="1"/>
    <n v="1"/>
  </r>
  <r>
    <x v="141"/>
    <n v="286"/>
    <n v="140"/>
    <n v="6"/>
    <x v="2"/>
    <x v="16"/>
    <x v="4"/>
    <n v="0"/>
    <x v="0"/>
    <s v="Under 1000"/>
    <x v="1"/>
    <n v="1"/>
  </r>
  <r>
    <x v="442"/>
    <n v="294"/>
    <n v="138"/>
    <n v="2"/>
    <x v="0"/>
    <x v="3"/>
    <x v="4"/>
    <n v="0"/>
    <x v="3"/>
    <s v="Under 1000"/>
    <x v="0"/>
    <n v="1"/>
  </r>
  <r>
    <x v="127"/>
    <n v="223"/>
    <n v="4"/>
    <n v="3"/>
    <x v="0"/>
    <x v="4"/>
    <x v="0"/>
    <n v="0"/>
    <x v="3"/>
    <s v="Under 1000"/>
    <x v="1"/>
    <n v="1"/>
  </r>
  <r>
    <x v="443"/>
    <n v="20"/>
    <n v="-2"/>
    <n v="1"/>
    <x v="0"/>
    <x v="13"/>
    <x v="3"/>
    <n v="1"/>
    <x v="3"/>
    <s v="Under 1000"/>
    <x v="0"/>
    <n v="1"/>
  </r>
  <r>
    <x v="243"/>
    <n v="302"/>
    <n v="75"/>
    <n v="6"/>
    <x v="1"/>
    <x v="15"/>
    <x v="4"/>
    <n v="0"/>
    <x v="0"/>
    <s v="Under 1000"/>
    <x v="1"/>
    <n v="1"/>
  </r>
  <r>
    <x v="269"/>
    <n v="113"/>
    <n v="28"/>
    <n v="2"/>
    <x v="2"/>
    <x v="6"/>
    <x v="3"/>
    <n v="0"/>
    <x v="3"/>
    <s v="Under 1000"/>
    <x v="1"/>
    <n v="1"/>
  </r>
  <r>
    <x v="101"/>
    <n v="44"/>
    <n v="2"/>
    <n v="3"/>
    <x v="2"/>
    <x v="7"/>
    <x v="0"/>
    <n v="0"/>
    <x v="3"/>
    <s v="Under 1000"/>
    <x v="1"/>
    <n v="1"/>
  </r>
  <r>
    <x v="444"/>
    <n v="305"/>
    <n v="-270"/>
    <n v="5"/>
    <x v="0"/>
    <x v="0"/>
    <x v="4"/>
    <n v="1"/>
    <x v="0"/>
    <s v="Under 1000"/>
    <x v="0"/>
    <n v="1"/>
  </r>
  <r>
    <x v="437"/>
    <n v="306"/>
    <n v="-147"/>
    <n v="3"/>
    <x v="2"/>
    <x v="6"/>
    <x v="4"/>
    <n v="1"/>
    <x v="3"/>
    <s v="Under 1000"/>
    <x v="1"/>
    <n v="1"/>
  </r>
  <r>
    <x v="240"/>
    <n v="70"/>
    <n v="-64"/>
    <n v="5"/>
    <x v="2"/>
    <x v="11"/>
    <x v="3"/>
    <n v="1"/>
    <x v="0"/>
    <s v="Under 1000"/>
    <x v="1"/>
    <n v="1"/>
  </r>
  <r>
    <x v="249"/>
    <n v="44"/>
    <n v="11"/>
    <n v="4"/>
    <x v="2"/>
    <x v="11"/>
    <x v="0"/>
    <n v="0"/>
    <x v="0"/>
    <s v="Under 1000"/>
    <x v="1"/>
    <n v="1"/>
  </r>
  <r>
    <x v="102"/>
    <n v="44"/>
    <n v="14"/>
    <n v="3"/>
    <x v="2"/>
    <x v="7"/>
    <x v="0"/>
    <n v="0"/>
    <x v="3"/>
    <s v="Under 1000"/>
    <x v="1"/>
    <n v="1"/>
  </r>
  <r>
    <x v="29"/>
    <n v="319"/>
    <n v="312"/>
    <n v="5"/>
    <x v="2"/>
    <x v="6"/>
    <x v="4"/>
    <n v="0"/>
    <x v="0"/>
    <s v="Under 1000"/>
    <x v="1"/>
    <n v="1"/>
  </r>
  <r>
    <x v="217"/>
    <n v="287"/>
    <n v="-280"/>
    <n v="12"/>
    <x v="1"/>
    <x v="1"/>
    <x v="3"/>
    <n v="1"/>
    <x v="1"/>
    <s v="Under 1000"/>
    <x v="1"/>
    <n v="1"/>
  </r>
  <r>
    <x v="296"/>
    <n v="44"/>
    <n v="10"/>
    <n v="3"/>
    <x v="2"/>
    <x v="11"/>
    <x v="0"/>
    <n v="0"/>
    <x v="3"/>
    <s v="Under 1000"/>
    <x v="1"/>
    <n v="1"/>
  </r>
  <r>
    <x v="111"/>
    <n v="288"/>
    <n v="-180"/>
    <n v="4"/>
    <x v="1"/>
    <x v="1"/>
    <x v="0"/>
    <n v="1"/>
    <x v="0"/>
    <s v="Under 1000"/>
    <x v="1"/>
    <n v="1"/>
  </r>
  <r>
    <x v="52"/>
    <n v="49"/>
    <n v="-31"/>
    <n v="2"/>
    <x v="2"/>
    <x v="11"/>
    <x v="0"/>
    <n v="1"/>
    <x v="3"/>
    <s v="Under 1000"/>
    <x v="1"/>
    <n v="1"/>
  </r>
  <r>
    <x v="160"/>
    <n v="43"/>
    <n v="-10"/>
    <n v="4"/>
    <x v="2"/>
    <x v="9"/>
    <x v="0"/>
    <n v="1"/>
    <x v="0"/>
    <s v="Under 1000"/>
    <x v="1"/>
    <n v="1"/>
  </r>
  <r>
    <x v="153"/>
    <n v="43"/>
    <n v="5"/>
    <n v="3"/>
    <x v="2"/>
    <x v="11"/>
    <x v="0"/>
    <n v="0"/>
    <x v="3"/>
    <s v="Under 1000"/>
    <x v="1"/>
    <n v="1"/>
  </r>
  <r>
    <x v="0"/>
    <n v="68"/>
    <n v="-27"/>
    <n v="3"/>
    <x v="0"/>
    <x v="13"/>
    <x v="3"/>
    <n v="1"/>
    <x v="3"/>
    <s v="Under 1000"/>
    <x v="1"/>
    <n v="1"/>
  </r>
  <r>
    <x v="83"/>
    <n v="320"/>
    <n v="144"/>
    <n v="1"/>
    <x v="0"/>
    <x v="3"/>
    <x v="4"/>
    <n v="0"/>
    <x v="3"/>
    <s v="Under 1000"/>
    <x v="1"/>
    <n v="1"/>
  </r>
  <r>
    <x v="99"/>
    <n v="67"/>
    <n v="2"/>
    <n v="4"/>
    <x v="2"/>
    <x v="14"/>
    <x v="3"/>
    <n v="0"/>
    <x v="0"/>
    <s v="Under 1000"/>
    <x v="1"/>
    <n v="1"/>
  </r>
  <r>
    <x v="314"/>
    <n v="66"/>
    <n v="-12"/>
    <n v="5"/>
    <x v="2"/>
    <x v="11"/>
    <x v="3"/>
    <n v="1"/>
    <x v="0"/>
    <s v="Under 1000"/>
    <x v="1"/>
    <n v="1"/>
  </r>
  <r>
    <x v="347"/>
    <n v="321"/>
    <n v="26"/>
    <n v="3"/>
    <x v="0"/>
    <x v="3"/>
    <x v="4"/>
    <n v="0"/>
    <x v="3"/>
    <s v="Under 1000"/>
    <x v="1"/>
    <n v="1"/>
  </r>
  <r>
    <x v="230"/>
    <n v="43"/>
    <n v="-5"/>
    <n v="2"/>
    <x v="2"/>
    <x v="6"/>
    <x v="0"/>
    <n v="1"/>
    <x v="3"/>
    <s v="Under 1000"/>
    <x v="1"/>
    <n v="1"/>
  </r>
  <r>
    <x v="197"/>
    <n v="114"/>
    <n v="-39"/>
    <n v="5"/>
    <x v="2"/>
    <x v="8"/>
    <x v="0"/>
    <n v="1"/>
    <x v="0"/>
    <s v="Under 1000"/>
    <x v="1"/>
    <n v="1"/>
  </r>
  <r>
    <x v="146"/>
    <n v="43"/>
    <n v="17"/>
    <n v="1"/>
    <x v="2"/>
    <x v="6"/>
    <x v="0"/>
    <n v="0"/>
    <x v="3"/>
    <s v="Under 1000"/>
    <x v="1"/>
    <n v="1"/>
  </r>
  <r>
    <x v="230"/>
    <n v="43"/>
    <n v="21"/>
    <n v="3"/>
    <x v="2"/>
    <x v="16"/>
    <x v="0"/>
    <n v="0"/>
    <x v="3"/>
    <s v="Under 1000"/>
    <x v="1"/>
    <n v="1"/>
  </r>
  <r>
    <x v="168"/>
    <n v="637"/>
    <n v="50"/>
    <n v="5"/>
    <x v="2"/>
    <x v="6"/>
    <x v="0"/>
    <n v="0"/>
    <x v="0"/>
    <s v="Under 1000"/>
    <x v="1"/>
    <n v="1"/>
  </r>
  <r>
    <x v="9"/>
    <n v="300"/>
    <n v="42"/>
    <n v="2"/>
    <x v="0"/>
    <x v="3"/>
    <x v="0"/>
    <n v="0"/>
    <x v="3"/>
    <s v="Under 1000"/>
    <x v="1"/>
    <n v="1"/>
  </r>
  <r>
    <x v="445"/>
    <n v="341"/>
    <n v="44"/>
    <n v="7"/>
    <x v="1"/>
    <x v="15"/>
    <x v="3"/>
    <n v="0"/>
    <x v="0"/>
    <s v="Under 1000"/>
    <x v="0"/>
    <n v="1"/>
  </r>
  <r>
    <x v="90"/>
    <n v="102"/>
    <n v="0"/>
    <n v="3"/>
    <x v="0"/>
    <x v="4"/>
    <x v="0"/>
    <n v="0"/>
    <x v="3"/>
    <s v="Under 1000"/>
    <x v="1"/>
    <n v="1"/>
  </r>
  <r>
    <x v="14"/>
    <n v="328"/>
    <n v="-15"/>
    <n v="3"/>
    <x v="0"/>
    <x v="0"/>
    <x v="4"/>
    <n v="1"/>
    <x v="3"/>
    <s v="Under 1000"/>
    <x v="1"/>
    <n v="1"/>
  </r>
  <r>
    <x v="446"/>
    <n v="341"/>
    <n v="160"/>
    <n v="7"/>
    <x v="2"/>
    <x v="11"/>
    <x v="4"/>
    <n v="0"/>
    <x v="0"/>
    <s v="Under 1000"/>
    <x v="0"/>
    <n v="1"/>
  </r>
  <r>
    <x v="447"/>
    <n v="62"/>
    <n v="11"/>
    <n v="7"/>
    <x v="2"/>
    <x v="7"/>
    <x v="3"/>
    <n v="0"/>
    <x v="0"/>
    <s v="Under 1000"/>
    <x v="0"/>
    <n v="1"/>
  </r>
  <r>
    <x v="232"/>
    <n v="42"/>
    <n v="13"/>
    <n v="3"/>
    <x v="2"/>
    <x v="12"/>
    <x v="0"/>
    <n v="0"/>
    <x v="3"/>
    <s v="Under 1000"/>
    <x v="1"/>
    <n v="1"/>
  </r>
  <r>
    <x v="297"/>
    <n v="62"/>
    <n v="28"/>
    <n v="5"/>
    <x v="2"/>
    <x v="7"/>
    <x v="3"/>
    <n v="0"/>
    <x v="0"/>
    <s v="Under 1000"/>
    <x v="1"/>
    <n v="1"/>
  </r>
  <r>
    <x v="159"/>
    <n v="42"/>
    <n v="7"/>
    <n v="2"/>
    <x v="2"/>
    <x v="8"/>
    <x v="0"/>
    <n v="0"/>
    <x v="3"/>
    <s v="Under 1000"/>
    <x v="1"/>
    <n v="1"/>
  </r>
  <r>
    <x v="448"/>
    <n v="42"/>
    <n v="-3"/>
    <n v="1"/>
    <x v="0"/>
    <x v="0"/>
    <x v="0"/>
    <n v="1"/>
    <x v="3"/>
    <s v="Under 1000"/>
    <x v="0"/>
    <n v="1"/>
  </r>
  <r>
    <x v="388"/>
    <n v="313"/>
    <n v="-13"/>
    <n v="5"/>
    <x v="1"/>
    <x v="2"/>
    <x v="3"/>
    <n v="1"/>
    <x v="0"/>
    <s v="Under 1000"/>
    <x v="1"/>
    <n v="1"/>
  </r>
  <r>
    <x v="76"/>
    <n v="109"/>
    <n v="52"/>
    <n v="2"/>
    <x v="2"/>
    <x v="11"/>
    <x v="3"/>
    <n v="0"/>
    <x v="3"/>
    <s v="Under 1000"/>
    <x v="1"/>
    <n v="1"/>
  </r>
  <r>
    <x v="12"/>
    <n v="226"/>
    <n v="58"/>
    <n v="3"/>
    <x v="0"/>
    <x v="13"/>
    <x v="0"/>
    <n v="0"/>
    <x v="3"/>
    <s v="Under 1000"/>
    <x v="1"/>
    <n v="1"/>
  </r>
  <r>
    <x v="54"/>
    <n v="62"/>
    <n v="-1"/>
    <n v="1"/>
    <x v="0"/>
    <x v="4"/>
    <x v="3"/>
    <n v="1"/>
    <x v="3"/>
    <s v="Under 1000"/>
    <x v="1"/>
    <n v="1"/>
  </r>
  <r>
    <x v="67"/>
    <n v="61"/>
    <n v="-25"/>
    <n v="4"/>
    <x v="0"/>
    <x v="13"/>
    <x v="3"/>
    <n v="1"/>
    <x v="0"/>
    <s v="Under 1000"/>
    <x v="1"/>
    <n v="1"/>
  </r>
  <r>
    <x v="260"/>
    <n v="222"/>
    <n v="74"/>
    <n v="5"/>
    <x v="2"/>
    <x v="7"/>
    <x v="0"/>
    <n v="0"/>
    <x v="0"/>
    <s v="Under 1000"/>
    <x v="1"/>
    <n v="1"/>
  </r>
  <r>
    <x v="202"/>
    <n v="342"/>
    <n v="-154"/>
    <n v="7"/>
    <x v="1"/>
    <x v="15"/>
    <x v="4"/>
    <n v="1"/>
    <x v="0"/>
    <s v="Under 1000"/>
    <x v="1"/>
    <n v="1"/>
  </r>
  <r>
    <x v="70"/>
    <n v="344"/>
    <n v="-34"/>
    <n v="3"/>
    <x v="2"/>
    <x v="6"/>
    <x v="4"/>
    <n v="1"/>
    <x v="3"/>
    <s v="Under 1000"/>
    <x v="1"/>
    <n v="1"/>
  </r>
  <r>
    <x v="449"/>
    <n v="345"/>
    <n v="38"/>
    <n v="7"/>
    <x v="2"/>
    <x v="7"/>
    <x v="4"/>
    <n v="0"/>
    <x v="0"/>
    <s v="Under 1000"/>
    <x v="0"/>
    <n v="1"/>
  </r>
  <r>
    <x v="450"/>
    <n v="46"/>
    <n v="0"/>
    <n v="2"/>
    <x v="0"/>
    <x v="0"/>
    <x v="0"/>
    <n v="0"/>
    <x v="3"/>
    <s v="Under 1000"/>
    <x v="0"/>
    <n v="1"/>
  </r>
  <r>
    <x v="209"/>
    <n v="255"/>
    <n v="74"/>
    <n v="5"/>
    <x v="2"/>
    <x v="7"/>
    <x v="0"/>
    <n v="0"/>
    <x v="0"/>
    <s v="Under 1000"/>
    <x v="1"/>
    <n v="1"/>
  </r>
  <r>
    <x v="338"/>
    <n v="360"/>
    <n v="32"/>
    <n v="3"/>
    <x v="2"/>
    <x v="6"/>
    <x v="3"/>
    <n v="0"/>
    <x v="3"/>
    <s v="Under 1000"/>
    <x v="1"/>
    <n v="1"/>
  </r>
  <r>
    <x v="170"/>
    <n v="372"/>
    <n v="59"/>
    <n v="3"/>
    <x v="0"/>
    <x v="3"/>
    <x v="3"/>
    <n v="0"/>
    <x v="3"/>
    <s v="Under 1000"/>
    <x v="1"/>
    <n v="1"/>
  </r>
  <r>
    <x v="139"/>
    <n v="61"/>
    <n v="30"/>
    <n v="2"/>
    <x v="2"/>
    <x v="7"/>
    <x v="3"/>
    <n v="0"/>
    <x v="3"/>
    <s v="Under 1000"/>
    <x v="1"/>
    <n v="1"/>
  </r>
  <r>
    <x v="77"/>
    <n v="42"/>
    <n v="12"/>
    <n v="5"/>
    <x v="2"/>
    <x v="7"/>
    <x v="0"/>
    <n v="0"/>
    <x v="0"/>
    <s v="Under 1000"/>
    <x v="1"/>
    <n v="1"/>
  </r>
  <r>
    <x v="197"/>
    <n v="42"/>
    <n v="-26"/>
    <n v="2"/>
    <x v="2"/>
    <x v="8"/>
    <x v="0"/>
    <n v="1"/>
    <x v="3"/>
    <s v="Under 1000"/>
    <x v="1"/>
    <n v="1"/>
  </r>
  <r>
    <x v="451"/>
    <n v="61"/>
    <n v="25"/>
    <n v="4"/>
    <x v="2"/>
    <x v="6"/>
    <x v="3"/>
    <n v="0"/>
    <x v="0"/>
    <s v="Under 1000"/>
    <x v="0"/>
    <n v="1"/>
  </r>
  <r>
    <x v="25"/>
    <n v="41"/>
    <n v="11"/>
    <n v="6"/>
    <x v="2"/>
    <x v="7"/>
    <x v="0"/>
    <n v="0"/>
    <x v="0"/>
    <s v="Under 1000"/>
    <x v="1"/>
    <n v="1"/>
  </r>
  <r>
    <x v="133"/>
    <n v="40"/>
    <n v="13"/>
    <n v="3"/>
    <x v="2"/>
    <x v="14"/>
    <x v="0"/>
    <n v="0"/>
    <x v="3"/>
    <s v="Under 1000"/>
    <x v="1"/>
    <n v="1"/>
  </r>
  <r>
    <x v="113"/>
    <n v="59"/>
    <n v="21"/>
    <n v="2"/>
    <x v="2"/>
    <x v="11"/>
    <x v="3"/>
    <n v="0"/>
    <x v="3"/>
    <s v="Under 1000"/>
    <x v="1"/>
    <n v="1"/>
  </r>
  <r>
    <x v="268"/>
    <n v="57"/>
    <n v="27"/>
    <n v="2"/>
    <x v="2"/>
    <x v="16"/>
    <x v="3"/>
    <n v="0"/>
    <x v="3"/>
    <s v="Under 1000"/>
    <x v="1"/>
    <n v="1"/>
  </r>
  <r>
    <x v="7"/>
    <n v="17"/>
    <n v="6"/>
    <n v="1"/>
    <x v="2"/>
    <x v="11"/>
    <x v="3"/>
    <n v="0"/>
    <x v="3"/>
    <s v="Under 1000"/>
    <x v="1"/>
    <n v="1"/>
  </r>
  <r>
    <x v="162"/>
    <n v="40"/>
    <n v="10"/>
    <n v="2"/>
    <x v="2"/>
    <x v="11"/>
    <x v="0"/>
    <n v="0"/>
    <x v="3"/>
    <s v="Under 1000"/>
    <x v="1"/>
    <n v="1"/>
  </r>
  <r>
    <x v="309"/>
    <n v="349"/>
    <n v="-24"/>
    <n v="2"/>
    <x v="2"/>
    <x v="6"/>
    <x v="4"/>
    <n v="1"/>
    <x v="3"/>
    <s v="Under 1000"/>
    <x v="1"/>
    <n v="1"/>
  </r>
  <r>
    <x v="452"/>
    <n v="335"/>
    <n v="-22"/>
    <n v="7"/>
    <x v="1"/>
    <x v="1"/>
    <x v="3"/>
    <n v="1"/>
    <x v="0"/>
    <s v="Under 1000"/>
    <x v="0"/>
    <n v="1"/>
  </r>
  <r>
    <x v="202"/>
    <n v="40"/>
    <n v="16"/>
    <n v="3"/>
    <x v="2"/>
    <x v="7"/>
    <x v="0"/>
    <n v="0"/>
    <x v="3"/>
    <s v="Under 1000"/>
    <x v="1"/>
    <n v="1"/>
  </r>
  <r>
    <x v="53"/>
    <n v="40"/>
    <n v="17"/>
    <n v="2"/>
    <x v="2"/>
    <x v="11"/>
    <x v="0"/>
    <n v="0"/>
    <x v="3"/>
    <s v="Under 1000"/>
    <x v="1"/>
    <n v="1"/>
  </r>
  <r>
    <x v="197"/>
    <n v="40"/>
    <n v="-7"/>
    <n v="3"/>
    <x v="2"/>
    <x v="11"/>
    <x v="0"/>
    <n v="1"/>
    <x v="3"/>
    <s v="Under 1000"/>
    <x v="1"/>
    <n v="1"/>
  </r>
  <r>
    <x v="260"/>
    <n v="352"/>
    <n v="74"/>
    <n v="8"/>
    <x v="2"/>
    <x v="11"/>
    <x v="4"/>
    <n v="0"/>
    <x v="2"/>
    <s v="Under 1000"/>
    <x v="1"/>
    <n v="1"/>
  </r>
  <r>
    <x v="186"/>
    <n v="55"/>
    <n v="-26"/>
    <n v="4"/>
    <x v="2"/>
    <x v="6"/>
    <x v="3"/>
    <n v="1"/>
    <x v="0"/>
    <s v="Under 1000"/>
    <x v="1"/>
    <n v="1"/>
  </r>
  <r>
    <x v="102"/>
    <n v="352"/>
    <n v="18"/>
    <n v="5"/>
    <x v="2"/>
    <x v="5"/>
    <x v="4"/>
    <n v="0"/>
    <x v="0"/>
    <s v="Under 1000"/>
    <x v="1"/>
    <n v="1"/>
  </r>
  <r>
    <x v="36"/>
    <n v="53"/>
    <n v="-18"/>
    <n v="4"/>
    <x v="2"/>
    <x v="14"/>
    <x v="3"/>
    <n v="1"/>
    <x v="0"/>
    <s v="Under 1000"/>
    <x v="1"/>
    <n v="1"/>
  </r>
  <r>
    <x v="429"/>
    <n v="51"/>
    <n v="7"/>
    <n v="2"/>
    <x v="1"/>
    <x v="15"/>
    <x v="3"/>
    <n v="0"/>
    <x v="3"/>
    <s v="Under 1000"/>
    <x v="1"/>
    <n v="1"/>
  </r>
  <r>
    <x v="406"/>
    <n v="40"/>
    <n v="-37"/>
    <n v="3"/>
    <x v="2"/>
    <x v="11"/>
    <x v="0"/>
    <n v="1"/>
    <x v="3"/>
    <s v="Under 1000"/>
    <x v="1"/>
    <n v="1"/>
  </r>
  <r>
    <x v="193"/>
    <n v="39"/>
    <n v="14"/>
    <n v="5"/>
    <x v="2"/>
    <x v="12"/>
    <x v="0"/>
    <n v="0"/>
    <x v="0"/>
    <s v="Under 1000"/>
    <x v="1"/>
    <n v="1"/>
  </r>
  <r>
    <x v="453"/>
    <n v="355"/>
    <n v="-4"/>
    <n v="2"/>
    <x v="2"/>
    <x v="6"/>
    <x v="4"/>
    <n v="1"/>
    <x v="3"/>
    <s v="Under 1000"/>
    <x v="0"/>
    <n v="1"/>
  </r>
  <r>
    <x v="7"/>
    <n v="357"/>
    <n v="139"/>
    <n v="2"/>
    <x v="2"/>
    <x v="6"/>
    <x v="4"/>
    <n v="0"/>
    <x v="3"/>
    <s v="Under 1000"/>
    <x v="1"/>
    <n v="1"/>
  </r>
  <r>
    <x v="117"/>
    <n v="38"/>
    <n v="18"/>
    <n v="1"/>
    <x v="2"/>
    <x v="8"/>
    <x v="0"/>
    <n v="0"/>
    <x v="3"/>
    <s v="Under 1000"/>
    <x v="1"/>
    <n v="1"/>
  </r>
  <r>
    <x v="198"/>
    <n v="38"/>
    <n v="9"/>
    <n v="2"/>
    <x v="2"/>
    <x v="11"/>
    <x v="0"/>
    <n v="0"/>
    <x v="3"/>
    <s v="Under 1000"/>
    <x v="1"/>
    <n v="1"/>
  </r>
  <r>
    <x v="294"/>
    <n v="141"/>
    <n v="10"/>
    <n v="4"/>
    <x v="2"/>
    <x v="16"/>
    <x v="3"/>
    <n v="0"/>
    <x v="0"/>
    <s v="Under 1000"/>
    <x v="1"/>
    <n v="1"/>
  </r>
  <r>
    <x v="392"/>
    <n v="36"/>
    <n v="4"/>
    <n v="9"/>
    <x v="2"/>
    <x v="7"/>
    <x v="0"/>
    <n v="0"/>
    <x v="2"/>
    <s v="Under 1000"/>
    <x v="1"/>
    <n v="1"/>
  </r>
  <r>
    <x v="133"/>
    <n v="351"/>
    <n v="-94"/>
    <n v="5"/>
    <x v="0"/>
    <x v="0"/>
    <x v="0"/>
    <n v="1"/>
    <x v="0"/>
    <s v="Under 1000"/>
    <x v="1"/>
    <n v="1"/>
  </r>
  <r>
    <x v="199"/>
    <n v="369"/>
    <n v="15"/>
    <n v="3"/>
    <x v="0"/>
    <x v="0"/>
    <x v="4"/>
    <n v="0"/>
    <x v="3"/>
    <s v="Under 1000"/>
    <x v="1"/>
    <n v="1"/>
  </r>
  <r>
    <x v="9"/>
    <n v="53"/>
    <n v="24"/>
    <n v="6"/>
    <x v="2"/>
    <x v="7"/>
    <x v="1"/>
    <n v="0"/>
    <x v="0"/>
    <s v="Under 1000"/>
    <x v="1"/>
    <n v="1"/>
  </r>
  <r>
    <x v="454"/>
    <n v="371"/>
    <n v="115"/>
    <n v="1"/>
    <x v="1"/>
    <x v="2"/>
    <x v="4"/>
    <n v="0"/>
    <x v="3"/>
    <s v="Under 1000"/>
    <x v="0"/>
    <n v="1"/>
  </r>
  <r>
    <x v="85"/>
    <n v="499"/>
    <n v="33"/>
    <n v="4"/>
    <x v="2"/>
    <x v="6"/>
    <x v="0"/>
    <n v="0"/>
    <x v="0"/>
    <s v="Under 1000"/>
    <x v="1"/>
    <n v="1"/>
  </r>
  <r>
    <x v="170"/>
    <n v="223"/>
    <n v="62"/>
    <n v="7"/>
    <x v="2"/>
    <x v="16"/>
    <x v="0"/>
    <n v="0"/>
    <x v="0"/>
    <s v="Under 1000"/>
    <x v="1"/>
    <n v="1"/>
  </r>
  <r>
    <x v="191"/>
    <n v="50"/>
    <n v="-4"/>
    <n v="6"/>
    <x v="2"/>
    <x v="14"/>
    <x v="1"/>
    <n v="1"/>
    <x v="0"/>
    <s v="Under 1000"/>
    <x v="1"/>
    <n v="1"/>
  </r>
  <r>
    <x v="179"/>
    <n v="391"/>
    <n v="90"/>
    <n v="6"/>
    <x v="0"/>
    <x v="4"/>
    <x v="4"/>
    <n v="0"/>
    <x v="0"/>
    <s v="Under 1000"/>
    <x v="1"/>
    <n v="1"/>
  </r>
  <r>
    <x v="455"/>
    <n v="416"/>
    <n v="137"/>
    <n v="3"/>
    <x v="0"/>
    <x v="4"/>
    <x v="4"/>
    <n v="0"/>
    <x v="3"/>
    <s v="Under 1000"/>
    <x v="0"/>
    <n v="1"/>
  </r>
  <r>
    <x v="437"/>
    <n v="424"/>
    <n v="-17"/>
    <n v="9"/>
    <x v="1"/>
    <x v="1"/>
    <x v="4"/>
    <n v="1"/>
    <x v="2"/>
    <s v="Under 1000"/>
    <x v="1"/>
    <n v="1"/>
  </r>
  <r>
    <x v="38"/>
    <n v="362"/>
    <n v="127"/>
    <n v="1"/>
    <x v="1"/>
    <x v="2"/>
    <x v="0"/>
    <n v="0"/>
    <x v="3"/>
    <s v="Under 1000"/>
    <x v="1"/>
    <n v="1"/>
  </r>
  <r>
    <x v="8"/>
    <n v="36"/>
    <n v="-7"/>
    <n v="1"/>
    <x v="0"/>
    <x v="0"/>
    <x v="0"/>
    <n v="1"/>
    <x v="3"/>
    <s v="Under 1000"/>
    <x v="1"/>
    <n v="1"/>
  </r>
  <r>
    <x v="177"/>
    <n v="34"/>
    <n v="-10"/>
    <n v="3"/>
    <x v="2"/>
    <x v="9"/>
    <x v="0"/>
    <n v="1"/>
    <x v="3"/>
    <s v="Under 1000"/>
    <x v="1"/>
    <n v="1"/>
  </r>
  <r>
    <x v="154"/>
    <n v="367"/>
    <n v="73"/>
    <n v="3"/>
    <x v="0"/>
    <x v="0"/>
    <x v="3"/>
    <n v="0"/>
    <x v="3"/>
    <s v="Under 1000"/>
    <x v="1"/>
    <n v="1"/>
  </r>
  <r>
    <x v="135"/>
    <n v="425"/>
    <n v="208"/>
    <n v="7"/>
    <x v="2"/>
    <x v="6"/>
    <x v="4"/>
    <n v="0"/>
    <x v="0"/>
    <s v="Under 1000"/>
    <x v="1"/>
    <n v="1"/>
  </r>
  <r>
    <x v="368"/>
    <n v="433"/>
    <n v="26"/>
    <n v="3"/>
    <x v="0"/>
    <x v="3"/>
    <x v="4"/>
    <n v="0"/>
    <x v="3"/>
    <s v="Under 1000"/>
    <x v="1"/>
    <n v="1"/>
  </r>
  <r>
    <x v="454"/>
    <n v="460"/>
    <n v="31"/>
    <n v="3"/>
    <x v="1"/>
    <x v="2"/>
    <x v="4"/>
    <n v="0"/>
    <x v="3"/>
    <s v="Under 1000"/>
    <x v="1"/>
    <n v="1"/>
  </r>
  <r>
    <x v="256"/>
    <n v="62"/>
    <n v="-56"/>
    <n v="5"/>
    <x v="2"/>
    <x v="8"/>
    <x v="0"/>
    <n v="1"/>
    <x v="0"/>
    <s v="Under 1000"/>
    <x v="1"/>
    <n v="1"/>
  </r>
  <r>
    <x v="83"/>
    <n v="50"/>
    <n v="16"/>
    <n v="1"/>
    <x v="2"/>
    <x v="11"/>
    <x v="1"/>
    <n v="0"/>
    <x v="3"/>
    <s v="Under 1000"/>
    <x v="1"/>
    <n v="1"/>
  </r>
  <r>
    <x v="369"/>
    <n v="460"/>
    <n v="-143"/>
    <n v="3"/>
    <x v="1"/>
    <x v="1"/>
    <x v="4"/>
    <n v="1"/>
    <x v="3"/>
    <s v="Under 1000"/>
    <x v="1"/>
    <n v="1"/>
  </r>
  <r>
    <x v="265"/>
    <n v="34"/>
    <n v="3"/>
    <n v="3"/>
    <x v="2"/>
    <x v="6"/>
    <x v="0"/>
    <n v="0"/>
    <x v="3"/>
    <s v="Under 1000"/>
    <x v="1"/>
    <n v="1"/>
  </r>
  <r>
    <x v="259"/>
    <n v="227"/>
    <n v="59"/>
    <n v="2"/>
    <x v="1"/>
    <x v="15"/>
    <x v="3"/>
    <n v="0"/>
    <x v="3"/>
    <s v="Under 1000"/>
    <x v="1"/>
    <n v="1"/>
  </r>
  <r>
    <x v="376"/>
    <n v="469"/>
    <n v="33"/>
    <n v="4"/>
    <x v="0"/>
    <x v="0"/>
    <x v="4"/>
    <n v="0"/>
    <x v="0"/>
    <s v="Under 1000"/>
    <x v="1"/>
    <n v="1"/>
  </r>
  <r>
    <x v="9"/>
    <n v="103"/>
    <n v="46"/>
    <n v="2"/>
    <x v="2"/>
    <x v="6"/>
    <x v="3"/>
    <n v="0"/>
    <x v="3"/>
    <s v="Under 1000"/>
    <x v="1"/>
    <n v="1"/>
  </r>
  <r>
    <x v="247"/>
    <n v="34"/>
    <n v="-13"/>
    <n v="5"/>
    <x v="2"/>
    <x v="12"/>
    <x v="0"/>
    <n v="1"/>
    <x v="0"/>
    <s v="Under 1000"/>
    <x v="1"/>
    <n v="1"/>
  </r>
  <r>
    <x v="142"/>
    <n v="137"/>
    <n v="63"/>
    <n v="3"/>
    <x v="2"/>
    <x v="11"/>
    <x v="0"/>
    <n v="0"/>
    <x v="3"/>
    <s v="Under 1000"/>
    <x v="1"/>
    <n v="1"/>
  </r>
  <r>
    <x v="456"/>
    <n v="34"/>
    <n v="12"/>
    <n v="2"/>
    <x v="2"/>
    <x v="11"/>
    <x v="0"/>
    <n v="0"/>
    <x v="3"/>
    <s v="Under 1000"/>
    <x v="0"/>
    <n v="1"/>
  </r>
  <r>
    <x v="362"/>
    <n v="474"/>
    <n v="56"/>
    <n v="4"/>
    <x v="0"/>
    <x v="4"/>
    <x v="4"/>
    <n v="0"/>
    <x v="0"/>
    <s v="Under 1000"/>
    <x v="1"/>
    <n v="1"/>
  </r>
  <r>
    <x v="239"/>
    <n v="50"/>
    <n v="3"/>
    <n v="2"/>
    <x v="2"/>
    <x v="11"/>
    <x v="1"/>
    <n v="0"/>
    <x v="3"/>
    <s v="Under 1000"/>
    <x v="1"/>
    <n v="1"/>
  </r>
  <r>
    <x v="67"/>
    <n v="69"/>
    <n v="-67"/>
    <n v="4"/>
    <x v="2"/>
    <x v="8"/>
    <x v="3"/>
    <n v="1"/>
    <x v="0"/>
    <s v="Under 1000"/>
    <x v="1"/>
    <n v="1"/>
  </r>
  <r>
    <x v="457"/>
    <n v="389"/>
    <n v="-83"/>
    <n v="3"/>
    <x v="1"/>
    <x v="1"/>
    <x v="3"/>
    <n v="1"/>
    <x v="3"/>
    <s v="Under 1000"/>
    <x v="0"/>
    <n v="1"/>
  </r>
  <r>
    <x v="256"/>
    <n v="77"/>
    <n v="-43"/>
    <n v="8"/>
    <x v="2"/>
    <x v="11"/>
    <x v="0"/>
    <n v="1"/>
    <x v="2"/>
    <s v="Under 1000"/>
    <x v="1"/>
    <n v="1"/>
  </r>
  <r>
    <x v="7"/>
    <n v="51"/>
    <n v="21"/>
    <n v="3"/>
    <x v="2"/>
    <x v="14"/>
    <x v="0"/>
    <n v="0"/>
    <x v="3"/>
    <s v="Under 1000"/>
    <x v="1"/>
    <n v="1"/>
  </r>
  <r>
    <x v="114"/>
    <n v="394"/>
    <n v="146"/>
    <n v="2"/>
    <x v="1"/>
    <x v="2"/>
    <x v="3"/>
    <n v="0"/>
    <x v="3"/>
    <s v="Under 1000"/>
    <x v="1"/>
    <n v="1"/>
  </r>
  <r>
    <x v="252"/>
    <n v="48"/>
    <n v="-22"/>
    <n v="2"/>
    <x v="2"/>
    <x v="6"/>
    <x v="1"/>
    <n v="1"/>
    <x v="3"/>
    <s v="Under 1000"/>
    <x v="1"/>
    <n v="1"/>
  </r>
  <r>
    <x v="177"/>
    <n v="34"/>
    <n v="-12"/>
    <n v="5"/>
    <x v="2"/>
    <x v="12"/>
    <x v="0"/>
    <n v="1"/>
    <x v="0"/>
    <s v="Under 1000"/>
    <x v="1"/>
    <n v="1"/>
  </r>
  <r>
    <x v="12"/>
    <n v="484"/>
    <n v="28"/>
    <n v="3"/>
    <x v="0"/>
    <x v="3"/>
    <x v="4"/>
    <n v="0"/>
    <x v="3"/>
    <s v="Under 1000"/>
    <x v="1"/>
    <n v="1"/>
  </r>
  <r>
    <x v="240"/>
    <n v="47"/>
    <n v="-27"/>
    <n v="4"/>
    <x v="2"/>
    <x v="6"/>
    <x v="1"/>
    <n v="1"/>
    <x v="0"/>
    <s v="Under 1000"/>
    <x v="1"/>
    <n v="1"/>
  </r>
  <r>
    <x v="2"/>
    <n v="45"/>
    <n v="8"/>
    <n v="4"/>
    <x v="2"/>
    <x v="9"/>
    <x v="1"/>
    <n v="0"/>
    <x v="0"/>
    <s v="Under 1000"/>
    <x v="1"/>
    <n v="1"/>
  </r>
  <r>
    <x v="458"/>
    <n v="128"/>
    <n v="55"/>
    <n v="1"/>
    <x v="2"/>
    <x v="6"/>
    <x v="0"/>
    <n v="0"/>
    <x v="3"/>
    <s v="Under 1000"/>
    <x v="0"/>
    <n v="1"/>
  </r>
  <r>
    <x v="58"/>
    <n v="669"/>
    <n v="74"/>
    <n v="5"/>
    <x v="1"/>
    <x v="2"/>
    <x v="0"/>
    <n v="0"/>
    <x v="0"/>
    <s v="Under 1000"/>
    <x v="1"/>
    <n v="1"/>
  </r>
  <r>
    <x v="459"/>
    <n v="34"/>
    <n v="13"/>
    <n v="2"/>
    <x v="2"/>
    <x v="6"/>
    <x v="0"/>
    <n v="0"/>
    <x v="3"/>
    <s v="Under 1000"/>
    <x v="0"/>
    <n v="1"/>
  </r>
  <r>
    <x v="223"/>
    <n v="44"/>
    <n v="14"/>
    <n v="3"/>
    <x v="2"/>
    <x v="7"/>
    <x v="2"/>
    <n v="0"/>
    <x v="3"/>
    <s v="Under 1000"/>
    <x v="1"/>
    <n v="1"/>
  </r>
  <r>
    <x v="20"/>
    <n v="33"/>
    <n v="1"/>
    <n v="2"/>
    <x v="2"/>
    <x v="16"/>
    <x v="0"/>
    <n v="0"/>
    <x v="3"/>
    <s v="Under 1000"/>
    <x v="1"/>
    <n v="1"/>
  </r>
  <r>
    <x v="362"/>
    <n v="33"/>
    <n v="10"/>
    <n v="3"/>
    <x v="2"/>
    <x v="7"/>
    <x v="0"/>
    <n v="0"/>
    <x v="3"/>
    <s v="Under 1000"/>
    <x v="1"/>
    <n v="1"/>
  </r>
  <r>
    <x v="100"/>
    <n v="487"/>
    <n v="-23"/>
    <n v="3"/>
    <x v="0"/>
    <x v="3"/>
    <x v="4"/>
    <n v="1"/>
    <x v="3"/>
    <s v="Under 1000"/>
    <x v="1"/>
    <n v="1"/>
  </r>
  <r>
    <x v="98"/>
    <n v="497"/>
    <n v="179"/>
    <n v="3"/>
    <x v="1"/>
    <x v="1"/>
    <x v="4"/>
    <n v="0"/>
    <x v="3"/>
    <s v="Under 1000"/>
    <x v="1"/>
    <n v="1"/>
  </r>
  <r>
    <x v="76"/>
    <n v="508"/>
    <n v="203"/>
    <n v="2"/>
    <x v="0"/>
    <x v="13"/>
    <x v="4"/>
    <n v="0"/>
    <x v="3"/>
    <s v="Under 1000"/>
    <x v="1"/>
    <n v="1"/>
  </r>
  <r>
    <x v="296"/>
    <n v="524"/>
    <n v="-25"/>
    <n v="2"/>
    <x v="0"/>
    <x v="0"/>
    <x v="4"/>
    <n v="1"/>
    <x v="3"/>
    <s v="Under 1000"/>
    <x v="1"/>
    <n v="1"/>
  </r>
  <r>
    <x v="460"/>
    <n v="425"/>
    <n v="183"/>
    <n v="5"/>
    <x v="0"/>
    <x v="13"/>
    <x v="3"/>
    <n v="0"/>
    <x v="0"/>
    <s v="Under 1000"/>
    <x v="0"/>
    <n v="1"/>
  </r>
  <r>
    <x v="44"/>
    <n v="168"/>
    <n v="56"/>
    <n v="3"/>
    <x v="2"/>
    <x v="6"/>
    <x v="0"/>
    <n v="0"/>
    <x v="3"/>
    <s v="Under 1000"/>
    <x v="1"/>
    <n v="1"/>
  </r>
  <r>
    <x v="461"/>
    <n v="141"/>
    <n v="28"/>
    <n v="7"/>
    <x v="1"/>
    <x v="15"/>
    <x v="3"/>
    <n v="0"/>
    <x v="0"/>
    <s v="Under 1000"/>
    <x v="0"/>
    <n v="1"/>
  </r>
  <r>
    <x v="125"/>
    <n v="429"/>
    <n v="17"/>
    <n v="3"/>
    <x v="1"/>
    <x v="1"/>
    <x v="3"/>
    <n v="0"/>
    <x v="3"/>
    <s v="Under 1000"/>
    <x v="1"/>
    <n v="1"/>
  </r>
  <r>
    <x v="220"/>
    <n v="44"/>
    <n v="-8"/>
    <n v="3"/>
    <x v="2"/>
    <x v="11"/>
    <x v="2"/>
    <n v="1"/>
    <x v="3"/>
    <s v="Under 1000"/>
    <x v="1"/>
    <n v="1"/>
  </r>
  <r>
    <x v="171"/>
    <n v="149"/>
    <n v="136"/>
    <n v="3"/>
    <x v="2"/>
    <x v="11"/>
    <x v="3"/>
    <n v="0"/>
    <x v="3"/>
    <s v="Under 1000"/>
    <x v="1"/>
    <n v="1"/>
  </r>
  <r>
    <x v="16"/>
    <n v="44"/>
    <n v="-34"/>
    <n v="3"/>
    <x v="2"/>
    <x v="11"/>
    <x v="2"/>
    <n v="1"/>
    <x v="3"/>
    <s v="Under 1000"/>
    <x v="1"/>
    <n v="1"/>
  </r>
  <r>
    <x v="153"/>
    <n v="33"/>
    <n v="10"/>
    <n v="3"/>
    <x v="2"/>
    <x v="7"/>
    <x v="0"/>
    <n v="0"/>
    <x v="3"/>
    <s v="Under 1000"/>
    <x v="1"/>
    <n v="1"/>
  </r>
  <r>
    <x v="179"/>
    <n v="33"/>
    <n v="9"/>
    <n v="2"/>
    <x v="2"/>
    <x v="7"/>
    <x v="0"/>
    <n v="0"/>
    <x v="3"/>
    <s v="Under 1000"/>
    <x v="1"/>
    <n v="1"/>
  </r>
  <r>
    <x v="139"/>
    <n v="442"/>
    <n v="31"/>
    <n v="2"/>
    <x v="0"/>
    <x v="0"/>
    <x v="3"/>
    <n v="0"/>
    <x v="3"/>
    <s v="Under 1000"/>
    <x v="1"/>
    <n v="1"/>
  </r>
  <r>
    <x v="70"/>
    <n v="41"/>
    <n v="6"/>
    <n v="5"/>
    <x v="2"/>
    <x v="9"/>
    <x v="2"/>
    <n v="0"/>
    <x v="0"/>
    <s v="Under 1000"/>
    <x v="1"/>
    <n v="1"/>
  </r>
  <r>
    <x v="178"/>
    <n v="33"/>
    <n v="-12"/>
    <n v="5"/>
    <x v="2"/>
    <x v="7"/>
    <x v="0"/>
    <n v="1"/>
    <x v="0"/>
    <s v="Under 1000"/>
    <x v="1"/>
    <n v="1"/>
  </r>
  <r>
    <x v="462"/>
    <n v="32"/>
    <n v="3"/>
    <n v="8"/>
    <x v="2"/>
    <x v="7"/>
    <x v="0"/>
    <n v="0"/>
    <x v="2"/>
    <s v="Under 1000"/>
    <x v="0"/>
    <n v="1"/>
  </r>
  <r>
    <x v="126"/>
    <n v="32"/>
    <n v="6"/>
    <n v="3"/>
    <x v="2"/>
    <x v="16"/>
    <x v="0"/>
    <n v="0"/>
    <x v="3"/>
    <s v="Under 1000"/>
    <x v="1"/>
    <n v="1"/>
  </r>
  <r>
    <x v="243"/>
    <n v="179"/>
    <n v="77"/>
    <n v="1"/>
    <x v="2"/>
    <x v="6"/>
    <x v="3"/>
    <n v="0"/>
    <x v="3"/>
    <s v="Under 1000"/>
    <x v="1"/>
    <n v="1"/>
  </r>
  <r>
    <x v="354"/>
    <n v="31"/>
    <n v="10"/>
    <n v="1"/>
    <x v="2"/>
    <x v="8"/>
    <x v="0"/>
    <n v="0"/>
    <x v="3"/>
    <s v="Under 1000"/>
    <x v="1"/>
    <n v="1"/>
  </r>
  <r>
    <x v="59"/>
    <n v="140"/>
    <n v="68"/>
    <n v="5"/>
    <x v="2"/>
    <x v="14"/>
    <x v="0"/>
    <n v="0"/>
    <x v="0"/>
    <s v="Under 1000"/>
    <x v="1"/>
    <n v="1"/>
  </r>
  <r>
    <x v="429"/>
    <n v="529"/>
    <n v="137"/>
    <n v="3"/>
    <x v="0"/>
    <x v="4"/>
    <x v="4"/>
    <n v="0"/>
    <x v="3"/>
    <s v="Under 1000"/>
    <x v="1"/>
    <n v="1"/>
  </r>
  <r>
    <x v="463"/>
    <n v="534"/>
    <n v="0"/>
    <n v="3"/>
    <x v="2"/>
    <x v="6"/>
    <x v="4"/>
    <n v="0"/>
    <x v="3"/>
    <s v="Under 1000"/>
    <x v="0"/>
    <n v="1"/>
  </r>
  <r>
    <x v="319"/>
    <n v="41"/>
    <n v="-6"/>
    <n v="1"/>
    <x v="1"/>
    <x v="1"/>
    <x v="2"/>
    <n v="1"/>
    <x v="3"/>
    <s v="Under 1000"/>
    <x v="1"/>
    <n v="1"/>
  </r>
  <r>
    <x v="176"/>
    <n v="379"/>
    <n v="63"/>
    <n v="2"/>
    <x v="2"/>
    <x v="6"/>
    <x v="0"/>
    <n v="0"/>
    <x v="3"/>
    <s v="Under 1000"/>
    <x v="1"/>
    <n v="1"/>
  </r>
  <r>
    <x v="187"/>
    <n v="81"/>
    <n v="-44"/>
    <n v="3"/>
    <x v="2"/>
    <x v="11"/>
    <x v="0"/>
    <n v="1"/>
    <x v="3"/>
    <s v="Under 1000"/>
    <x v="1"/>
    <n v="1"/>
  </r>
  <r>
    <x v="275"/>
    <n v="40"/>
    <n v="-33"/>
    <n v="5"/>
    <x v="2"/>
    <x v="7"/>
    <x v="2"/>
    <n v="1"/>
    <x v="0"/>
    <s v="Under 1000"/>
    <x v="1"/>
    <n v="1"/>
  </r>
  <r>
    <x v="147"/>
    <n v="40"/>
    <n v="18"/>
    <n v="1"/>
    <x v="0"/>
    <x v="13"/>
    <x v="2"/>
    <n v="0"/>
    <x v="3"/>
    <s v="Under 1000"/>
    <x v="1"/>
    <n v="1"/>
  </r>
  <r>
    <x v="93"/>
    <n v="534"/>
    <n v="0"/>
    <n v="3"/>
    <x v="2"/>
    <x v="6"/>
    <x v="4"/>
    <n v="0"/>
    <x v="3"/>
    <s v="Under 1000"/>
    <x v="1"/>
    <n v="1"/>
  </r>
  <r>
    <x v="179"/>
    <n v="31"/>
    <n v="9"/>
    <n v="2"/>
    <x v="2"/>
    <x v="7"/>
    <x v="0"/>
    <n v="0"/>
    <x v="3"/>
    <s v="Under 1000"/>
    <x v="1"/>
    <n v="1"/>
  </r>
  <r>
    <x v="138"/>
    <n v="473"/>
    <n v="-113"/>
    <n v="9"/>
    <x v="2"/>
    <x v="7"/>
    <x v="3"/>
    <n v="1"/>
    <x v="2"/>
    <s v="Under 1000"/>
    <x v="1"/>
    <n v="1"/>
  </r>
  <r>
    <x v="464"/>
    <n v="31"/>
    <n v="-10"/>
    <n v="3"/>
    <x v="2"/>
    <x v="9"/>
    <x v="0"/>
    <n v="1"/>
    <x v="3"/>
    <s v="Under 1000"/>
    <x v="0"/>
    <n v="1"/>
  </r>
  <r>
    <x v="437"/>
    <n v="31"/>
    <n v="-3"/>
    <n v="4"/>
    <x v="2"/>
    <x v="6"/>
    <x v="0"/>
    <n v="1"/>
    <x v="0"/>
    <s v="Under 1000"/>
    <x v="1"/>
    <n v="1"/>
  </r>
  <r>
    <x v="97"/>
    <n v="91"/>
    <n v="15"/>
    <n v="6"/>
    <x v="2"/>
    <x v="14"/>
    <x v="3"/>
    <n v="0"/>
    <x v="0"/>
    <s v="Under 1000"/>
    <x v="1"/>
    <n v="1"/>
  </r>
  <r>
    <x v="244"/>
    <n v="30"/>
    <n v="-25"/>
    <n v="2"/>
    <x v="2"/>
    <x v="14"/>
    <x v="0"/>
    <n v="1"/>
    <x v="3"/>
    <s v="Under 1000"/>
    <x v="1"/>
    <n v="1"/>
  </r>
  <r>
    <x v="228"/>
    <n v="30"/>
    <n v="6"/>
    <n v="1"/>
    <x v="2"/>
    <x v="14"/>
    <x v="0"/>
    <n v="0"/>
    <x v="3"/>
    <s v="Under 1000"/>
    <x v="1"/>
    <n v="1"/>
  </r>
  <r>
    <x v="14"/>
    <n v="40"/>
    <n v="0"/>
    <n v="3"/>
    <x v="2"/>
    <x v="6"/>
    <x v="2"/>
    <n v="0"/>
    <x v="3"/>
    <s v="Under 1000"/>
    <x v="1"/>
    <n v="1"/>
  </r>
  <r>
    <x v="230"/>
    <n v="534"/>
    <n v="5"/>
    <n v="2"/>
    <x v="0"/>
    <x v="0"/>
    <x v="4"/>
    <n v="0"/>
    <x v="3"/>
    <s v="Under 1000"/>
    <x v="1"/>
    <n v="1"/>
  </r>
  <r>
    <x v="110"/>
    <n v="539"/>
    <n v="-146"/>
    <n v="7"/>
    <x v="1"/>
    <x v="15"/>
    <x v="4"/>
    <n v="1"/>
    <x v="0"/>
    <s v="Under 1000"/>
    <x v="1"/>
    <n v="1"/>
  </r>
  <r>
    <x v="465"/>
    <n v="490"/>
    <n v="-128"/>
    <n v="8"/>
    <x v="1"/>
    <x v="2"/>
    <x v="3"/>
    <n v="1"/>
    <x v="2"/>
    <s v="Under 1000"/>
    <x v="0"/>
    <n v="1"/>
  </r>
  <r>
    <x v="30"/>
    <n v="163"/>
    <n v="81"/>
    <n v="2"/>
    <x v="0"/>
    <x v="13"/>
    <x v="0"/>
    <n v="0"/>
    <x v="3"/>
    <s v="Under 1000"/>
    <x v="1"/>
    <n v="1"/>
  </r>
  <r>
    <x v="58"/>
    <n v="184"/>
    <n v="85"/>
    <n v="6"/>
    <x v="2"/>
    <x v="14"/>
    <x v="3"/>
    <n v="0"/>
    <x v="0"/>
    <s v="Under 1000"/>
    <x v="1"/>
    <n v="1"/>
  </r>
  <r>
    <x v="408"/>
    <n v="494"/>
    <n v="54"/>
    <n v="4"/>
    <x v="1"/>
    <x v="2"/>
    <x v="0"/>
    <n v="0"/>
    <x v="0"/>
    <s v="Under 1000"/>
    <x v="1"/>
    <n v="1"/>
  </r>
  <r>
    <x v="466"/>
    <n v="30"/>
    <n v="11"/>
    <n v="5"/>
    <x v="2"/>
    <x v="7"/>
    <x v="0"/>
    <n v="0"/>
    <x v="0"/>
    <s v="Under 1000"/>
    <x v="0"/>
    <n v="1"/>
  </r>
  <r>
    <x v="388"/>
    <n v="30"/>
    <n v="0"/>
    <n v="1"/>
    <x v="2"/>
    <x v="8"/>
    <x v="0"/>
    <n v="0"/>
    <x v="3"/>
    <s v="Under 1000"/>
    <x v="1"/>
    <n v="1"/>
  </r>
  <r>
    <x v="35"/>
    <n v="39"/>
    <n v="-18"/>
    <n v="2"/>
    <x v="2"/>
    <x v="12"/>
    <x v="2"/>
    <n v="1"/>
    <x v="3"/>
    <s v="Under 1000"/>
    <x v="1"/>
    <n v="1"/>
  </r>
  <r>
    <x v="274"/>
    <n v="1700"/>
    <n v="85"/>
    <n v="3"/>
    <x v="2"/>
    <x v="5"/>
    <x v="0"/>
    <n v="0"/>
    <x v="3"/>
    <s v="1000 - 2999"/>
    <x v="1"/>
    <n v="1"/>
  </r>
  <r>
    <x v="111"/>
    <n v="332"/>
    <n v="-43"/>
    <n v="6"/>
    <x v="0"/>
    <x v="4"/>
    <x v="3"/>
    <n v="1"/>
    <x v="0"/>
    <s v="Under 1000"/>
    <x v="1"/>
    <n v="1"/>
  </r>
  <r>
    <x v="202"/>
    <n v="436"/>
    <n v="131"/>
    <n v="9"/>
    <x v="2"/>
    <x v="7"/>
    <x v="3"/>
    <n v="0"/>
    <x v="2"/>
    <s v="Under 1000"/>
    <x v="1"/>
    <n v="1"/>
  </r>
  <r>
    <x v="233"/>
    <n v="30"/>
    <n v="-5"/>
    <n v="2"/>
    <x v="1"/>
    <x v="15"/>
    <x v="0"/>
    <n v="1"/>
    <x v="3"/>
    <s v="Under 1000"/>
    <x v="1"/>
    <n v="1"/>
  </r>
  <r>
    <x v="234"/>
    <n v="30"/>
    <n v="-10"/>
    <n v="2"/>
    <x v="2"/>
    <x v="11"/>
    <x v="0"/>
    <n v="1"/>
    <x v="3"/>
    <s v="Under 1000"/>
    <x v="1"/>
    <n v="1"/>
  </r>
  <r>
    <x v="176"/>
    <n v="38"/>
    <n v="-13"/>
    <n v="3"/>
    <x v="2"/>
    <x v="11"/>
    <x v="2"/>
    <n v="1"/>
    <x v="3"/>
    <s v="Under 1000"/>
    <x v="1"/>
    <n v="1"/>
  </r>
  <r>
    <x v="140"/>
    <n v="511"/>
    <n v="194"/>
    <n v="3"/>
    <x v="1"/>
    <x v="1"/>
    <x v="3"/>
    <n v="0"/>
    <x v="3"/>
    <s v="Under 1000"/>
    <x v="1"/>
    <n v="1"/>
  </r>
  <r>
    <x v="40"/>
    <n v="37"/>
    <n v="-53"/>
    <n v="3"/>
    <x v="2"/>
    <x v="6"/>
    <x v="2"/>
    <n v="1"/>
    <x v="3"/>
    <s v="Under 1000"/>
    <x v="1"/>
    <n v="1"/>
  </r>
  <r>
    <x v="81"/>
    <n v="513"/>
    <n v="215"/>
    <n v="2"/>
    <x v="0"/>
    <x v="13"/>
    <x v="0"/>
    <n v="0"/>
    <x v="3"/>
    <s v="Under 1000"/>
    <x v="1"/>
    <n v="1"/>
  </r>
  <r>
    <x v="70"/>
    <n v="516"/>
    <n v="69"/>
    <n v="4"/>
    <x v="1"/>
    <x v="2"/>
    <x v="3"/>
    <n v="0"/>
    <x v="0"/>
    <s v="Under 1000"/>
    <x v="1"/>
    <n v="1"/>
  </r>
  <r>
    <x v="131"/>
    <n v="559"/>
    <n v="-19"/>
    <n v="2"/>
    <x v="2"/>
    <x v="5"/>
    <x v="4"/>
    <n v="1"/>
    <x v="3"/>
    <s v="Under 1000"/>
    <x v="1"/>
    <n v="1"/>
  </r>
  <r>
    <x v="467"/>
    <n v="29"/>
    <n v="-10"/>
    <n v="3"/>
    <x v="2"/>
    <x v="9"/>
    <x v="0"/>
    <n v="1"/>
    <x v="3"/>
    <s v="Under 1000"/>
    <x v="0"/>
    <n v="1"/>
  </r>
  <r>
    <x v="368"/>
    <n v="148"/>
    <n v="52"/>
    <n v="5"/>
    <x v="2"/>
    <x v="11"/>
    <x v="3"/>
    <n v="0"/>
    <x v="0"/>
    <s v="Under 1000"/>
    <x v="1"/>
    <n v="1"/>
  </r>
  <r>
    <x v="241"/>
    <n v="559"/>
    <n v="-174"/>
    <n v="2"/>
    <x v="0"/>
    <x v="0"/>
    <x v="4"/>
    <n v="1"/>
    <x v="3"/>
    <s v="Under 1000"/>
    <x v="1"/>
    <n v="1"/>
  </r>
  <r>
    <x v="267"/>
    <n v="527"/>
    <n v="26"/>
    <n v="3"/>
    <x v="0"/>
    <x v="0"/>
    <x v="0"/>
    <n v="0"/>
    <x v="3"/>
    <s v="Under 1000"/>
    <x v="1"/>
    <n v="1"/>
  </r>
  <r>
    <x v="268"/>
    <n v="560"/>
    <n v="44"/>
    <n v="3"/>
    <x v="2"/>
    <x v="6"/>
    <x v="4"/>
    <n v="0"/>
    <x v="3"/>
    <s v="Under 1000"/>
    <x v="1"/>
    <n v="1"/>
  </r>
  <r>
    <x v="193"/>
    <n v="571"/>
    <n v="108"/>
    <n v="12"/>
    <x v="2"/>
    <x v="11"/>
    <x v="4"/>
    <n v="0"/>
    <x v="1"/>
    <s v="Under 1000"/>
    <x v="1"/>
    <n v="1"/>
  </r>
  <r>
    <x v="468"/>
    <n v="29"/>
    <n v="2"/>
    <n v="3"/>
    <x v="2"/>
    <x v="9"/>
    <x v="0"/>
    <n v="0"/>
    <x v="3"/>
    <s v="Under 1000"/>
    <x v="0"/>
    <n v="1"/>
  </r>
  <r>
    <x v="267"/>
    <n v="29"/>
    <n v="3"/>
    <n v="2"/>
    <x v="2"/>
    <x v="11"/>
    <x v="0"/>
    <n v="0"/>
    <x v="3"/>
    <s v="Under 1000"/>
    <x v="1"/>
    <n v="1"/>
  </r>
  <r>
    <x v="252"/>
    <n v="29"/>
    <n v="-3"/>
    <n v="3"/>
    <x v="2"/>
    <x v="6"/>
    <x v="0"/>
    <n v="1"/>
    <x v="3"/>
    <s v="Under 1000"/>
    <x v="1"/>
    <n v="1"/>
  </r>
  <r>
    <x v="469"/>
    <n v="35"/>
    <n v="14"/>
    <n v="2"/>
    <x v="2"/>
    <x v="11"/>
    <x v="2"/>
    <n v="0"/>
    <x v="3"/>
    <s v="Under 1000"/>
    <x v="0"/>
    <n v="1"/>
  </r>
  <r>
    <x v="18"/>
    <n v="579"/>
    <n v="139"/>
    <n v="3"/>
    <x v="0"/>
    <x v="3"/>
    <x v="4"/>
    <n v="0"/>
    <x v="3"/>
    <s v="Under 1000"/>
    <x v="1"/>
    <n v="1"/>
  </r>
  <r>
    <x v="13"/>
    <n v="29"/>
    <n v="-24"/>
    <n v="4"/>
    <x v="2"/>
    <x v="12"/>
    <x v="0"/>
    <n v="1"/>
    <x v="0"/>
    <s v="Under 1000"/>
    <x v="1"/>
    <n v="1"/>
  </r>
  <r>
    <x v="40"/>
    <n v="593"/>
    <n v="213"/>
    <n v="4"/>
    <x v="1"/>
    <x v="2"/>
    <x v="4"/>
    <n v="0"/>
    <x v="0"/>
    <s v="Under 1000"/>
    <x v="1"/>
    <n v="1"/>
  </r>
  <r>
    <x v="141"/>
    <n v="217"/>
    <n v="72"/>
    <n v="2"/>
    <x v="1"/>
    <x v="15"/>
    <x v="0"/>
    <n v="0"/>
    <x v="3"/>
    <s v="Under 1000"/>
    <x v="1"/>
    <n v="1"/>
  </r>
  <r>
    <x v="470"/>
    <n v="353"/>
    <n v="90"/>
    <n v="8"/>
    <x v="2"/>
    <x v="6"/>
    <x v="0"/>
    <n v="0"/>
    <x v="2"/>
    <s v="Under 1000"/>
    <x v="0"/>
    <n v="1"/>
  </r>
  <r>
    <x v="198"/>
    <n v="382"/>
    <n v="92"/>
    <n v="2"/>
    <x v="0"/>
    <x v="3"/>
    <x v="0"/>
    <n v="0"/>
    <x v="3"/>
    <s v="Under 1000"/>
    <x v="1"/>
    <n v="1"/>
  </r>
  <r>
    <x v="160"/>
    <n v="597"/>
    <n v="93"/>
    <n v="4"/>
    <x v="1"/>
    <x v="1"/>
    <x v="4"/>
    <n v="0"/>
    <x v="0"/>
    <s v="Under 1000"/>
    <x v="1"/>
    <n v="1"/>
  </r>
  <r>
    <x v="471"/>
    <n v="212"/>
    <n v="97"/>
    <n v="7"/>
    <x v="2"/>
    <x v="7"/>
    <x v="0"/>
    <n v="0"/>
    <x v="0"/>
    <s v="Under 1000"/>
    <x v="0"/>
    <n v="1"/>
  </r>
  <r>
    <x v="237"/>
    <n v="689"/>
    <n v="90"/>
    <n v="5"/>
    <x v="2"/>
    <x v="6"/>
    <x v="0"/>
    <n v="0"/>
    <x v="0"/>
    <s v="Under 1000"/>
    <x v="1"/>
    <n v="1"/>
  </r>
  <r>
    <x v="472"/>
    <n v="28"/>
    <n v="-10"/>
    <n v="3"/>
    <x v="2"/>
    <x v="9"/>
    <x v="0"/>
    <n v="1"/>
    <x v="3"/>
    <s v="Under 1000"/>
    <x v="0"/>
    <n v="1"/>
  </r>
  <r>
    <x v="173"/>
    <n v="34"/>
    <n v="12"/>
    <n v="3"/>
    <x v="2"/>
    <x v="7"/>
    <x v="2"/>
    <n v="0"/>
    <x v="3"/>
    <s v="Under 1000"/>
    <x v="1"/>
    <n v="1"/>
  </r>
  <r>
    <x v="58"/>
    <n v="600"/>
    <n v="-102"/>
    <n v="5"/>
    <x v="0"/>
    <x v="0"/>
    <x v="4"/>
    <n v="1"/>
    <x v="0"/>
    <s v="Under 1000"/>
    <x v="1"/>
    <n v="1"/>
  </r>
  <r>
    <x v="473"/>
    <n v="637"/>
    <n v="113"/>
    <n v="5"/>
    <x v="2"/>
    <x v="6"/>
    <x v="3"/>
    <n v="0"/>
    <x v="0"/>
    <s v="Under 1000"/>
    <x v="0"/>
    <n v="1"/>
  </r>
  <r>
    <x v="36"/>
    <n v="616"/>
    <n v="-69"/>
    <n v="7"/>
    <x v="1"/>
    <x v="15"/>
    <x v="4"/>
    <n v="1"/>
    <x v="0"/>
    <s v="Under 1000"/>
    <x v="1"/>
    <n v="1"/>
  </r>
  <r>
    <x v="93"/>
    <n v="624"/>
    <n v="37"/>
    <n v="2"/>
    <x v="0"/>
    <x v="0"/>
    <x v="4"/>
    <n v="0"/>
    <x v="3"/>
    <s v="Under 1000"/>
    <x v="1"/>
    <n v="1"/>
  </r>
  <r>
    <x v="353"/>
    <n v="28"/>
    <n v="4"/>
    <n v="1"/>
    <x v="2"/>
    <x v="14"/>
    <x v="0"/>
    <n v="0"/>
    <x v="3"/>
    <s v="Under 1000"/>
    <x v="1"/>
    <n v="1"/>
  </r>
  <r>
    <x v="244"/>
    <n v="584"/>
    <n v="-444"/>
    <n v="7"/>
    <x v="0"/>
    <x v="3"/>
    <x v="3"/>
    <n v="1"/>
    <x v="0"/>
    <s v="Under 1000"/>
    <x v="1"/>
    <n v="1"/>
  </r>
  <r>
    <x v="146"/>
    <n v="28"/>
    <n v="6"/>
    <n v="4"/>
    <x v="2"/>
    <x v="9"/>
    <x v="0"/>
    <n v="0"/>
    <x v="0"/>
    <s v="Under 1000"/>
    <x v="1"/>
    <n v="1"/>
  </r>
  <r>
    <x v="3"/>
    <n v="33"/>
    <n v="-1"/>
    <n v="1"/>
    <x v="2"/>
    <x v="6"/>
    <x v="2"/>
    <n v="1"/>
    <x v="3"/>
    <s v="Under 1000"/>
    <x v="1"/>
    <n v="1"/>
  </r>
  <r>
    <x v="256"/>
    <n v="27"/>
    <n v="-20"/>
    <n v="2"/>
    <x v="2"/>
    <x v="7"/>
    <x v="0"/>
    <n v="1"/>
    <x v="3"/>
    <s v="Under 1000"/>
    <x v="1"/>
    <n v="1"/>
  </r>
  <r>
    <x v="155"/>
    <n v="27"/>
    <n v="5"/>
    <n v="2"/>
    <x v="2"/>
    <x v="9"/>
    <x v="0"/>
    <n v="0"/>
    <x v="3"/>
    <s v="Under 1000"/>
    <x v="1"/>
    <n v="1"/>
  </r>
  <r>
    <x v="61"/>
    <n v="27"/>
    <n v="4"/>
    <n v="3"/>
    <x v="2"/>
    <x v="9"/>
    <x v="0"/>
    <n v="0"/>
    <x v="3"/>
    <s v="Under 1000"/>
    <x v="1"/>
    <n v="1"/>
  </r>
  <r>
    <x v="266"/>
    <n v="635"/>
    <n v="-349"/>
    <n v="5"/>
    <x v="2"/>
    <x v="6"/>
    <x v="4"/>
    <n v="1"/>
    <x v="0"/>
    <s v="Under 1000"/>
    <x v="1"/>
    <n v="1"/>
  </r>
  <r>
    <x v="259"/>
    <n v="598"/>
    <n v="166"/>
    <n v="4"/>
    <x v="1"/>
    <x v="2"/>
    <x v="3"/>
    <n v="0"/>
    <x v="0"/>
    <s v="Under 1000"/>
    <x v="1"/>
    <n v="1"/>
  </r>
  <r>
    <x v="353"/>
    <n v="636"/>
    <n v="-204"/>
    <n v="2"/>
    <x v="0"/>
    <x v="3"/>
    <x v="4"/>
    <n v="1"/>
    <x v="3"/>
    <s v="Under 1000"/>
    <x v="1"/>
    <n v="1"/>
  </r>
  <r>
    <x v="350"/>
    <n v="27"/>
    <n v="9"/>
    <n v="2"/>
    <x v="2"/>
    <x v="7"/>
    <x v="0"/>
    <n v="0"/>
    <x v="3"/>
    <s v="Under 1000"/>
    <x v="1"/>
    <n v="1"/>
  </r>
  <r>
    <x v="150"/>
    <n v="27"/>
    <n v="-6"/>
    <n v="4"/>
    <x v="2"/>
    <x v="7"/>
    <x v="0"/>
    <n v="1"/>
    <x v="0"/>
    <s v="Under 1000"/>
    <x v="1"/>
    <n v="1"/>
  </r>
  <r>
    <x v="125"/>
    <n v="637"/>
    <n v="212"/>
    <n v="8"/>
    <x v="0"/>
    <x v="4"/>
    <x v="4"/>
    <n v="0"/>
    <x v="2"/>
    <s v="Under 1000"/>
    <x v="1"/>
    <n v="1"/>
  </r>
  <r>
    <x v="221"/>
    <n v="290"/>
    <n v="110"/>
    <n v="9"/>
    <x v="2"/>
    <x v="11"/>
    <x v="3"/>
    <n v="0"/>
    <x v="2"/>
    <s v="Under 1000"/>
    <x v="1"/>
    <n v="1"/>
  </r>
  <r>
    <x v="474"/>
    <n v="27"/>
    <n v="-25"/>
    <n v="2"/>
    <x v="2"/>
    <x v="11"/>
    <x v="0"/>
    <n v="1"/>
    <x v="3"/>
    <s v="Under 1000"/>
    <x v="0"/>
    <n v="1"/>
  </r>
  <r>
    <x v="475"/>
    <n v="632"/>
    <n v="-114"/>
    <n v="4"/>
    <x v="1"/>
    <x v="10"/>
    <x v="3"/>
    <n v="1"/>
    <x v="0"/>
    <s v="Under 1000"/>
    <x v="0"/>
    <n v="1"/>
  </r>
  <r>
    <x v="13"/>
    <n v="643"/>
    <n v="-45"/>
    <n v="2"/>
    <x v="0"/>
    <x v="3"/>
    <x v="4"/>
    <n v="1"/>
    <x v="3"/>
    <s v="Under 1000"/>
    <x v="1"/>
    <n v="1"/>
  </r>
  <r>
    <x v="34"/>
    <n v="652"/>
    <n v="13"/>
    <n v="6"/>
    <x v="1"/>
    <x v="15"/>
    <x v="4"/>
    <n v="0"/>
    <x v="0"/>
    <s v="Under 1000"/>
    <x v="1"/>
    <n v="1"/>
  </r>
  <r>
    <x v="97"/>
    <n v="33"/>
    <n v="-27"/>
    <n v="1"/>
    <x v="1"/>
    <x v="1"/>
    <x v="2"/>
    <n v="1"/>
    <x v="3"/>
    <s v="Under 1000"/>
    <x v="1"/>
    <n v="1"/>
  </r>
  <r>
    <x v="356"/>
    <n v="26"/>
    <n v="2"/>
    <n v="2"/>
    <x v="2"/>
    <x v="7"/>
    <x v="0"/>
    <n v="0"/>
    <x v="3"/>
    <s v="Under 1000"/>
    <x v="1"/>
    <n v="1"/>
  </r>
  <r>
    <x v="339"/>
    <n v="633"/>
    <n v="-633"/>
    <n v="11"/>
    <x v="0"/>
    <x v="13"/>
    <x v="3"/>
    <n v="1"/>
    <x v="1"/>
    <s v="Under 1000"/>
    <x v="1"/>
    <n v="1"/>
  </r>
  <r>
    <x v="5"/>
    <n v="26"/>
    <n v="9"/>
    <n v="2"/>
    <x v="2"/>
    <x v="12"/>
    <x v="0"/>
    <n v="0"/>
    <x v="3"/>
    <s v="Under 1000"/>
    <x v="1"/>
    <n v="1"/>
  </r>
  <r>
    <x v="85"/>
    <n v="191"/>
    <n v="93"/>
    <n v="4"/>
    <x v="2"/>
    <x v="16"/>
    <x v="3"/>
    <n v="0"/>
    <x v="0"/>
    <s v="Under 1000"/>
    <x v="1"/>
    <n v="1"/>
  </r>
  <r>
    <x v="6"/>
    <n v="887"/>
    <n v="80"/>
    <n v="3"/>
    <x v="0"/>
    <x v="3"/>
    <x v="3"/>
    <n v="0"/>
    <x v="3"/>
    <s v="Under 1000"/>
    <x v="1"/>
    <n v="1"/>
  </r>
  <r>
    <x v="476"/>
    <n v="637"/>
    <n v="261"/>
    <n v="2"/>
    <x v="0"/>
    <x v="3"/>
    <x v="0"/>
    <n v="0"/>
    <x v="3"/>
    <s v="Under 1000"/>
    <x v="0"/>
    <n v="1"/>
  </r>
  <r>
    <x v="220"/>
    <n v="670"/>
    <n v="15"/>
    <n v="5"/>
    <x v="1"/>
    <x v="2"/>
    <x v="4"/>
    <n v="0"/>
    <x v="0"/>
    <s v="Under 1000"/>
    <x v="1"/>
    <n v="1"/>
  </r>
  <r>
    <x v="45"/>
    <n v="26"/>
    <n v="7"/>
    <n v="4"/>
    <x v="2"/>
    <x v="7"/>
    <x v="0"/>
    <n v="0"/>
    <x v="0"/>
    <s v="Under 1000"/>
    <x v="1"/>
    <n v="1"/>
  </r>
  <r>
    <x v="58"/>
    <n v="676"/>
    <n v="195"/>
    <n v="5"/>
    <x v="1"/>
    <x v="2"/>
    <x v="4"/>
    <n v="0"/>
    <x v="0"/>
    <s v="Under 1000"/>
    <x v="1"/>
    <n v="1"/>
  </r>
  <r>
    <x v="477"/>
    <n v="26"/>
    <n v="12"/>
    <n v="3"/>
    <x v="2"/>
    <x v="7"/>
    <x v="0"/>
    <n v="0"/>
    <x v="3"/>
    <s v="Under 1000"/>
    <x v="0"/>
    <n v="1"/>
  </r>
  <r>
    <x v="39"/>
    <n v="26"/>
    <n v="-24"/>
    <n v="1"/>
    <x v="2"/>
    <x v="11"/>
    <x v="0"/>
    <n v="1"/>
    <x v="3"/>
    <s v="Under 1000"/>
    <x v="1"/>
    <n v="1"/>
  </r>
  <r>
    <x v="92"/>
    <n v="25"/>
    <n v="7"/>
    <n v="2"/>
    <x v="2"/>
    <x v="11"/>
    <x v="0"/>
    <n v="0"/>
    <x v="3"/>
    <s v="Under 1000"/>
    <x v="1"/>
    <n v="1"/>
  </r>
  <r>
    <x v="117"/>
    <n v="24"/>
    <n v="-30"/>
    <n v="1"/>
    <x v="1"/>
    <x v="1"/>
    <x v="0"/>
    <n v="1"/>
    <x v="3"/>
    <s v="Under 1000"/>
    <x v="1"/>
    <n v="1"/>
  </r>
  <r>
    <x v="191"/>
    <n v="32"/>
    <n v="-12"/>
    <n v="1"/>
    <x v="1"/>
    <x v="1"/>
    <x v="2"/>
    <n v="1"/>
    <x v="3"/>
    <s v="Under 1000"/>
    <x v="1"/>
    <n v="1"/>
  </r>
  <r>
    <x v="104"/>
    <n v="31"/>
    <n v="-2"/>
    <n v="2"/>
    <x v="2"/>
    <x v="6"/>
    <x v="2"/>
    <n v="1"/>
    <x v="3"/>
    <s v="Under 1000"/>
    <x v="1"/>
    <n v="1"/>
  </r>
  <r>
    <x v="93"/>
    <n v="651"/>
    <n v="169"/>
    <n v="5"/>
    <x v="0"/>
    <x v="3"/>
    <x v="0"/>
    <n v="0"/>
    <x v="0"/>
    <s v="Under 1000"/>
    <x v="1"/>
    <n v="1"/>
  </r>
  <r>
    <x v="277"/>
    <n v="326"/>
    <n v="107"/>
    <n v="3"/>
    <x v="1"/>
    <x v="15"/>
    <x v="3"/>
    <n v="0"/>
    <x v="3"/>
    <s v="Under 1000"/>
    <x v="1"/>
    <n v="1"/>
  </r>
  <r>
    <x v="356"/>
    <n v="30"/>
    <n v="-6"/>
    <n v="2"/>
    <x v="2"/>
    <x v="7"/>
    <x v="3"/>
    <n v="1"/>
    <x v="3"/>
    <s v="Under 1000"/>
    <x v="1"/>
    <n v="1"/>
  </r>
  <r>
    <x v="147"/>
    <n v="30"/>
    <n v="5"/>
    <n v="2"/>
    <x v="2"/>
    <x v="8"/>
    <x v="3"/>
    <n v="0"/>
    <x v="3"/>
    <s v="Under 1000"/>
    <x v="1"/>
    <n v="1"/>
  </r>
  <r>
    <x v="478"/>
    <n v="662"/>
    <n v="240"/>
    <n v="2"/>
    <x v="1"/>
    <x v="2"/>
    <x v="0"/>
    <n v="0"/>
    <x v="3"/>
    <s v="Under 1000"/>
    <x v="0"/>
    <n v="1"/>
  </r>
  <r>
    <x v="29"/>
    <n v="30"/>
    <n v="-23"/>
    <n v="2"/>
    <x v="2"/>
    <x v="6"/>
    <x v="3"/>
    <n v="1"/>
    <x v="3"/>
    <s v="Under 1000"/>
    <x v="1"/>
    <n v="1"/>
  </r>
  <r>
    <x v="221"/>
    <n v="29"/>
    <n v="9"/>
    <n v="3"/>
    <x v="2"/>
    <x v="6"/>
    <x v="3"/>
    <n v="0"/>
    <x v="3"/>
    <s v="Under 1000"/>
    <x v="1"/>
    <n v="1"/>
  </r>
  <r>
    <x v="131"/>
    <n v="28"/>
    <n v="1"/>
    <n v="1"/>
    <x v="0"/>
    <x v="13"/>
    <x v="3"/>
    <n v="0"/>
    <x v="3"/>
    <s v="Under 1000"/>
    <x v="1"/>
    <n v="1"/>
  </r>
  <r>
    <x v="87"/>
    <n v="28"/>
    <n v="-3"/>
    <n v="2"/>
    <x v="2"/>
    <x v="6"/>
    <x v="3"/>
    <n v="1"/>
    <x v="3"/>
    <s v="Under 1000"/>
    <x v="1"/>
    <n v="1"/>
  </r>
  <r>
    <x v="479"/>
    <n v="24"/>
    <n v="2"/>
    <n v="4"/>
    <x v="2"/>
    <x v="7"/>
    <x v="0"/>
    <n v="0"/>
    <x v="0"/>
    <s v="Under 1000"/>
    <x v="0"/>
    <n v="1"/>
  </r>
  <r>
    <x v="104"/>
    <n v="28"/>
    <n v="-26"/>
    <n v="2"/>
    <x v="2"/>
    <x v="11"/>
    <x v="3"/>
    <n v="1"/>
    <x v="3"/>
    <s v="Under 1000"/>
    <x v="1"/>
    <n v="1"/>
  </r>
  <r>
    <x v="243"/>
    <n v="27"/>
    <n v="5"/>
    <n v="1"/>
    <x v="2"/>
    <x v="11"/>
    <x v="3"/>
    <n v="0"/>
    <x v="3"/>
    <s v="Under 1000"/>
    <x v="1"/>
    <n v="1"/>
  </r>
  <r>
    <x v="480"/>
    <n v="27"/>
    <n v="-15"/>
    <n v="1"/>
    <x v="2"/>
    <x v="11"/>
    <x v="3"/>
    <n v="1"/>
    <x v="3"/>
    <s v="Under 1000"/>
    <x v="0"/>
    <n v="1"/>
  </r>
  <r>
    <x v="351"/>
    <n v="24"/>
    <n v="11"/>
    <n v="3"/>
    <x v="2"/>
    <x v="7"/>
    <x v="0"/>
    <n v="0"/>
    <x v="3"/>
    <s v="Under 1000"/>
    <x v="1"/>
    <n v="1"/>
  </r>
  <r>
    <x v="234"/>
    <n v="23"/>
    <n v="-6"/>
    <n v="4"/>
    <x v="2"/>
    <x v="7"/>
    <x v="0"/>
    <n v="1"/>
    <x v="0"/>
    <s v="Under 1000"/>
    <x v="1"/>
    <n v="1"/>
  </r>
  <r>
    <x v="69"/>
    <n v="322"/>
    <n v="193"/>
    <n v="5"/>
    <x v="0"/>
    <x v="3"/>
    <x v="0"/>
    <n v="0"/>
    <x v="0"/>
    <s v="Under 1000"/>
    <x v="1"/>
    <n v="1"/>
  </r>
  <r>
    <x v="170"/>
    <n v="688"/>
    <n v="-103"/>
    <n v="6"/>
    <x v="0"/>
    <x v="13"/>
    <x v="4"/>
    <n v="1"/>
    <x v="0"/>
    <s v="Under 1000"/>
    <x v="1"/>
    <n v="1"/>
  </r>
  <r>
    <x v="339"/>
    <n v="23"/>
    <n v="-3"/>
    <n v="1"/>
    <x v="2"/>
    <x v="16"/>
    <x v="0"/>
    <n v="1"/>
    <x v="3"/>
    <s v="Under 1000"/>
    <x v="1"/>
    <n v="1"/>
  </r>
  <r>
    <x v="177"/>
    <n v="26"/>
    <n v="3"/>
    <n v="3"/>
    <x v="2"/>
    <x v="9"/>
    <x v="3"/>
    <n v="0"/>
    <x v="3"/>
    <s v="Under 1000"/>
    <x v="1"/>
    <n v="1"/>
  </r>
  <r>
    <x v="230"/>
    <n v="68"/>
    <n v="-56"/>
    <n v="2"/>
    <x v="0"/>
    <x v="4"/>
    <x v="0"/>
    <n v="1"/>
    <x v="3"/>
    <s v="Under 1000"/>
    <x v="1"/>
    <n v="1"/>
  </r>
  <r>
    <x v="360"/>
    <n v="462"/>
    <n v="169"/>
    <n v="4"/>
    <x v="2"/>
    <x v="6"/>
    <x v="0"/>
    <n v="0"/>
    <x v="0"/>
    <s v="Under 1000"/>
    <x v="1"/>
    <n v="1"/>
  </r>
  <r>
    <x v="437"/>
    <n v="941"/>
    <n v="203"/>
    <n v="3"/>
    <x v="1"/>
    <x v="10"/>
    <x v="3"/>
    <n v="0"/>
    <x v="3"/>
    <s v="Under 1000"/>
    <x v="1"/>
    <n v="1"/>
  </r>
  <r>
    <x v="159"/>
    <n v="23"/>
    <n v="4"/>
    <n v="2"/>
    <x v="2"/>
    <x v="9"/>
    <x v="0"/>
    <n v="0"/>
    <x v="3"/>
    <s v="Under 1000"/>
    <x v="1"/>
    <n v="1"/>
  </r>
  <r>
    <x v="404"/>
    <n v="720"/>
    <n v="43"/>
    <n v="2"/>
    <x v="0"/>
    <x v="3"/>
    <x v="3"/>
    <n v="0"/>
    <x v="3"/>
    <s v="Under 1000"/>
    <x v="1"/>
    <n v="1"/>
  </r>
  <r>
    <x v="27"/>
    <n v="724"/>
    <n v="-447"/>
    <n v="4"/>
    <x v="0"/>
    <x v="0"/>
    <x v="3"/>
    <n v="1"/>
    <x v="0"/>
    <s v="Under 1000"/>
    <x v="1"/>
    <n v="1"/>
  </r>
  <r>
    <x v="481"/>
    <n v="724"/>
    <n v="253"/>
    <n v="2"/>
    <x v="1"/>
    <x v="2"/>
    <x v="3"/>
    <n v="0"/>
    <x v="3"/>
    <s v="Under 1000"/>
    <x v="0"/>
    <n v="1"/>
  </r>
  <r>
    <x v="51"/>
    <n v="26"/>
    <n v="10"/>
    <n v="4"/>
    <x v="2"/>
    <x v="7"/>
    <x v="3"/>
    <n v="0"/>
    <x v="0"/>
    <s v="Under 1000"/>
    <x v="1"/>
    <n v="1"/>
  </r>
  <r>
    <x v="77"/>
    <n v="22"/>
    <n v="-2"/>
    <n v="3"/>
    <x v="2"/>
    <x v="7"/>
    <x v="0"/>
    <n v="1"/>
    <x v="3"/>
    <s v="Under 1000"/>
    <x v="1"/>
    <n v="1"/>
  </r>
  <r>
    <x v="157"/>
    <n v="711"/>
    <n v="-8"/>
    <n v="4"/>
    <x v="2"/>
    <x v="6"/>
    <x v="4"/>
    <n v="1"/>
    <x v="0"/>
    <s v="Under 1000"/>
    <x v="1"/>
    <n v="1"/>
  </r>
  <r>
    <x v="256"/>
    <n v="107"/>
    <n v="31"/>
    <n v="5"/>
    <x v="2"/>
    <x v="14"/>
    <x v="0"/>
    <n v="0"/>
    <x v="0"/>
    <s v="Under 1000"/>
    <x v="1"/>
    <n v="1"/>
  </r>
  <r>
    <x v="309"/>
    <n v="765"/>
    <n v="-153"/>
    <n v="2"/>
    <x v="0"/>
    <x v="4"/>
    <x v="4"/>
    <n v="1"/>
    <x v="3"/>
    <s v="Under 1000"/>
    <x v="1"/>
    <n v="1"/>
  </r>
  <r>
    <x v="350"/>
    <n v="22"/>
    <n v="8"/>
    <n v="2"/>
    <x v="2"/>
    <x v="12"/>
    <x v="0"/>
    <n v="0"/>
    <x v="3"/>
    <s v="Under 1000"/>
    <x v="1"/>
    <n v="1"/>
  </r>
  <r>
    <x v="386"/>
    <n v="26"/>
    <n v="-5"/>
    <n v="2"/>
    <x v="2"/>
    <x v="11"/>
    <x v="3"/>
    <n v="1"/>
    <x v="3"/>
    <s v="Under 1000"/>
    <x v="1"/>
    <n v="1"/>
  </r>
  <r>
    <x v="155"/>
    <n v="22"/>
    <n v="8"/>
    <n v="3"/>
    <x v="2"/>
    <x v="7"/>
    <x v="0"/>
    <n v="0"/>
    <x v="3"/>
    <s v="Under 1000"/>
    <x v="1"/>
    <n v="1"/>
  </r>
  <r>
    <x v="482"/>
    <n v="743"/>
    <n v="89"/>
    <n v="5"/>
    <x v="0"/>
    <x v="3"/>
    <x v="3"/>
    <n v="0"/>
    <x v="0"/>
    <s v="Under 1000"/>
    <x v="0"/>
    <n v="1"/>
  </r>
  <r>
    <x v="10"/>
    <n v="22"/>
    <n v="-15"/>
    <n v="4"/>
    <x v="2"/>
    <x v="8"/>
    <x v="0"/>
    <n v="1"/>
    <x v="0"/>
    <s v="Under 1000"/>
    <x v="1"/>
    <n v="1"/>
  </r>
  <r>
    <x v="233"/>
    <n v="781"/>
    <n v="594"/>
    <n v="6"/>
    <x v="0"/>
    <x v="3"/>
    <x v="4"/>
    <n v="0"/>
    <x v="0"/>
    <s v="Under 1000"/>
    <x v="1"/>
    <n v="1"/>
  </r>
  <r>
    <x v="276"/>
    <n v="25"/>
    <n v="-2"/>
    <n v="5"/>
    <x v="2"/>
    <x v="7"/>
    <x v="3"/>
    <n v="1"/>
    <x v="0"/>
    <s v="Under 1000"/>
    <x v="1"/>
    <n v="1"/>
  </r>
  <r>
    <x v="205"/>
    <n v="25"/>
    <n v="2"/>
    <n v="2"/>
    <x v="2"/>
    <x v="7"/>
    <x v="3"/>
    <n v="0"/>
    <x v="3"/>
    <s v="Under 1000"/>
    <x v="1"/>
    <n v="1"/>
  </r>
  <r>
    <x v="309"/>
    <n v="119"/>
    <n v="43"/>
    <n v="5"/>
    <x v="2"/>
    <x v="14"/>
    <x v="0"/>
    <n v="0"/>
    <x v="0"/>
    <s v="Under 1000"/>
    <x v="1"/>
    <n v="1"/>
  </r>
  <r>
    <x v="214"/>
    <n v="785"/>
    <n v="52"/>
    <n v="2"/>
    <x v="0"/>
    <x v="4"/>
    <x v="4"/>
    <n v="0"/>
    <x v="3"/>
    <s v="Under 1000"/>
    <x v="1"/>
    <n v="1"/>
  </r>
  <r>
    <x v="226"/>
    <n v="183"/>
    <n v="-66"/>
    <n v="5"/>
    <x v="0"/>
    <x v="4"/>
    <x v="3"/>
    <n v="1"/>
    <x v="0"/>
    <s v="Under 1000"/>
    <x v="1"/>
    <n v="1"/>
  </r>
  <r>
    <x v="300"/>
    <n v="22"/>
    <n v="4"/>
    <n v="1"/>
    <x v="2"/>
    <x v="11"/>
    <x v="0"/>
    <n v="0"/>
    <x v="3"/>
    <s v="Under 1000"/>
    <x v="1"/>
    <n v="1"/>
  </r>
  <r>
    <x v="76"/>
    <n v="642"/>
    <n v="180"/>
    <n v="5"/>
    <x v="2"/>
    <x v="6"/>
    <x v="0"/>
    <n v="0"/>
    <x v="0"/>
    <s v="Under 1000"/>
    <x v="1"/>
    <n v="1"/>
  </r>
  <r>
    <x v="244"/>
    <n v="767"/>
    <n v="-353"/>
    <n v="5"/>
    <x v="2"/>
    <x v="5"/>
    <x v="0"/>
    <n v="1"/>
    <x v="0"/>
    <s v="Under 1000"/>
    <x v="1"/>
    <n v="1"/>
  </r>
  <r>
    <x v="260"/>
    <n v="770"/>
    <n v="323"/>
    <n v="3"/>
    <x v="0"/>
    <x v="13"/>
    <x v="0"/>
    <n v="0"/>
    <x v="3"/>
    <s v="Under 1000"/>
    <x v="1"/>
    <n v="1"/>
  </r>
  <r>
    <x v="356"/>
    <n v="21"/>
    <n v="-17"/>
    <n v="3"/>
    <x v="2"/>
    <x v="16"/>
    <x v="0"/>
    <n v="1"/>
    <x v="3"/>
    <s v="Under 1000"/>
    <x v="1"/>
    <n v="1"/>
  </r>
  <r>
    <x v="305"/>
    <n v="21"/>
    <n v="-6"/>
    <n v="3"/>
    <x v="2"/>
    <x v="12"/>
    <x v="0"/>
    <n v="1"/>
    <x v="3"/>
    <s v="Under 1000"/>
    <x v="1"/>
    <n v="1"/>
  </r>
  <r>
    <x v="3"/>
    <n v="492"/>
    <n v="187"/>
    <n v="2"/>
    <x v="0"/>
    <x v="13"/>
    <x v="3"/>
    <n v="0"/>
    <x v="3"/>
    <s v="Under 1000"/>
    <x v="1"/>
    <n v="1"/>
  </r>
  <r>
    <x v="327"/>
    <n v="816"/>
    <n v="-96"/>
    <n v="3"/>
    <x v="0"/>
    <x v="3"/>
    <x v="4"/>
    <n v="1"/>
    <x v="3"/>
    <s v="Under 1000"/>
    <x v="1"/>
    <n v="1"/>
  </r>
  <r>
    <x v="238"/>
    <n v="25"/>
    <n v="2"/>
    <n v="3"/>
    <x v="2"/>
    <x v="8"/>
    <x v="2"/>
    <n v="0"/>
    <x v="3"/>
    <s v="Under 1000"/>
    <x v="1"/>
    <n v="1"/>
  </r>
  <r>
    <x v="274"/>
    <n v="802"/>
    <n v="120"/>
    <n v="7"/>
    <x v="0"/>
    <x v="13"/>
    <x v="0"/>
    <n v="0"/>
    <x v="0"/>
    <s v="Under 1000"/>
    <x v="1"/>
    <n v="1"/>
  </r>
  <r>
    <x v="483"/>
    <n v="811"/>
    <n v="154"/>
    <n v="7"/>
    <x v="0"/>
    <x v="13"/>
    <x v="3"/>
    <n v="0"/>
    <x v="0"/>
    <s v="Under 1000"/>
    <x v="0"/>
    <n v="1"/>
  </r>
  <r>
    <x v="426"/>
    <n v="835"/>
    <n v="267"/>
    <n v="5"/>
    <x v="0"/>
    <x v="4"/>
    <x v="4"/>
    <n v="0"/>
    <x v="0"/>
    <s v="Under 1000"/>
    <x v="1"/>
    <n v="1"/>
  </r>
  <r>
    <x v="247"/>
    <n v="21"/>
    <n v="-5"/>
    <n v="1"/>
    <x v="0"/>
    <x v="13"/>
    <x v="0"/>
    <n v="1"/>
    <x v="3"/>
    <s v="Under 1000"/>
    <x v="1"/>
    <n v="1"/>
  </r>
  <r>
    <x v="262"/>
    <n v="450"/>
    <n v="-190"/>
    <n v="4"/>
    <x v="1"/>
    <x v="2"/>
    <x v="0"/>
    <n v="1"/>
    <x v="0"/>
    <s v="Under 1000"/>
    <x v="1"/>
    <n v="1"/>
  </r>
  <r>
    <x v="275"/>
    <n v="24"/>
    <n v="-1"/>
    <n v="4"/>
    <x v="2"/>
    <x v="9"/>
    <x v="2"/>
    <n v="1"/>
    <x v="0"/>
    <s v="Under 1000"/>
    <x v="1"/>
    <n v="1"/>
  </r>
  <r>
    <x v="484"/>
    <n v="832"/>
    <n v="0"/>
    <n v="3"/>
    <x v="2"/>
    <x v="5"/>
    <x v="3"/>
    <n v="0"/>
    <x v="3"/>
    <s v="Under 1000"/>
    <x v="0"/>
    <n v="1"/>
  </r>
  <r>
    <x v="329"/>
    <n v="833"/>
    <n v="93"/>
    <n v="3"/>
    <x v="2"/>
    <x v="5"/>
    <x v="3"/>
    <n v="0"/>
    <x v="3"/>
    <s v="Under 1000"/>
    <x v="1"/>
    <n v="1"/>
  </r>
  <r>
    <x v="485"/>
    <n v="20"/>
    <n v="6"/>
    <n v="1"/>
    <x v="2"/>
    <x v="14"/>
    <x v="0"/>
    <n v="0"/>
    <x v="3"/>
    <s v="Under 1000"/>
    <x v="0"/>
    <n v="1"/>
  </r>
  <r>
    <x v="386"/>
    <n v="23"/>
    <n v="-5"/>
    <n v="7"/>
    <x v="2"/>
    <x v="7"/>
    <x v="2"/>
    <n v="1"/>
    <x v="0"/>
    <s v="Under 1000"/>
    <x v="1"/>
    <n v="1"/>
  </r>
  <r>
    <x v="139"/>
    <n v="550"/>
    <n v="-242"/>
    <n v="5"/>
    <x v="1"/>
    <x v="15"/>
    <x v="3"/>
    <n v="1"/>
    <x v="0"/>
    <s v="Under 1000"/>
    <x v="1"/>
    <n v="1"/>
  </r>
  <r>
    <x v="312"/>
    <n v="148"/>
    <n v="-91"/>
    <n v="2"/>
    <x v="0"/>
    <x v="4"/>
    <x v="0"/>
    <n v="1"/>
    <x v="3"/>
    <s v="Under 1000"/>
    <x v="1"/>
    <n v="1"/>
  </r>
  <r>
    <x v="146"/>
    <n v="846"/>
    <n v="9"/>
    <n v="2"/>
    <x v="1"/>
    <x v="1"/>
    <x v="4"/>
    <n v="0"/>
    <x v="3"/>
    <s v="Under 1000"/>
    <x v="1"/>
    <n v="1"/>
  </r>
  <r>
    <x v="57"/>
    <n v="856"/>
    <n v="385"/>
    <n v="6"/>
    <x v="0"/>
    <x v="3"/>
    <x v="0"/>
    <n v="0"/>
    <x v="0"/>
    <s v="Under 1000"/>
    <x v="1"/>
    <n v="1"/>
  </r>
  <r>
    <x v="342"/>
    <n v="871"/>
    <n v="131"/>
    <n v="2"/>
    <x v="1"/>
    <x v="2"/>
    <x v="3"/>
    <n v="0"/>
    <x v="3"/>
    <s v="Under 1000"/>
    <x v="1"/>
    <n v="1"/>
  </r>
  <r>
    <x v="179"/>
    <n v="19"/>
    <n v="-18"/>
    <n v="4"/>
    <x v="2"/>
    <x v="8"/>
    <x v="0"/>
    <n v="1"/>
    <x v="0"/>
    <s v="Under 1000"/>
    <x v="1"/>
    <n v="1"/>
  </r>
  <r>
    <x v="486"/>
    <n v="610"/>
    <n v="-66"/>
    <n v="2"/>
    <x v="1"/>
    <x v="10"/>
    <x v="0"/>
    <n v="1"/>
    <x v="3"/>
    <s v="Under 1000"/>
    <x v="0"/>
    <n v="1"/>
  </r>
  <r>
    <x v="327"/>
    <n v="880"/>
    <n v="97"/>
    <n v="8"/>
    <x v="1"/>
    <x v="15"/>
    <x v="4"/>
    <n v="0"/>
    <x v="2"/>
    <s v="Under 1000"/>
    <x v="1"/>
    <n v="1"/>
  </r>
  <r>
    <x v="101"/>
    <n v="22"/>
    <n v="-8"/>
    <n v="4"/>
    <x v="2"/>
    <x v="7"/>
    <x v="2"/>
    <n v="1"/>
    <x v="0"/>
    <s v="Under 1000"/>
    <x v="1"/>
    <n v="1"/>
  </r>
  <r>
    <x v="487"/>
    <n v="22"/>
    <n v="11"/>
    <n v="2"/>
    <x v="2"/>
    <x v="9"/>
    <x v="2"/>
    <n v="0"/>
    <x v="3"/>
    <s v="Under 1000"/>
    <x v="0"/>
    <n v="1"/>
  </r>
  <r>
    <x v="488"/>
    <n v="21"/>
    <n v="4"/>
    <n v="3"/>
    <x v="2"/>
    <x v="7"/>
    <x v="2"/>
    <n v="0"/>
    <x v="3"/>
    <s v="Under 1000"/>
    <x v="0"/>
    <n v="1"/>
  </r>
  <r>
    <x v="275"/>
    <n v="18"/>
    <n v="1"/>
    <n v="3"/>
    <x v="2"/>
    <x v="7"/>
    <x v="0"/>
    <n v="0"/>
    <x v="3"/>
    <s v="Under 1000"/>
    <x v="1"/>
    <n v="1"/>
  </r>
  <r>
    <x v="489"/>
    <n v="911"/>
    <n v="202"/>
    <n v="7"/>
    <x v="1"/>
    <x v="1"/>
    <x v="0"/>
    <n v="0"/>
    <x v="0"/>
    <s v="Under 1000"/>
    <x v="0"/>
    <n v="1"/>
  </r>
  <r>
    <x v="267"/>
    <n v="18"/>
    <n v="2"/>
    <n v="3"/>
    <x v="2"/>
    <x v="7"/>
    <x v="0"/>
    <n v="0"/>
    <x v="3"/>
    <s v="Under 1000"/>
    <x v="1"/>
    <n v="1"/>
  </r>
  <r>
    <x v="317"/>
    <n v="911"/>
    <n v="355"/>
    <n v="5"/>
    <x v="0"/>
    <x v="4"/>
    <x v="4"/>
    <n v="0"/>
    <x v="0"/>
    <s v="Under 1000"/>
    <x v="1"/>
    <n v="1"/>
  </r>
  <r>
    <x v="197"/>
    <n v="143"/>
    <n v="-129"/>
    <n v="2"/>
    <x v="0"/>
    <x v="4"/>
    <x v="0"/>
    <n v="1"/>
    <x v="3"/>
    <s v="Under 1000"/>
    <x v="1"/>
    <n v="1"/>
  </r>
  <r>
    <x v="100"/>
    <n v="918"/>
    <n v="22"/>
    <n v="9"/>
    <x v="0"/>
    <x v="0"/>
    <x v="0"/>
    <n v="0"/>
    <x v="2"/>
    <s v="Under 1000"/>
    <x v="1"/>
    <n v="1"/>
  </r>
  <r>
    <x v="104"/>
    <n v="925"/>
    <n v="-447"/>
    <n v="5"/>
    <x v="0"/>
    <x v="0"/>
    <x v="0"/>
    <n v="1"/>
    <x v="0"/>
    <s v="Under 1000"/>
    <x v="1"/>
    <n v="1"/>
  </r>
  <r>
    <x v="142"/>
    <n v="17"/>
    <n v="8"/>
    <n v="2"/>
    <x v="2"/>
    <x v="9"/>
    <x v="0"/>
    <n v="0"/>
    <x v="3"/>
    <s v="Under 1000"/>
    <x v="1"/>
    <n v="1"/>
  </r>
  <r>
    <x v="490"/>
    <n v="465"/>
    <n v="207"/>
    <n v="9"/>
    <x v="2"/>
    <x v="6"/>
    <x v="0"/>
    <n v="0"/>
    <x v="2"/>
    <s v="Under 1000"/>
    <x v="0"/>
    <n v="1"/>
  </r>
  <r>
    <x v="118"/>
    <n v="17"/>
    <n v="-9"/>
    <n v="3"/>
    <x v="2"/>
    <x v="11"/>
    <x v="0"/>
    <n v="1"/>
    <x v="3"/>
    <s v="Under 1000"/>
    <x v="1"/>
    <n v="1"/>
  </r>
  <r>
    <x v="102"/>
    <n v="935"/>
    <n v="114"/>
    <n v="4"/>
    <x v="0"/>
    <x v="0"/>
    <x v="3"/>
    <n v="0"/>
    <x v="0"/>
    <s v="Under 1000"/>
    <x v="1"/>
    <n v="1"/>
  </r>
  <r>
    <x v="89"/>
    <n v="16"/>
    <n v="-10"/>
    <n v="2"/>
    <x v="2"/>
    <x v="14"/>
    <x v="0"/>
    <n v="1"/>
    <x v="3"/>
    <s v="Under 1000"/>
    <x v="1"/>
    <n v="1"/>
  </r>
  <r>
    <x v="2"/>
    <n v="954"/>
    <n v="95"/>
    <n v="3"/>
    <x v="0"/>
    <x v="3"/>
    <x v="3"/>
    <n v="0"/>
    <x v="3"/>
    <s v="Under 1000"/>
    <x v="1"/>
    <n v="1"/>
  </r>
  <r>
    <x v="85"/>
    <n v="915"/>
    <n v="-99"/>
    <n v="3"/>
    <x v="1"/>
    <x v="10"/>
    <x v="4"/>
    <n v="1"/>
    <x v="3"/>
    <s v="Under 1000"/>
    <x v="1"/>
    <n v="1"/>
  </r>
  <r>
    <x v="298"/>
    <n v="955"/>
    <n v="305"/>
    <n v="3"/>
    <x v="0"/>
    <x v="3"/>
    <x v="4"/>
    <n v="0"/>
    <x v="3"/>
    <s v="Under 1000"/>
    <x v="1"/>
    <n v="1"/>
  </r>
  <r>
    <x v="37"/>
    <n v="976"/>
    <n v="293"/>
    <n v="4"/>
    <x v="0"/>
    <x v="13"/>
    <x v="0"/>
    <n v="0"/>
    <x v="0"/>
    <s v="Under 1000"/>
    <x v="1"/>
    <n v="1"/>
  </r>
  <r>
    <x v="312"/>
    <n v="1069"/>
    <n v="0"/>
    <n v="6"/>
    <x v="2"/>
    <x v="6"/>
    <x v="1"/>
    <n v="0"/>
    <x v="0"/>
    <s v="1000 - 2999"/>
    <x v="1"/>
    <n v="1"/>
  </r>
  <r>
    <x v="258"/>
    <n v="19"/>
    <n v="-15"/>
    <n v="3"/>
    <x v="2"/>
    <x v="7"/>
    <x v="2"/>
    <n v="1"/>
    <x v="3"/>
    <s v="Under 1000"/>
    <x v="1"/>
    <n v="1"/>
  </r>
  <r>
    <x v="289"/>
    <n v="16"/>
    <n v="6"/>
    <n v="3"/>
    <x v="2"/>
    <x v="7"/>
    <x v="0"/>
    <n v="0"/>
    <x v="3"/>
    <s v="Under 1000"/>
    <x v="1"/>
    <n v="1"/>
  </r>
  <r>
    <x v="70"/>
    <n v="1030"/>
    <n v="206"/>
    <n v="8"/>
    <x v="0"/>
    <x v="3"/>
    <x v="3"/>
    <n v="0"/>
    <x v="2"/>
    <s v="1000 - 2999"/>
    <x v="1"/>
    <n v="1"/>
  </r>
  <r>
    <x v="256"/>
    <n v="620"/>
    <n v="82"/>
    <n v="6"/>
    <x v="0"/>
    <x v="13"/>
    <x v="0"/>
    <n v="0"/>
    <x v="0"/>
    <s v="Under 1000"/>
    <x v="1"/>
    <n v="1"/>
  </r>
  <r>
    <x v="182"/>
    <n v="16"/>
    <n v="8"/>
    <n v="2"/>
    <x v="2"/>
    <x v="7"/>
    <x v="0"/>
    <n v="0"/>
    <x v="3"/>
    <s v="Under 1000"/>
    <x v="1"/>
    <n v="1"/>
  </r>
  <r>
    <x v="35"/>
    <n v="19"/>
    <n v="8"/>
    <n v="2"/>
    <x v="2"/>
    <x v="7"/>
    <x v="2"/>
    <n v="0"/>
    <x v="3"/>
    <s v="Under 1000"/>
    <x v="1"/>
    <n v="1"/>
  </r>
  <r>
    <x v="157"/>
    <n v="249"/>
    <n v="-130"/>
    <n v="4"/>
    <x v="0"/>
    <x v="4"/>
    <x v="3"/>
    <n v="1"/>
    <x v="0"/>
    <s v="Under 1000"/>
    <x v="1"/>
    <n v="1"/>
  </r>
  <r>
    <x v="491"/>
    <n v="16"/>
    <n v="6"/>
    <n v="1"/>
    <x v="2"/>
    <x v="11"/>
    <x v="0"/>
    <n v="0"/>
    <x v="3"/>
    <s v="Under 1000"/>
    <x v="0"/>
    <n v="1"/>
  </r>
  <r>
    <x v="97"/>
    <n v="1361"/>
    <n v="197"/>
    <n v="9"/>
    <x v="1"/>
    <x v="2"/>
    <x v="0"/>
    <n v="0"/>
    <x v="2"/>
    <s v="1000 - 2999"/>
    <x v="1"/>
    <n v="1"/>
  </r>
  <r>
    <x v="92"/>
    <n v="15"/>
    <n v="1"/>
    <n v="1"/>
    <x v="2"/>
    <x v="16"/>
    <x v="0"/>
    <n v="0"/>
    <x v="3"/>
    <s v="Under 1000"/>
    <x v="1"/>
    <n v="1"/>
  </r>
  <r>
    <x v="233"/>
    <n v="1076"/>
    <n v="-38"/>
    <n v="4"/>
    <x v="0"/>
    <x v="3"/>
    <x v="0"/>
    <n v="1"/>
    <x v="0"/>
    <s v="1000 - 2999"/>
    <x v="1"/>
    <n v="1"/>
  </r>
  <r>
    <x v="127"/>
    <n v="18"/>
    <n v="2"/>
    <n v="3"/>
    <x v="2"/>
    <x v="7"/>
    <x v="2"/>
    <n v="0"/>
    <x v="3"/>
    <s v="Under 1000"/>
    <x v="1"/>
    <n v="1"/>
  </r>
  <r>
    <x v="492"/>
    <n v="1101"/>
    <n v="352"/>
    <n v="3"/>
    <x v="1"/>
    <x v="2"/>
    <x v="3"/>
    <n v="0"/>
    <x v="3"/>
    <s v="1000 - 2999"/>
    <x v="0"/>
    <n v="1"/>
  </r>
  <r>
    <x v="148"/>
    <n v="15"/>
    <n v="2"/>
    <n v="1"/>
    <x v="2"/>
    <x v="12"/>
    <x v="0"/>
    <n v="0"/>
    <x v="3"/>
    <s v="Under 1000"/>
    <x v="1"/>
    <n v="1"/>
  </r>
  <r>
    <x v="30"/>
    <n v="1104"/>
    <n v="209"/>
    <n v="4"/>
    <x v="2"/>
    <x v="5"/>
    <x v="3"/>
    <n v="0"/>
    <x v="0"/>
    <s v="1000 - 2999"/>
    <x v="1"/>
    <n v="1"/>
  </r>
  <r>
    <x v="123"/>
    <n v="14"/>
    <n v="2"/>
    <n v="1"/>
    <x v="2"/>
    <x v="7"/>
    <x v="0"/>
    <n v="0"/>
    <x v="3"/>
    <s v="Under 1000"/>
    <x v="1"/>
    <n v="1"/>
  </r>
  <r>
    <x v="74"/>
    <n v="14"/>
    <n v="5"/>
    <n v="1"/>
    <x v="2"/>
    <x v="7"/>
    <x v="0"/>
    <n v="0"/>
    <x v="3"/>
    <s v="Under 1000"/>
    <x v="1"/>
    <n v="1"/>
  </r>
  <r>
    <x v="230"/>
    <n v="14"/>
    <n v="-3"/>
    <n v="2"/>
    <x v="2"/>
    <x v="12"/>
    <x v="0"/>
    <n v="1"/>
    <x v="3"/>
    <s v="Under 1000"/>
    <x v="1"/>
    <n v="1"/>
  </r>
  <r>
    <x v="7"/>
    <n v="14"/>
    <n v="-1"/>
    <n v="4"/>
    <x v="2"/>
    <x v="8"/>
    <x v="0"/>
    <n v="1"/>
    <x v="0"/>
    <s v="Under 1000"/>
    <x v="1"/>
    <n v="1"/>
  </r>
  <r>
    <x v="36"/>
    <n v="13"/>
    <n v="-8"/>
    <n v="1"/>
    <x v="2"/>
    <x v="14"/>
    <x v="0"/>
    <n v="1"/>
    <x v="3"/>
    <s v="Under 1000"/>
    <x v="1"/>
    <n v="1"/>
  </r>
  <r>
    <x v="93"/>
    <n v="13"/>
    <n v="-1"/>
    <n v="3"/>
    <x v="2"/>
    <x v="7"/>
    <x v="0"/>
    <n v="1"/>
    <x v="3"/>
    <s v="Under 1000"/>
    <x v="1"/>
    <n v="1"/>
  </r>
  <r>
    <x v="314"/>
    <n v="1275"/>
    <n v="1148"/>
    <n v="7"/>
    <x v="1"/>
    <x v="2"/>
    <x v="1"/>
    <n v="0"/>
    <x v="0"/>
    <s v="1000 - 2999"/>
    <x v="1"/>
    <n v="1"/>
  </r>
  <r>
    <x v="135"/>
    <n v="17"/>
    <n v="1"/>
    <n v="2"/>
    <x v="2"/>
    <x v="9"/>
    <x v="2"/>
    <n v="0"/>
    <x v="3"/>
    <s v="Under 1000"/>
    <x v="1"/>
    <n v="1"/>
  </r>
  <r>
    <x v="24"/>
    <n v="13"/>
    <n v="0"/>
    <n v="2"/>
    <x v="2"/>
    <x v="7"/>
    <x v="0"/>
    <n v="0"/>
    <x v="3"/>
    <s v="Under 1000"/>
    <x v="1"/>
    <n v="1"/>
  </r>
  <r>
    <x v="203"/>
    <n v="1270"/>
    <n v="546"/>
    <n v="11"/>
    <x v="0"/>
    <x v="0"/>
    <x v="1"/>
    <n v="0"/>
    <x v="1"/>
    <s v="1000 - 2999"/>
    <x v="1"/>
    <n v="1"/>
  </r>
  <r>
    <x v="106"/>
    <n v="13"/>
    <n v="-2"/>
    <n v="1"/>
    <x v="2"/>
    <x v="11"/>
    <x v="0"/>
    <n v="1"/>
    <x v="3"/>
    <s v="Under 1000"/>
    <x v="1"/>
    <n v="1"/>
  </r>
  <r>
    <x v="493"/>
    <n v="13"/>
    <n v="3"/>
    <n v="1"/>
    <x v="2"/>
    <x v="12"/>
    <x v="0"/>
    <n v="0"/>
    <x v="3"/>
    <s v="Under 1000"/>
    <x v="0"/>
    <n v="1"/>
  </r>
  <r>
    <x v="350"/>
    <n v="17"/>
    <n v="5"/>
    <n v="1"/>
    <x v="2"/>
    <x v="7"/>
    <x v="3"/>
    <n v="0"/>
    <x v="3"/>
    <s v="Under 1000"/>
    <x v="1"/>
    <n v="1"/>
  </r>
  <r>
    <x v="82"/>
    <n v="13"/>
    <n v="-13"/>
    <n v="2"/>
    <x v="2"/>
    <x v="9"/>
    <x v="0"/>
    <n v="1"/>
    <x v="3"/>
    <s v="Under 1000"/>
    <x v="1"/>
    <n v="1"/>
  </r>
  <r>
    <x v="339"/>
    <n v="13"/>
    <n v="-9"/>
    <n v="2"/>
    <x v="2"/>
    <x v="9"/>
    <x v="0"/>
    <n v="1"/>
    <x v="3"/>
    <s v="Under 1000"/>
    <x v="1"/>
    <n v="1"/>
  </r>
  <r>
    <x v="126"/>
    <n v="1263"/>
    <n v="-56"/>
    <n v="5"/>
    <x v="2"/>
    <x v="5"/>
    <x v="1"/>
    <n v="1"/>
    <x v="0"/>
    <s v="1000 - 2999"/>
    <x v="1"/>
    <n v="1"/>
  </r>
  <r>
    <x v="494"/>
    <n v="1629"/>
    <n v="-153"/>
    <n v="3"/>
    <x v="0"/>
    <x v="4"/>
    <x v="0"/>
    <n v="1"/>
    <x v="3"/>
    <s v="1000 - 2999"/>
    <x v="0"/>
    <n v="1"/>
  </r>
  <r>
    <x v="74"/>
    <n v="17"/>
    <n v="7"/>
    <n v="3"/>
    <x v="2"/>
    <x v="7"/>
    <x v="3"/>
    <n v="0"/>
    <x v="3"/>
    <s v="Under 1000"/>
    <x v="1"/>
    <n v="1"/>
  </r>
  <r>
    <x v="34"/>
    <n v="17"/>
    <n v="2"/>
    <n v="2"/>
    <x v="2"/>
    <x v="9"/>
    <x v="3"/>
    <n v="0"/>
    <x v="3"/>
    <s v="Under 1000"/>
    <x v="1"/>
    <n v="1"/>
  </r>
  <r>
    <x v="1"/>
    <n v="1250"/>
    <n v="-12"/>
    <n v="2"/>
    <x v="0"/>
    <x v="3"/>
    <x v="1"/>
    <n v="1"/>
    <x v="3"/>
    <s v="1000 - 2999"/>
    <x v="1"/>
    <n v="1"/>
  </r>
  <r>
    <x v="16"/>
    <n v="17"/>
    <n v="-11"/>
    <n v="3"/>
    <x v="2"/>
    <x v="9"/>
    <x v="3"/>
    <n v="1"/>
    <x v="3"/>
    <s v="Under 1000"/>
    <x v="1"/>
    <n v="1"/>
  </r>
  <r>
    <x v="353"/>
    <n v="977"/>
    <n v="-244"/>
    <n v="7"/>
    <x v="0"/>
    <x v="4"/>
    <x v="0"/>
    <n v="1"/>
    <x v="0"/>
    <s v="Under 1000"/>
    <x v="1"/>
    <n v="1"/>
  </r>
  <r>
    <x v="495"/>
    <n v="1246"/>
    <n v="62"/>
    <n v="3"/>
    <x v="1"/>
    <x v="2"/>
    <x v="1"/>
    <n v="0"/>
    <x v="3"/>
    <s v="1000 - 2999"/>
    <x v="0"/>
    <n v="1"/>
  </r>
  <r>
    <x v="268"/>
    <n v="12"/>
    <n v="1"/>
    <n v="2"/>
    <x v="2"/>
    <x v="7"/>
    <x v="0"/>
    <n v="0"/>
    <x v="3"/>
    <s v="Under 1000"/>
    <x v="1"/>
    <n v="1"/>
  </r>
  <r>
    <x v="89"/>
    <n v="11"/>
    <n v="-4"/>
    <n v="2"/>
    <x v="2"/>
    <x v="9"/>
    <x v="0"/>
    <n v="1"/>
    <x v="3"/>
    <s v="Under 1000"/>
    <x v="1"/>
    <n v="1"/>
  </r>
  <r>
    <x v="87"/>
    <n v="1327"/>
    <n v="318"/>
    <n v="8"/>
    <x v="1"/>
    <x v="1"/>
    <x v="1"/>
    <n v="0"/>
    <x v="2"/>
    <s v="1000 - 2999"/>
    <x v="1"/>
    <n v="1"/>
  </r>
  <r>
    <x v="139"/>
    <n v="1319"/>
    <n v="567"/>
    <n v="5"/>
    <x v="0"/>
    <x v="3"/>
    <x v="0"/>
    <n v="0"/>
    <x v="0"/>
    <s v="1000 - 2999"/>
    <x v="1"/>
    <n v="1"/>
  </r>
  <r>
    <x v="275"/>
    <n v="1402"/>
    <n v="109"/>
    <n v="11"/>
    <x v="2"/>
    <x v="6"/>
    <x v="1"/>
    <n v="0"/>
    <x v="1"/>
    <s v="1000 - 2999"/>
    <x v="1"/>
    <n v="1"/>
  </r>
  <r>
    <x v="221"/>
    <n v="1514"/>
    <n v="742"/>
    <n v="4"/>
    <x v="0"/>
    <x v="3"/>
    <x v="1"/>
    <n v="0"/>
    <x v="0"/>
    <s v="1000 - 2999"/>
    <x v="1"/>
    <n v="1"/>
  </r>
  <r>
    <x v="5"/>
    <n v="1351"/>
    <n v="111"/>
    <n v="6"/>
    <x v="0"/>
    <x v="0"/>
    <x v="0"/>
    <n v="0"/>
    <x v="0"/>
    <s v="1000 - 2999"/>
    <x v="1"/>
    <n v="1"/>
  </r>
  <r>
    <x v="117"/>
    <n v="1355"/>
    <n v="-60"/>
    <n v="5"/>
    <x v="2"/>
    <x v="5"/>
    <x v="0"/>
    <n v="1"/>
    <x v="0"/>
    <s v="1000 - 2999"/>
    <x v="1"/>
    <n v="1"/>
  </r>
  <r>
    <x v="9"/>
    <n v="10"/>
    <n v="2"/>
    <n v="2"/>
    <x v="2"/>
    <x v="7"/>
    <x v="0"/>
    <n v="0"/>
    <x v="3"/>
    <s v="Under 1000"/>
    <x v="1"/>
    <n v="1"/>
  </r>
  <r>
    <x v="33"/>
    <n v="10"/>
    <n v="-2"/>
    <n v="2"/>
    <x v="2"/>
    <x v="12"/>
    <x v="0"/>
    <n v="1"/>
    <x v="3"/>
    <s v="Under 1000"/>
    <x v="1"/>
    <n v="1"/>
  </r>
  <r>
    <x v="496"/>
    <n v="1582"/>
    <n v="-443"/>
    <n v="6"/>
    <x v="2"/>
    <x v="5"/>
    <x v="1"/>
    <n v="1"/>
    <x v="0"/>
    <s v="1000 - 2999"/>
    <x v="0"/>
    <n v="1"/>
  </r>
  <r>
    <x v="101"/>
    <n v="1218"/>
    <n v="352"/>
    <n v="9"/>
    <x v="1"/>
    <x v="2"/>
    <x v="1"/>
    <n v="0"/>
    <x v="2"/>
    <s v="1000 - 2999"/>
    <x v="1"/>
    <n v="1"/>
  </r>
  <r>
    <x v="40"/>
    <n v="321"/>
    <n v="315"/>
    <n v="5"/>
    <x v="2"/>
    <x v="6"/>
    <x v="3"/>
    <n v="0"/>
    <x v="0"/>
    <s v="Under 1000"/>
    <x v="1"/>
    <n v="1"/>
  </r>
  <r>
    <x v="175"/>
    <n v="736"/>
    <n v="346"/>
    <n v="5"/>
    <x v="0"/>
    <x v="3"/>
    <x v="0"/>
    <n v="0"/>
    <x v="0"/>
    <s v="Under 1000"/>
    <x v="1"/>
    <n v="1"/>
  </r>
  <r>
    <x v="1"/>
    <n v="1218"/>
    <n v="-420"/>
    <n v="8"/>
    <x v="1"/>
    <x v="2"/>
    <x v="0"/>
    <n v="1"/>
    <x v="2"/>
    <s v="1000 - 2999"/>
    <x v="1"/>
    <n v="1"/>
  </r>
  <r>
    <x v="139"/>
    <n v="1027"/>
    <n v="441"/>
    <n v="8"/>
    <x v="2"/>
    <x v="6"/>
    <x v="0"/>
    <n v="0"/>
    <x v="2"/>
    <s v="1000 - 2999"/>
    <x v="1"/>
    <n v="1"/>
  </r>
  <r>
    <x v="223"/>
    <n v="10"/>
    <n v="5"/>
    <n v="1"/>
    <x v="2"/>
    <x v="11"/>
    <x v="0"/>
    <n v="0"/>
    <x v="3"/>
    <s v="Under 1000"/>
    <x v="1"/>
    <n v="1"/>
  </r>
  <r>
    <x v="426"/>
    <n v="2366"/>
    <n v="552"/>
    <n v="5"/>
    <x v="2"/>
    <x v="5"/>
    <x v="3"/>
    <n v="0"/>
    <x v="0"/>
    <s v="1000 - 2999"/>
    <x v="1"/>
    <n v="1"/>
  </r>
  <r>
    <x v="276"/>
    <n v="9"/>
    <n v="-6"/>
    <n v="2"/>
    <x v="2"/>
    <x v="7"/>
    <x v="0"/>
    <n v="1"/>
    <x v="3"/>
    <s v="Under 1000"/>
    <x v="1"/>
    <n v="1"/>
  </r>
  <r>
    <x v="39"/>
    <n v="16"/>
    <n v="-12"/>
    <n v="2"/>
    <x v="2"/>
    <x v="11"/>
    <x v="3"/>
    <n v="1"/>
    <x v="3"/>
    <s v="Under 1000"/>
    <x v="1"/>
    <n v="1"/>
  </r>
  <r>
    <x v="426"/>
    <n v="9"/>
    <n v="3"/>
    <n v="1"/>
    <x v="2"/>
    <x v="9"/>
    <x v="0"/>
    <n v="0"/>
    <x v="3"/>
    <s v="Under 1000"/>
    <x v="1"/>
    <n v="1"/>
  </r>
  <r>
    <x v="497"/>
    <n v="1560"/>
    <n v="421"/>
    <n v="3"/>
    <x v="2"/>
    <x v="5"/>
    <x v="0"/>
    <n v="0"/>
    <x v="3"/>
    <s v="1000 - 2999"/>
    <x v="0"/>
    <n v="1"/>
  </r>
  <r>
    <x v="164"/>
    <n v="1137"/>
    <n v="568"/>
    <n v="2"/>
    <x v="2"/>
    <x v="5"/>
    <x v="1"/>
    <n v="0"/>
    <x v="3"/>
    <s v="1000 - 2999"/>
    <x v="1"/>
    <n v="1"/>
  </r>
  <r>
    <x v="252"/>
    <n v="9"/>
    <n v="-9"/>
    <n v="2"/>
    <x v="2"/>
    <x v="8"/>
    <x v="0"/>
    <n v="1"/>
    <x v="3"/>
    <s v="Under 1000"/>
    <x v="1"/>
    <n v="1"/>
  </r>
  <r>
    <x v="19"/>
    <n v="15"/>
    <n v="-7"/>
    <n v="1"/>
    <x v="2"/>
    <x v="7"/>
    <x v="3"/>
    <n v="1"/>
    <x v="3"/>
    <s v="Under 1000"/>
    <x v="1"/>
    <n v="1"/>
  </r>
  <r>
    <x v="35"/>
    <n v="14"/>
    <n v="5"/>
    <n v="1"/>
    <x v="2"/>
    <x v="7"/>
    <x v="3"/>
    <n v="0"/>
    <x v="3"/>
    <s v="Under 1000"/>
    <x v="1"/>
    <n v="1"/>
  </r>
  <r>
    <x v="137"/>
    <n v="14"/>
    <n v="7"/>
    <n v="2"/>
    <x v="2"/>
    <x v="7"/>
    <x v="3"/>
    <n v="0"/>
    <x v="3"/>
    <s v="Under 1000"/>
    <x v="1"/>
    <n v="1"/>
  </r>
  <r>
    <x v="97"/>
    <n v="8"/>
    <n v="-2"/>
    <n v="2"/>
    <x v="2"/>
    <x v="7"/>
    <x v="0"/>
    <n v="1"/>
    <x v="3"/>
    <s v="Under 1000"/>
    <x v="1"/>
    <n v="1"/>
  </r>
  <r>
    <x v="93"/>
    <n v="1389"/>
    <n v="680"/>
    <n v="7"/>
    <x v="2"/>
    <x v="6"/>
    <x v="0"/>
    <n v="0"/>
    <x v="0"/>
    <s v="1000 - 2999"/>
    <x v="1"/>
    <n v="1"/>
  </r>
  <r>
    <x v="294"/>
    <n v="8"/>
    <n v="-1"/>
    <n v="2"/>
    <x v="2"/>
    <x v="12"/>
    <x v="0"/>
    <n v="1"/>
    <x v="3"/>
    <s v="Under 1000"/>
    <x v="1"/>
    <n v="1"/>
  </r>
  <r>
    <x v="498"/>
    <n v="8"/>
    <n v="-2"/>
    <n v="1"/>
    <x v="2"/>
    <x v="11"/>
    <x v="0"/>
    <n v="1"/>
    <x v="3"/>
    <s v="Under 1000"/>
    <x v="0"/>
    <n v="1"/>
  </r>
  <r>
    <x v="21"/>
    <n v="13"/>
    <n v="4"/>
    <n v="1"/>
    <x v="2"/>
    <x v="12"/>
    <x v="3"/>
    <n v="0"/>
    <x v="3"/>
    <s v="Under 1000"/>
    <x v="1"/>
    <n v="1"/>
  </r>
  <r>
    <x v="499"/>
    <n v="8"/>
    <n v="-6"/>
    <n v="1"/>
    <x v="2"/>
    <x v="11"/>
    <x v="0"/>
    <n v="1"/>
    <x v="3"/>
    <s v="Under 1000"/>
    <x v="0"/>
    <n v="1"/>
  </r>
  <r>
    <x v="44"/>
    <n v="12"/>
    <n v="2"/>
    <n v="2"/>
    <x v="2"/>
    <x v="9"/>
    <x v="2"/>
    <n v="0"/>
    <x v="3"/>
    <s v="Under 1000"/>
    <x v="1"/>
    <n v="1"/>
  </r>
  <r>
    <x v="2"/>
    <n v="1716"/>
    <n v="309"/>
    <n v="7"/>
    <x v="0"/>
    <x v="13"/>
    <x v="0"/>
    <n v="0"/>
    <x v="0"/>
    <s v="1000 - 2999"/>
    <x v="1"/>
    <n v="1"/>
  </r>
  <r>
    <x v="253"/>
    <n v="1117"/>
    <n v="447"/>
    <n v="10"/>
    <x v="1"/>
    <x v="2"/>
    <x v="1"/>
    <n v="0"/>
    <x v="2"/>
    <s v="1000 - 2999"/>
    <x v="1"/>
    <n v="1"/>
  </r>
  <r>
    <x v="15"/>
    <n v="9"/>
    <n v="-6"/>
    <n v="2"/>
    <x v="2"/>
    <x v="9"/>
    <x v="2"/>
    <n v="1"/>
    <x v="3"/>
    <s v="Under 1000"/>
    <x v="1"/>
    <n v="1"/>
  </r>
  <r>
    <x v="28"/>
    <n v="332"/>
    <n v="503"/>
    <n v="3"/>
    <x v="0"/>
    <x v="3"/>
    <x v="0"/>
    <n v="0"/>
    <x v="3"/>
    <s v="Under 1000"/>
    <x v="1"/>
    <n v="0"/>
  </r>
  <r>
    <x v="15"/>
    <n v="7"/>
    <n v="-4"/>
    <n v="3"/>
    <x v="2"/>
    <x v="7"/>
    <x v="0"/>
    <n v="1"/>
    <x v="3"/>
    <s v="Under 1000"/>
    <x v="1"/>
    <n v="1"/>
  </r>
  <r>
    <x v="314"/>
    <n v="8"/>
    <n v="-2"/>
    <n v="3"/>
    <x v="2"/>
    <x v="7"/>
    <x v="2"/>
    <n v="1"/>
    <x v="3"/>
    <s v="Under 1000"/>
    <x v="1"/>
    <n v="1"/>
  </r>
  <r>
    <x v="363"/>
    <n v="2061"/>
    <n v="701"/>
    <n v="5"/>
    <x v="1"/>
    <x v="2"/>
    <x v="3"/>
    <n v="0"/>
    <x v="0"/>
    <s v="1000 - 2999"/>
    <x v="1"/>
    <n v="1"/>
  </r>
  <r>
    <x v="438"/>
    <n v="1103"/>
    <n v="276"/>
    <n v="3"/>
    <x v="1"/>
    <x v="1"/>
    <x v="1"/>
    <n v="0"/>
    <x v="3"/>
    <s v="1000 - 2999"/>
    <x v="1"/>
    <n v="1"/>
  </r>
  <r>
    <x v="278"/>
    <n v="2103"/>
    <n v="322"/>
    <n v="8"/>
    <x v="0"/>
    <x v="0"/>
    <x v="3"/>
    <n v="0"/>
    <x v="2"/>
    <s v="1000 - 2999"/>
    <x v="1"/>
    <n v="1"/>
  </r>
  <r>
    <x v="5"/>
    <n v="2115"/>
    <n v="23"/>
    <n v="5"/>
    <x v="1"/>
    <x v="1"/>
    <x v="0"/>
    <n v="0"/>
    <x v="0"/>
    <s v="1000 - 2999"/>
    <x v="1"/>
    <n v="1"/>
  </r>
  <r>
    <x v="20"/>
    <n v="850"/>
    <n v="-289"/>
    <n v="5"/>
    <x v="0"/>
    <x v="0"/>
    <x v="0"/>
    <n v="1"/>
    <x v="0"/>
    <s v="Under 1000"/>
    <x v="1"/>
    <n v="1"/>
  </r>
  <r>
    <x v="25"/>
    <n v="1063"/>
    <n v="64"/>
    <n v="7"/>
    <x v="0"/>
    <x v="4"/>
    <x v="1"/>
    <n v="0"/>
    <x v="0"/>
    <s v="1000 - 2999"/>
    <x v="1"/>
    <n v="1"/>
  </r>
  <r>
    <x v="446"/>
    <n v="1063"/>
    <n v="-175"/>
    <n v="4"/>
    <x v="0"/>
    <x v="0"/>
    <x v="1"/>
    <n v="1"/>
    <x v="0"/>
    <s v="1000 - 2999"/>
    <x v="1"/>
    <n v="1"/>
  </r>
  <r>
    <x v="289"/>
    <n v="2292"/>
    <n v="127"/>
    <n v="7"/>
    <x v="1"/>
    <x v="2"/>
    <x v="0"/>
    <n v="0"/>
    <x v="0"/>
    <s v="1000 - 2999"/>
    <x v="1"/>
    <n v="1"/>
  </r>
  <r>
    <x v="258"/>
    <n v="7"/>
    <n v="-1"/>
    <n v="2"/>
    <x v="2"/>
    <x v="7"/>
    <x v="2"/>
    <n v="1"/>
    <x v="3"/>
    <s v="Under 1000"/>
    <x v="1"/>
    <n v="1"/>
  </r>
  <r>
    <x v="404"/>
    <n v="2452"/>
    <n v="191"/>
    <n v="7"/>
    <x v="1"/>
    <x v="2"/>
    <x v="3"/>
    <n v="0"/>
    <x v="0"/>
    <s v="1000 - 2999"/>
    <x v="1"/>
    <n v="1"/>
  </r>
  <r>
    <x v="155"/>
    <n v="2457"/>
    <n v="665"/>
    <n v="11"/>
    <x v="0"/>
    <x v="0"/>
    <x v="1"/>
    <n v="0"/>
    <x v="1"/>
    <s v="1000 - 2999"/>
    <x v="1"/>
    <n v="1"/>
  </r>
  <r>
    <x v="69"/>
    <n v="4"/>
    <n v="-3"/>
    <n v="1"/>
    <x v="2"/>
    <x v="9"/>
    <x v="2"/>
    <n v="1"/>
    <x v="3"/>
    <s v="Under 1000"/>
    <x v="1"/>
    <n v="1"/>
  </r>
  <r>
    <x v="176"/>
    <n v="2830"/>
    <n v="-1981"/>
    <n v="13"/>
    <x v="1"/>
    <x v="2"/>
    <x v="1"/>
    <n v="1"/>
    <x v="1"/>
    <s v="1000 - 2999"/>
    <x v="1"/>
    <n v="1"/>
  </r>
  <r>
    <x v="154"/>
    <n v="7"/>
    <n v="1"/>
    <n v="1"/>
    <x v="2"/>
    <x v="7"/>
    <x v="0"/>
    <n v="0"/>
    <x v="3"/>
    <s v="Under 1000"/>
    <x v="1"/>
    <n v="1"/>
  </r>
  <r>
    <x v="406"/>
    <n v="7"/>
    <n v="0"/>
    <n v="2"/>
    <x v="2"/>
    <x v="9"/>
    <x v="0"/>
    <n v="0"/>
    <x v="3"/>
    <s v="Under 1000"/>
    <x v="1"/>
    <n v="1"/>
  </r>
  <r>
    <x v="236"/>
    <n v="7"/>
    <n v="-3"/>
    <n v="2"/>
    <x v="2"/>
    <x v="7"/>
    <x v="0"/>
    <n v="1"/>
    <x v="3"/>
    <s v="Under 1000"/>
    <x v="1"/>
    <n v="1"/>
  </r>
  <r>
    <x v="74"/>
    <n v="3151"/>
    <n v="-35"/>
    <n v="7"/>
    <x v="2"/>
    <x v="5"/>
    <x v="1"/>
    <n v="1"/>
    <x v="0"/>
    <s v="3000 - 4999"/>
    <x v="1"/>
    <n v="1"/>
  </r>
  <r>
    <x v="193"/>
    <n v="4141"/>
    <n v="1698"/>
    <n v="13"/>
    <x v="0"/>
    <x v="3"/>
    <x v="0"/>
    <n v="0"/>
    <x v="1"/>
    <s v="3000 - 4999"/>
    <x v="1"/>
    <n v="1"/>
  </r>
  <r>
    <x v="150"/>
    <n v="7"/>
    <n v="-2"/>
    <n v="1"/>
    <x v="2"/>
    <x v="7"/>
    <x v="0"/>
    <n v="1"/>
    <x v="3"/>
    <s v="Under 1000"/>
    <x v="1"/>
    <n v="1"/>
  </r>
  <r>
    <x v="132"/>
    <n v="4363"/>
    <n v="305"/>
    <n v="5"/>
    <x v="1"/>
    <x v="10"/>
    <x v="1"/>
    <n v="0"/>
    <x v="0"/>
    <s v="3000 - 4999"/>
    <x v="1"/>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6000000}" name="PivotTable7" cacheId="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6:A7" firstHeaderRow="1" firstDataRow="1" firstDataCol="0"/>
  <pivotFields count="13">
    <pivotField showAll="0"/>
    <pivotField dataField="1" numFmtId="164" showAll="0"/>
    <pivotField numFmtId="164" showAll="0"/>
    <pivotField showAll="0"/>
    <pivotField showAll="0">
      <items count="4">
        <item x="2"/>
        <item x="0"/>
        <item x="1"/>
        <item t="default"/>
      </items>
    </pivotField>
    <pivotField showAll="0">
      <items count="18">
        <item x="13"/>
        <item x="2"/>
        <item x="1"/>
        <item x="0"/>
        <item x="15"/>
        <item x="7"/>
        <item x="8"/>
        <item x="12"/>
        <item x="4"/>
        <item x="3"/>
        <item x="6"/>
        <item x="16"/>
        <item x="9"/>
        <item x="11"/>
        <item x="10"/>
        <item x="5"/>
        <item x="14"/>
        <item t="default"/>
      </items>
    </pivotField>
    <pivotField showAll="0">
      <items count="6">
        <item x="0"/>
        <item x="2"/>
        <item x="4"/>
        <item x="1"/>
        <item x="3"/>
        <item t="default"/>
      </items>
    </pivotField>
    <pivotField showAll="0"/>
    <pivotField showAll="0"/>
    <pivotField showAll="0"/>
    <pivotField showAll="0">
      <items count="3">
        <item x="1"/>
        <item x="0"/>
        <item t="default"/>
      </items>
    </pivotField>
    <pivotField showAll="0"/>
    <pivotField dragToRow="0" dragToCol="0" dragToPage="0" showAll="0" defaultSubtotal="0"/>
  </pivotFields>
  <rowItems count="1">
    <i/>
  </rowItems>
  <colItems count="1">
    <i/>
  </colItems>
  <dataFields count="1">
    <dataField name="Average of amount" fld="1" subtotal="average" baseField="0" baseItem="1195826258" numFmtId="169"/>
  </dataFields>
  <formats count="3">
    <format dxfId="23">
      <pivotArea type="all" dataOnly="0" outline="0" fieldPosition="0"/>
    </format>
    <format dxfId="22">
      <pivotArea dataOnly="0" labelOnly="1" outline="0" axis="axisValues" fieldPosition="0"/>
    </format>
    <format dxfId="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1" cacheId="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2:A3" firstHeaderRow="1" firstDataRow="1" firstDataCol="0"/>
  <pivotFields count="13">
    <pivotField showAll="0"/>
    <pivotField dataField="1" numFmtId="164" showAll="0"/>
    <pivotField numFmtId="164" showAll="0"/>
    <pivotField showAll="0"/>
    <pivotField showAll="0">
      <items count="4">
        <item x="2"/>
        <item x="0"/>
        <item x="1"/>
        <item t="default"/>
      </items>
    </pivotField>
    <pivotField showAll="0"/>
    <pivotField showAll="0">
      <items count="6">
        <item x="0"/>
        <item x="2"/>
        <item x="4"/>
        <item x="1"/>
        <item x="3"/>
        <item t="default"/>
      </items>
    </pivotField>
    <pivotField showAll="0"/>
    <pivotField showAll="0"/>
    <pivotField showAll="0"/>
    <pivotField showAll="0"/>
    <pivotField showAll="0"/>
    <pivotField dragToRow="0" dragToCol="0" dragToPage="0" showAll="0" defaultSubtotal="0"/>
  </pivotFields>
  <rowItems count="1">
    <i/>
  </rowItems>
  <colItems count="1">
    <i/>
  </colItems>
  <dataFields count="1">
    <dataField name="Sum of amount" fld="1" baseField="0" baseItem="0" numFmtId="169"/>
  </dataFields>
  <formats count="1">
    <format dxfId="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4000000}" name="PivotTable5" cacheId="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I2:I3" firstHeaderRow="1" firstDataRow="1" firstDataCol="0"/>
  <pivotFields count="13">
    <pivotField showAll="0"/>
    <pivotField numFmtId="164" showAll="0"/>
    <pivotField numFmtId="164" showAll="0"/>
    <pivotField showAll="0"/>
    <pivotField showAll="0">
      <items count="4">
        <item x="2"/>
        <item x="0"/>
        <item x="1"/>
        <item t="default"/>
      </items>
    </pivotField>
    <pivotField showAll="0"/>
    <pivotField showAll="0">
      <items count="6">
        <item x="0"/>
        <item x="2"/>
        <item x="4"/>
        <item x="1"/>
        <item x="3"/>
        <item t="default"/>
      </items>
    </pivotField>
    <pivotField showAll="0"/>
    <pivotField showAll="0"/>
    <pivotField showAll="0"/>
    <pivotField dataField="1" showAll="0">
      <items count="3">
        <item x="1"/>
        <item x="0"/>
        <item t="default"/>
      </items>
    </pivotField>
    <pivotField showAll="0"/>
    <pivotField dragToRow="0" dragToCol="0" dragToPage="0" showAll="0" defaultSubtotal="0"/>
  </pivotFields>
  <rowItems count="1">
    <i/>
  </rowItems>
  <colItems count="1">
    <i/>
  </colItems>
  <dataFields count="1">
    <dataField name="Unique Orders" fld="10" baseField="0" baseItem="0"/>
  </dataFields>
  <formats count="3">
    <format dxfId="26">
      <pivotArea type="all" dataOnly="0" outline="0" fieldPosition="0"/>
    </format>
    <format dxfId="25">
      <pivotArea dataOnly="0" labelOnly="1" outline="0" axis="axisValues" fieldPosition="0"/>
    </format>
    <format dxfId="2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200-000003000000}" name="PivotTable4" cacheId="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G2:G3" firstHeaderRow="1" firstDataRow="1" firstDataCol="0"/>
  <pivotFields count="13">
    <pivotField showAll="0"/>
    <pivotField numFmtId="164" showAll="0"/>
    <pivotField numFmtId="164" showAll="0"/>
    <pivotField dataField="1" showAll="0"/>
    <pivotField showAll="0">
      <items count="4">
        <item x="2"/>
        <item x="0"/>
        <item x="1"/>
        <item t="default"/>
      </items>
    </pivotField>
    <pivotField showAll="0"/>
    <pivotField showAll="0">
      <items count="6">
        <item x="0"/>
        <item x="2"/>
        <item x="4"/>
        <item x="1"/>
        <item x="3"/>
        <item t="default"/>
      </items>
    </pivotField>
    <pivotField showAll="0"/>
    <pivotField showAll="0"/>
    <pivotField showAll="0"/>
    <pivotField showAll="0"/>
    <pivotField showAll="0"/>
    <pivotField dragToRow="0" dragToCol="0" dragToPage="0" showAll="0" defaultSubtotal="0"/>
  </pivotFields>
  <rowItems count="1">
    <i/>
  </rowItems>
  <colItems count="1">
    <i/>
  </colItems>
  <dataFields count="1">
    <dataField name="Units Sold" fld="3" baseField="0" baseItem="0" numFmtId="3"/>
  </dataFields>
  <formats count="3">
    <format dxfId="29">
      <pivotArea type="all" dataOnly="0" outline="0" fieldPosition="0"/>
    </format>
    <format dxfId="28">
      <pivotArea dataOnly="0" labelOnly="1" outline="0" axis="axisValues" fieldPosition="0"/>
    </format>
    <format dxfId="2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PivotTable3" cacheId="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E2:E3" firstHeaderRow="1" firstDataRow="1" firstDataCol="0"/>
  <pivotFields count="13">
    <pivotField showAll="0"/>
    <pivotField numFmtId="164" showAll="0"/>
    <pivotField numFmtId="164" showAll="0"/>
    <pivotField showAll="0"/>
    <pivotField showAll="0">
      <items count="4">
        <item x="2"/>
        <item x="0"/>
        <item x="1"/>
        <item t="default"/>
      </items>
    </pivotField>
    <pivotField showAll="0"/>
    <pivotField showAll="0">
      <items count="6">
        <item x="0"/>
        <item x="2"/>
        <item x="4"/>
        <item x="1"/>
        <item x="3"/>
        <item t="default"/>
      </items>
    </pivotField>
    <pivotField showAll="0"/>
    <pivotField showAll="0"/>
    <pivotField showAll="0"/>
    <pivotField showAll="0"/>
    <pivotField showAll="0"/>
    <pivotField dataField="1" dragToRow="0" dragToCol="0" dragToPage="0" showAll="0" defaultSubtotal="0"/>
  </pivotFields>
  <rowItems count="1">
    <i/>
  </rowItems>
  <colItems count="1">
    <i/>
  </colItems>
  <dataFields count="1">
    <dataField name="Sum of Profit Margin %" fld="12" baseField="0" baseItem="0" numFmtId="165"/>
  </dataFields>
  <formats count="1">
    <format dxfId="3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PivotTable2" cacheId="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C2:C3" firstHeaderRow="1" firstDataRow="1" firstDataCol="0"/>
  <pivotFields count="13">
    <pivotField showAll="0"/>
    <pivotField numFmtId="164" showAll="0"/>
    <pivotField dataField="1" numFmtId="164" showAll="0"/>
    <pivotField showAll="0"/>
    <pivotField showAll="0">
      <items count="4">
        <item x="2"/>
        <item x="0"/>
        <item x="1"/>
        <item t="default"/>
      </items>
    </pivotField>
    <pivotField showAll="0"/>
    <pivotField showAll="0">
      <items count="6">
        <item x="0"/>
        <item x="2"/>
        <item x="4"/>
        <item x="1"/>
        <item x="3"/>
        <item t="default"/>
      </items>
    </pivotField>
    <pivotField showAll="0"/>
    <pivotField showAll="0"/>
    <pivotField showAll="0"/>
    <pivotField showAll="0"/>
    <pivotField showAll="0"/>
    <pivotField dragToRow="0" dragToCol="0" dragToPage="0" showAll="0" defaultSubtotal="0"/>
  </pivotFields>
  <rowItems count="1">
    <i/>
  </rowItems>
  <colItems count="1">
    <i/>
  </colItems>
  <dataFields count="1">
    <dataField name="Sum of profit" fld="2" baseField="0" baseItem="0" numFmtId="169"/>
  </dataFields>
  <formats count="1">
    <format dxfId="1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200-000005000000}" name="PivotTable6" cacheId="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K2:K3" firstHeaderRow="1" firstDataRow="1" firstDataCol="0"/>
  <pivotFields count="13">
    <pivotField showAll="0"/>
    <pivotField numFmtId="164" showAll="0"/>
    <pivotField numFmtId="164" showAll="0"/>
    <pivotField showAll="0"/>
    <pivotField showAll="0">
      <items count="4">
        <item x="2"/>
        <item x="0"/>
        <item x="1"/>
        <item t="default"/>
      </items>
    </pivotField>
    <pivotField showAll="0"/>
    <pivotField showAll="0">
      <items count="6">
        <item x="0"/>
        <item x="2"/>
        <item x="4"/>
        <item x="1"/>
        <item x="3"/>
        <item t="default"/>
      </items>
    </pivotField>
    <pivotField dataField="1" showAll="0"/>
    <pivotField showAll="0"/>
    <pivotField showAll="0"/>
    <pivotField showAll="0">
      <items count="3">
        <item x="1"/>
        <item x="0"/>
        <item t="default"/>
      </items>
    </pivotField>
    <pivotField showAll="0"/>
    <pivotField dragToRow="0" dragToCol="0" dragToPage="0" showAll="0" defaultSubtotal="0"/>
  </pivotFields>
  <rowItems count="1">
    <i/>
  </rowItems>
  <colItems count="1">
    <i/>
  </colItems>
  <dataFields count="1">
    <dataField name="Average of h_loss" fld="7" subtotal="average" baseField="0" baseItem="9" numFmtId="165"/>
  </dataFields>
  <formats count="3">
    <format dxfId="33">
      <pivotArea type="all" dataOnly="0" outline="0" fieldPosition="0"/>
    </format>
    <format dxfId="32">
      <pivotArea dataOnly="0" labelOnly="1" outline="0" axis="axisValues" fieldPosition="0"/>
    </format>
    <format dxfId="3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43B85B8-0D6E-4D59-A8EB-033CEB222D89}" name="PivotTable6" cacheId="4" applyNumberFormats="0" applyBorderFormats="0" applyFontFormats="0" applyPatternFormats="0" applyAlignmentFormats="0" applyWidthHeightFormats="1" dataCaption="Values" updatedVersion="7" minRefreshableVersion="3" showDrill="0" useAutoFormatting="1" rowGrandTotals="0" colGrandTotals="0" itemPrintTitles="1" createdVersion="7" indent="0" outline="1" outlineData="1" multipleFieldFilters="0" chartFormat="12">
  <location ref="A65:B70" firstHeaderRow="1" firstDataRow="1" firstDataCol="1"/>
  <pivotFields count="13">
    <pivotField dataField="1" showAll="0">
      <items count="501">
        <item x="314"/>
        <item x="4"/>
        <item x="117"/>
        <item x="292"/>
        <item x="436"/>
        <item x="364"/>
        <item x="119"/>
        <item x="57"/>
        <item x="158"/>
        <item x="233"/>
        <item x="391"/>
        <item x="235"/>
        <item x="47"/>
        <item x="408"/>
        <item x="288"/>
        <item x="77"/>
        <item x="444"/>
        <item x="38"/>
        <item x="470"/>
        <item x="307"/>
        <item x="207"/>
        <item x="463"/>
        <item x="304"/>
        <item x="477"/>
        <item x="266"/>
        <item x="438"/>
        <item x="419"/>
        <item x="204"/>
        <item x="497"/>
        <item x="197"/>
        <item x="361"/>
        <item x="107"/>
        <item x="157"/>
        <item x="457"/>
        <item x="227"/>
        <item x="473"/>
        <item x="355"/>
        <item x="327"/>
        <item x="494"/>
        <item x="50"/>
        <item x="337"/>
        <item x="215"/>
        <item x="8"/>
        <item x="379"/>
        <item x="226"/>
        <item x="325"/>
        <item x="345"/>
        <item x="186"/>
        <item x="474"/>
        <item x="104"/>
        <item x="89"/>
        <item x="276"/>
        <item x="87"/>
        <item x="173"/>
        <item x="15"/>
        <item x="93"/>
        <item x="111"/>
        <item x="149"/>
        <item x="384"/>
        <item x="242"/>
        <item x="258"/>
        <item x="129"/>
        <item x="442"/>
        <item x="214"/>
        <item x="393"/>
        <item x="78"/>
        <item x="70"/>
        <item x="395"/>
        <item x="486"/>
        <item x="123"/>
        <item x="484"/>
        <item x="480"/>
        <item x="189"/>
        <item x="65"/>
        <item x="79"/>
        <item x="126"/>
        <item x="443"/>
        <item x="183"/>
        <item x="380"/>
        <item x="281"/>
        <item x="0"/>
        <item x="143"/>
        <item x="368"/>
        <item x="320"/>
        <item x="429"/>
        <item x="28"/>
        <item x="7"/>
        <item x="255"/>
        <item x="171"/>
        <item x="464"/>
        <item x="118"/>
        <item x="461"/>
        <item x="82"/>
        <item x="394"/>
        <item x="400"/>
        <item x="6"/>
        <item x="69"/>
        <item x="150"/>
        <item x="247"/>
        <item x="236"/>
        <item x="178"/>
        <item x="437"/>
        <item x="10"/>
        <item x="90"/>
        <item x="450"/>
        <item x="403"/>
        <item x="499"/>
        <item x="120"/>
        <item x="319"/>
        <item x="36"/>
        <item x="349"/>
        <item x="311"/>
        <item x="398"/>
        <item x="55"/>
        <item x="455"/>
        <item x="385"/>
        <item x="195"/>
        <item x="454"/>
        <item x="324"/>
        <item x="174"/>
        <item x="308"/>
        <item x="433"/>
        <item x="39"/>
        <item x="293"/>
        <item x="386"/>
        <item x="465"/>
        <item x="208"/>
        <item x="73"/>
        <item x="48"/>
        <item x="91"/>
        <item x="323"/>
        <item x="389"/>
        <item x="234"/>
        <item x="348"/>
        <item x="19"/>
        <item x="335"/>
        <item x="282"/>
        <item x="312"/>
        <item x="321"/>
        <item x="406"/>
        <item x="210"/>
        <item x="336"/>
        <item x="192"/>
        <item x="22"/>
        <item x="220"/>
        <item x="434"/>
        <item x="116"/>
        <item x="294"/>
        <item x="144"/>
        <item x="110"/>
        <item x="230"/>
        <item x="97"/>
        <item x="256"/>
        <item x="29"/>
        <item x="40"/>
        <item x="13"/>
        <item x="74"/>
        <item x="498"/>
        <item x="115"/>
        <item x="60"/>
        <item x="14"/>
        <item x="61"/>
        <item x="405"/>
        <item x="309"/>
        <item x="318"/>
        <item x="416"/>
        <item x="252"/>
        <item x="496"/>
        <item x="453"/>
        <item x="217"/>
        <item x="313"/>
        <item x="49"/>
        <item x="257"/>
        <item x="341"/>
        <item x="428"/>
        <item x="248"/>
        <item x="67"/>
        <item x="27"/>
        <item x="43"/>
        <item x="373"/>
        <item x="244"/>
        <item x="452"/>
        <item x="356"/>
        <item x="56"/>
        <item x="134"/>
        <item x="16"/>
        <item x="112"/>
        <item x="41"/>
        <item x="388"/>
        <item x="448"/>
        <item x="190"/>
        <item x="381"/>
        <item x="275"/>
        <item x="287"/>
        <item x="273"/>
        <item x="131"/>
        <item x="37"/>
        <item x="176"/>
        <item x="240"/>
        <item x="305"/>
        <item x="52"/>
        <item x="339"/>
        <item x="140"/>
        <item x="347"/>
        <item x="352"/>
        <item x="475"/>
        <item x="491"/>
        <item x="113"/>
        <item x="254"/>
        <item x="51"/>
        <item x="439"/>
        <item x="435"/>
        <item x="489"/>
        <item x="360"/>
        <item x="469"/>
        <item x="31"/>
        <item x="482"/>
        <item x="166"/>
        <item x="181"/>
        <item x="358"/>
        <item x="108"/>
        <item x="459"/>
        <item x="278"/>
        <item x="424"/>
        <item x="317"/>
        <item x="476"/>
        <item x="397"/>
        <item x="148"/>
        <item x="449"/>
        <item x="25"/>
        <item x="122"/>
        <item x="151"/>
        <item x="392"/>
        <item x="340"/>
        <item x="167"/>
        <item x="71"/>
        <item x="169"/>
        <item x="298"/>
        <item x="88"/>
        <item x="218"/>
        <item x="487"/>
        <item x="26"/>
        <item x="209"/>
        <item x="315"/>
        <item x="23"/>
        <item x="219"/>
        <item x="130"/>
        <item x="182"/>
        <item x="372"/>
        <item x="81"/>
        <item x="9"/>
        <item x="83"/>
        <item x="18"/>
        <item x="202"/>
        <item x="139"/>
        <item x="237"/>
        <item x="259"/>
        <item x="155"/>
        <item x="481"/>
        <item x="84"/>
        <item x="239"/>
        <item x="363"/>
        <item x="280"/>
        <item x="350"/>
        <item x="413"/>
        <item x="427"/>
        <item x="156"/>
        <item x="54"/>
        <item x="370"/>
        <item x="138"/>
        <item x="390"/>
        <item x="272"/>
        <item x="154"/>
        <item x="326"/>
        <item x="283"/>
        <item x="440"/>
        <item x="164"/>
        <item x="109"/>
        <item x="407"/>
        <item x="401"/>
        <item x="5"/>
        <item x="328"/>
        <item x="33"/>
        <item x="479"/>
        <item x="114"/>
        <item x="152"/>
        <item x="11"/>
        <item x="127"/>
        <item x="354"/>
        <item x="490"/>
        <item x="205"/>
        <item x="374"/>
        <item x="170"/>
        <item x="495"/>
        <item x="194"/>
        <item x="159"/>
        <item x="153"/>
        <item x="85"/>
        <item x="146"/>
        <item x="59"/>
        <item x="346"/>
        <item x="274"/>
        <item x="103"/>
        <item x="342"/>
        <item x="165"/>
        <item x="377"/>
        <item x="466"/>
        <item x="285"/>
        <item x="44"/>
        <item x="20"/>
        <item x="128"/>
        <item x="344"/>
        <item x="263"/>
        <item x="369"/>
        <item x="225"/>
        <item x="432"/>
        <item x="333"/>
        <item x="245"/>
        <item x="353"/>
        <item x="331"/>
        <item x="371"/>
        <item x="425"/>
        <item x="12"/>
        <item x="359"/>
        <item x="184"/>
        <item x="261"/>
        <item x="301"/>
        <item x="365"/>
        <item x="66"/>
        <item x="133"/>
        <item x="441"/>
        <item x="387"/>
        <item x="187"/>
        <item x="343"/>
        <item x="46"/>
        <item x="451"/>
        <item x="492"/>
        <item x="357"/>
        <item x="376"/>
        <item x="161"/>
        <item x="402"/>
        <item x="188"/>
        <item x="45"/>
        <item x="399"/>
        <item x="95"/>
        <item x="382"/>
        <item x="417"/>
        <item x="302"/>
        <item x="351"/>
        <item x="21"/>
        <item x="147"/>
        <item x="102"/>
        <item x="101"/>
        <item x="296"/>
        <item x="2"/>
        <item x="362"/>
        <item x="75"/>
        <item x="338"/>
        <item x="125"/>
        <item x="332"/>
        <item x="177"/>
        <item x="145"/>
        <item x="367"/>
        <item x="203"/>
        <item x="63"/>
        <item x="200"/>
        <item x="64"/>
        <item x="483"/>
        <item x="404"/>
        <item x="105"/>
        <item x="246"/>
        <item x="334"/>
        <item x="193"/>
        <item x="478"/>
        <item x="468"/>
        <item x="412"/>
        <item x="185"/>
        <item x="446"/>
        <item x="268"/>
        <item x="163"/>
        <item x="232"/>
        <item x="493"/>
        <item x="191"/>
        <item x="72"/>
        <item x="249"/>
        <item x="100"/>
        <item x="216"/>
        <item x="375"/>
        <item x="223"/>
        <item x="290"/>
        <item x="42"/>
        <item x="383"/>
        <item x="132"/>
        <item x="279"/>
        <item x="62"/>
        <item x="141"/>
        <item x="289"/>
        <item x="271"/>
        <item x="260"/>
        <item x="160"/>
        <item x="24"/>
        <item x="269"/>
        <item x="34"/>
        <item x="295"/>
        <item x="366"/>
        <item x="68"/>
        <item x="212"/>
        <item x="300"/>
        <item x="224"/>
        <item x="267"/>
        <item x="410"/>
        <item x="423"/>
        <item x="467"/>
        <item x="229"/>
        <item x="458"/>
        <item x="180"/>
        <item x="378"/>
        <item x="277"/>
        <item x="136"/>
        <item x="264"/>
        <item x="121"/>
        <item x="32"/>
        <item x="253"/>
        <item x="396"/>
        <item x="231"/>
        <item x="238"/>
        <item x="420"/>
        <item x="172"/>
        <item x="124"/>
        <item x="222"/>
        <item x="284"/>
        <item x="251"/>
        <item x="94"/>
        <item x="460"/>
        <item x="199"/>
        <item x="445"/>
        <item x="330"/>
        <item x="228"/>
        <item x="306"/>
        <item x="329"/>
        <item x="286"/>
        <item x="299"/>
        <item x="297"/>
        <item x="472"/>
        <item x="243"/>
        <item x="462"/>
        <item x="415"/>
        <item x="30"/>
        <item x="414"/>
        <item x="198"/>
        <item x="58"/>
        <item x="92"/>
        <item x="135"/>
        <item x="241"/>
        <item x="1"/>
        <item x="179"/>
        <item x="175"/>
        <item x="471"/>
        <item x="485"/>
        <item x="201"/>
        <item x="76"/>
        <item x="106"/>
        <item x="250"/>
        <item x="196"/>
        <item x="316"/>
        <item x="310"/>
        <item x="99"/>
        <item x="421"/>
        <item x="418"/>
        <item x="137"/>
        <item x="488"/>
        <item x="431"/>
        <item x="221"/>
        <item x="411"/>
        <item x="456"/>
        <item x="262"/>
        <item x="447"/>
        <item x="142"/>
        <item x="80"/>
        <item x="422"/>
        <item x="168"/>
        <item x="322"/>
        <item x="265"/>
        <item x="270"/>
        <item x="53"/>
        <item x="96"/>
        <item x="162"/>
        <item x="213"/>
        <item x="206"/>
        <item x="430"/>
        <item x="291"/>
        <item x="409"/>
        <item x="3"/>
        <item x="303"/>
        <item x="17"/>
        <item x="211"/>
        <item x="35"/>
        <item x="98"/>
        <item x="426"/>
        <item x="86"/>
        <item t="default"/>
      </items>
    </pivotField>
    <pivotField numFmtId="164" showAll="0"/>
    <pivotField numFmtId="164" showAll="0"/>
    <pivotField showAll="0"/>
    <pivotField showAll="0">
      <items count="4">
        <item x="2"/>
        <item x="0"/>
        <item x="1"/>
        <item t="default"/>
      </items>
    </pivotField>
    <pivotField showAll="0">
      <items count="18">
        <item x="13"/>
        <item x="2"/>
        <item x="1"/>
        <item x="0"/>
        <item x="15"/>
        <item x="7"/>
        <item x="8"/>
        <item x="12"/>
        <item x="4"/>
        <item x="3"/>
        <item x="6"/>
        <item x="16"/>
        <item x="9"/>
        <item x="11"/>
        <item x="10"/>
        <item x="5"/>
        <item x="14"/>
        <item t="default"/>
      </items>
    </pivotField>
    <pivotField axis="axisRow" showAll="0" sortType="descending">
      <items count="6">
        <item x="0"/>
        <item x="2"/>
        <item x="4"/>
        <item x="1"/>
        <item x="3"/>
        <item t="default"/>
      </items>
      <autoSortScope>
        <pivotArea dataOnly="0" outline="0" fieldPosition="0">
          <references count="1">
            <reference field="4294967294" count="1" selected="0">
              <x v="0"/>
            </reference>
          </references>
        </pivotArea>
      </autoSortScope>
    </pivotField>
    <pivotField showAll="0"/>
    <pivotField showAll="0">
      <items count="5">
        <item x="3"/>
        <item x="0"/>
        <item x="2"/>
        <item x="1"/>
        <item t="default"/>
      </items>
    </pivotField>
    <pivotField showAll="0"/>
    <pivotField showAll="0"/>
    <pivotField showAll="0"/>
    <pivotField dragToRow="0" dragToCol="0" dragToPage="0" showAll="0" defaultSubtotal="0"/>
  </pivotFields>
  <rowFields count="1">
    <field x="6"/>
  </rowFields>
  <rowItems count="5">
    <i>
      <x/>
    </i>
    <i>
      <x v="4"/>
    </i>
    <i>
      <x v="2"/>
    </i>
    <i>
      <x v="1"/>
    </i>
    <i>
      <x v="3"/>
    </i>
  </rowItems>
  <colItems count="1">
    <i/>
  </colItems>
  <dataFields count="1">
    <dataField name="Transactions" fld="0" subtotal="count" baseField="6" baseItem="0"/>
  </dataFields>
  <formats count="1">
    <format dxfId="11">
      <pivotArea outline="0" collapsedLevelsAreSubtotals="1" fieldPosition="0"/>
    </format>
  </formats>
  <chartFormats count="12">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6" count="1" selected="0">
            <x v="0"/>
          </reference>
        </references>
      </pivotArea>
    </chartFormat>
    <chartFormat chart="9" format="2">
      <pivotArea type="data" outline="0" fieldPosition="0">
        <references count="2">
          <reference field="4294967294" count="1" selected="0">
            <x v="0"/>
          </reference>
          <reference field="6" count="1" selected="0">
            <x v="4"/>
          </reference>
        </references>
      </pivotArea>
    </chartFormat>
    <chartFormat chart="9" format="3">
      <pivotArea type="data" outline="0" fieldPosition="0">
        <references count="2">
          <reference field="4294967294" count="1" selected="0">
            <x v="0"/>
          </reference>
          <reference field="6" count="1" selected="0">
            <x v="3"/>
          </reference>
        </references>
      </pivotArea>
    </chartFormat>
    <chartFormat chart="9" format="4">
      <pivotArea type="data" outline="0" fieldPosition="0">
        <references count="2">
          <reference field="4294967294" count="1" selected="0">
            <x v="0"/>
          </reference>
          <reference field="6" count="1" selected="0">
            <x v="1"/>
          </reference>
        </references>
      </pivotArea>
    </chartFormat>
    <chartFormat chart="9" format="5">
      <pivotArea type="data" outline="0" fieldPosition="0">
        <references count="2">
          <reference field="4294967294" count="1" selected="0">
            <x v="0"/>
          </reference>
          <reference field="6" count="1" selected="0">
            <x v="2"/>
          </reference>
        </references>
      </pivotArea>
    </chartFormat>
    <chartFormat chart="11" format="12" series="1">
      <pivotArea type="data" outline="0" fieldPosition="0">
        <references count="1">
          <reference field="4294967294" count="1" selected="0">
            <x v="0"/>
          </reference>
        </references>
      </pivotArea>
    </chartFormat>
    <chartFormat chart="11" format="13">
      <pivotArea type="data" outline="0" fieldPosition="0">
        <references count="2">
          <reference field="4294967294" count="1" selected="0">
            <x v="0"/>
          </reference>
          <reference field="6" count="1" selected="0">
            <x v="0"/>
          </reference>
        </references>
      </pivotArea>
    </chartFormat>
    <chartFormat chart="11" format="14">
      <pivotArea type="data" outline="0" fieldPosition="0">
        <references count="2">
          <reference field="4294967294" count="1" selected="0">
            <x v="0"/>
          </reference>
          <reference field="6" count="1" selected="0">
            <x v="4"/>
          </reference>
        </references>
      </pivotArea>
    </chartFormat>
    <chartFormat chart="11" format="15">
      <pivotArea type="data" outline="0" fieldPosition="0">
        <references count="2">
          <reference field="4294967294" count="1" selected="0">
            <x v="0"/>
          </reference>
          <reference field="6" count="1" selected="0">
            <x v="2"/>
          </reference>
        </references>
      </pivotArea>
    </chartFormat>
    <chartFormat chart="11" format="16">
      <pivotArea type="data" outline="0" fieldPosition="0">
        <references count="2">
          <reference field="4294967294" count="1" selected="0">
            <x v="0"/>
          </reference>
          <reference field="6" count="1" selected="0">
            <x v="1"/>
          </reference>
        </references>
      </pivotArea>
    </chartFormat>
    <chartFormat chart="11" format="17">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34E4D01-951C-4567-97EA-FED5661E7EA6}" name="PivotTable5" cacheId="4" applyNumberFormats="0" applyBorderFormats="0" applyFontFormats="0" applyPatternFormats="0" applyAlignmentFormats="0" applyWidthHeightFormats="1" dataCaption="Values" updatedVersion="7" minRefreshableVersion="3" showDrill="0" useAutoFormatting="1" rowGrandTotals="0" colGrandTotals="0" itemPrintTitles="1" createdVersion="7" indent="0" outline="1" outlineData="1" multipleFieldFilters="0" chartFormat="9">
  <location ref="A53:C58" firstHeaderRow="0" firstDataRow="1" firstDataCol="1"/>
  <pivotFields count="13">
    <pivotField dataField="1" showAll="0"/>
    <pivotField dataField="1" numFmtId="164" showAll="0"/>
    <pivotField numFmtId="164" showAll="0"/>
    <pivotField showAll="0"/>
    <pivotField showAll="0">
      <items count="4">
        <item x="2"/>
        <item x="0"/>
        <item x="1"/>
        <item t="default"/>
      </items>
    </pivotField>
    <pivotField showAll="0">
      <items count="18">
        <item x="13"/>
        <item x="2"/>
        <item x="1"/>
        <item x="0"/>
        <item x="15"/>
        <item x="7"/>
        <item x="8"/>
        <item x="12"/>
        <item x="4"/>
        <item x="3"/>
        <item x="6"/>
        <item x="16"/>
        <item x="9"/>
        <item x="11"/>
        <item x="10"/>
        <item x="5"/>
        <item x="14"/>
        <item t="default"/>
      </items>
    </pivotField>
    <pivotField axis="axisRow" showAll="0">
      <items count="6">
        <item x="0"/>
        <item x="2"/>
        <item x="4"/>
        <item x="1"/>
        <item x="3"/>
        <item t="default"/>
      </items>
    </pivotField>
    <pivotField showAll="0"/>
    <pivotField showAll="0">
      <items count="5">
        <item x="3"/>
        <item x="0"/>
        <item x="2"/>
        <item x="1"/>
        <item t="default"/>
      </items>
    </pivotField>
    <pivotField showAll="0"/>
    <pivotField showAll="0"/>
    <pivotField showAll="0"/>
    <pivotField dragToRow="0" dragToCol="0" dragToPage="0" showAll="0" defaultSubtotal="0"/>
  </pivotFields>
  <rowFields count="1">
    <field x="6"/>
  </rowFields>
  <rowItems count="5">
    <i>
      <x/>
    </i>
    <i>
      <x v="1"/>
    </i>
    <i>
      <x v="2"/>
    </i>
    <i>
      <x v="3"/>
    </i>
    <i>
      <x v="4"/>
    </i>
  </rowItems>
  <colFields count="1">
    <field x="-2"/>
  </colFields>
  <colItems count="2">
    <i>
      <x/>
    </i>
    <i i="1">
      <x v="1"/>
    </i>
  </colItems>
  <dataFields count="2">
    <dataField name="Order" fld="0" subtotal="count" baseField="0" baseItem="0"/>
    <dataField name="Avg. Sale" fld="1" subtotal="average" baseField="6" baseItem="0"/>
  </dataFields>
  <formats count="1">
    <format dxfId="13">
      <pivotArea outline="0" collapsedLevelsAreSubtotals="1" fieldPosition="0"/>
    </format>
  </formats>
  <chartFormats count="4">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9DEE61E-ED09-490C-872C-F25F1985DD1B}" name="PivotTable2" cacheId="4"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4">
  <location ref="A12:B29" firstHeaderRow="1" firstDataRow="1" firstDataCol="1"/>
  <pivotFields count="13">
    <pivotField showAll="0"/>
    <pivotField numFmtId="164" showAll="0"/>
    <pivotField dataField="1" numFmtId="164" showAll="0"/>
    <pivotField showAll="0"/>
    <pivotField showAll="0">
      <items count="4">
        <item x="2"/>
        <item x="0"/>
        <item x="1"/>
        <item t="default"/>
      </items>
    </pivotField>
    <pivotField axis="axisRow" showAll="0" sortType="descending">
      <items count="18">
        <item x="13"/>
        <item x="2"/>
        <item x="1"/>
        <item x="0"/>
        <item x="15"/>
        <item x="7"/>
        <item x="8"/>
        <item x="12"/>
        <item x="4"/>
        <item x="3"/>
        <item x="6"/>
        <item x="16"/>
        <item x="9"/>
        <item x="11"/>
        <item x="10"/>
        <item x="5"/>
        <item x="14"/>
        <item t="default"/>
      </items>
      <autoSortScope>
        <pivotArea dataOnly="0" outline="0" fieldPosition="0">
          <references count="1">
            <reference field="4294967294" count="1" selected="0">
              <x v="0"/>
            </reference>
          </references>
        </pivotArea>
      </autoSortScope>
    </pivotField>
    <pivotField showAll="0">
      <items count="6">
        <item x="0"/>
        <item x="2"/>
        <item x="4"/>
        <item x="1"/>
        <item x="3"/>
        <item t="default"/>
      </items>
    </pivotField>
    <pivotField showAll="0"/>
    <pivotField showAll="0"/>
    <pivotField showAll="0"/>
    <pivotField showAll="0"/>
    <pivotField showAll="0"/>
    <pivotField dragToRow="0" dragToCol="0" dragToPage="0" showAll="0" defaultSubtotal="0"/>
  </pivotFields>
  <rowFields count="1">
    <field x="5"/>
  </rowFields>
  <rowItems count="17">
    <i>
      <x v="9"/>
    </i>
    <i>
      <x v="1"/>
    </i>
    <i>
      <x v="10"/>
    </i>
    <i>
      <x/>
    </i>
    <i>
      <x v="14"/>
    </i>
    <i>
      <x v="15"/>
    </i>
    <i>
      <x v="13"/>
    </i>
    <i>
      <x v="8"/>
    </i>
    <i>
      <x v="5"/>
    </i>
    <i>
      <x v="2"/>
    </i>
    <i>
      <x v="11"/>
    </i>
    <i>
      <x v="16"/>
    </i>
    <i>
      <x v="7"/>
    </i>
    <i>
      <x v="12"/>
    </i>
    <i>
      <x v="6"/>
    </i>
    <i>
      <x v="3"/>
    </i>
    <i>
      <x v="4"/>
    </i>
  </rowItems>
  <colItems count="1">
    <i/>
  </colItems>
  <dataFields count="1">
    <dataField name="Sum of profit" fld="2" baseField="0" baseItem="0"/>
  </dataFields>
  <chartFormats count="20">
    <chartFormat chart="0" format="1"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5" count="1" selected="0">
            <x v="7"/>
          </reference>
        </references>
      </pivotArea>
    </chartFormat>
    <chartFormat chart="1" format="2">
      <pivotArea type="data" outline="0" fieldPosition="0">
        <references count="2">
          <reference field="4294967294" count="1" selected="0">
            <x v="0"/>
          </reference>
          <reference field="5" count="1" selected="0">
            <x v="4"/>
          </reference>
        </references>
      </pivotArea>
    </chartFormat>
    <chartFormat chart="1" format="3">
      <pivotArea type="data" outline="0" fieldPosition="0">
        <references count="2">
          <reference field="4294967294" count="1" selected="0">
            <x v="0"/>
          </reference>
          <reference field="5" count="1" selected="0">
            <x v="3"/>
          </reference>
        </references>
      </pivotArea>
    </chartFormat>
    <chartFormat chart="1" format="4">
      <pivotArea type="data" outline="0" fieldPosition="0">
        <references count="2">
          <reference field="4294967294" count="1" selected="0">
            <x v="0"/>
          </reference>
          <reference field="5" count="1" selected="0">
            <x v="6"/>
          </reference>
        </references>
      </pivotArea>
    </chartFormat>
    <chartFormat chart="1" format="5">
      <pivotArea type="data" outline="0" fieldPosition="0">
        <references count="2">
          <reference field="4294967294" count="1" selected="0">
            <x v="0"/>
          </reference>
          <reference field="5" count="1" selected="0">
            <x v="12"/>
          </reference>
        </references>
      </pivotArea>
    </chartFormat>
    <chartFormat chart="1" format="6">
      <pivotArea type="data" outline="0" fieldPosition="0">
        <references count="2">
          <reference field="4294967294" count="1" selected="0">
            <x v="0"/>
          </reference>
          <reference field="5" count="1" selected="0">
            <x v="9"/>
          </reference>
        </references>
      </pivotArea>
    </chartFormat>
    <chartFormat chart="1" format="7">
      <pivotArea type="data" outline="0" fieldPosition="0">
        <references count="2">
          <reference field="4294967294" count="1" selected="0">
            <x v="0"/>
          </reference>
          <reference field="5" count="1" selected="0">
            <x v="1"/>
          </reference>
        </references>
      </pivotArea>
    </chartFormat>
    <chartFormat chart="1" format="8">
      <pivotArea type="data" outline="0" fieldPosition="0">
        <references count="2">
          <reference field="4294967294" count="1" selected="0">
            <x v="0"/>
          </reference>
          <reference field="5" count="1" selected="0">
            <x v="10"/>
          </reference>
        </references>
      </pivotArea>
    </chartFormat>
    <chartFormat chart="1" format="9">
      <pivotArea type="data" outline="0" fieldPosition="0">
        <references count="2">
          <reference field="4294967294" count="1" selected="0">
            <x v="0"/>
          </reference>
          <reference field="5" count="1" selected="0">
            <x v="0"/>
          </reference>
        </references>
      </pivotArea>
    </chartFormat>
    <chartFormat chart="1" format="10">
      <pivotArea type="data" outline="0" fieldPosition="0">
        <references count="2">
          <reference field="4294967294" count="1" selected="0">
            <x v="0"/>
          </reference>
          <reference field="5" count="1" selected="0">
            <x v="14"/>
          </reference>
        </references>
      </pivotArea>
    </chartFormat>
    <chartFormat chart="1" format="11">
      <pivotArea type="data" outline="0" fieldPosition="0">
        <references count="2">
          <reference field="4294967294" count="1" selected="0">
            <x v="0"/>
          </reference>
          <reference field="5" count="1" selected="0">
            <x v="15"/>
          </reference>
        </references>
      </pivotArea>
    </chartFormat>
    <chartFormat chart="1" format="12">
      <pivotArea type="data" outline="0" fieldPosition="0">
        <references count="2">
          <reference field="4294967294" count="1" selected="0">
            <x v="0"/>
          </reference>
          <reference field="5" count="1" selected="0">
            <x v="13"/>
          </reference>
        </references>
      </pivotArea>
    </chartFormat>
    <chartFormat chart="1" format="13">
      <pivotArea type="data" outline="0" fieldPosition="0">
        <references count="2">
          <reference field="4294967294" count="1" selected="0">
            <x v="0"/>
          </reference>
          <reference field="5" count="1" selected="0">
            <x v="8"/>
          </reference>
        </references>
      </pivotArea>
    </chartFormat>
    <chartFormat chart="1" format="14">
      <pivotArea type="data" outline="0" fieldPosition="0">
        <references count="2">
          <reference field="4294967294" count="1" selected="0">
            <x v="0"/>
          </reference>
          <reference field="5" count="1" selected="0">
            <x v="5"/>
          </reference>
        </references>
      </pivotArea>
    </chartFormat>
    <chartFormat chart="1" format="15">
      <pivotArea type="data" outline="0" fieldPosition="0">
        <references count="2">
          <reference field="4294967294" count="1" selected="0">
            <x v="0"/>
          </reference>
          <reference field="5" count="1" selected="0">
            <x v="2"/>
          </reference>
        </references>
      </pivotArea>
    </chartFormat>
    <chartFormat chart="1" format="16">
      <pivotArea type="data" outline="0" fieldPosition="0">
        <references count="2">
          <reference field="4294967294" count="1" selected="0">
            <x v="0"/>
          </reference>
          <reference field="5" count="1" selected="0">
            <x v="11"/>
          </reference>
        </references>
      </pivotArea>
    </chartFormat>
    <chartFormat chart="1" format="17">
      <pivotArea type="data" outline="0" fieldPosition="0">
        <references count="2">
          <reference field="4294967294" count="1" selected="0">
            <x v="0"/>
          </reference>
          <reference field="5" count="1" selected="0">
            <x v="16"/>
          </reference>
        </references>
      </pivotArea>
    </chartFormat>
    <chartFormat chart="3" format="1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84E60F2-D5F3-4A85-B42E-45B73FFBAEAF}" name="PivotTable1" cacheId="4"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3">
  <location ref="A2:C5" firstHeaderRow="0" firstDataRow="1" firstDataCol="1"/>
  <pivotFields count="13">
    <pivotField showAll="0"/>
    <pivotField dataField="1" numFmtId="164" showAll="0"/>
    <pivotField dataField="1" numFmtId="164" showAll="0"/>
    <pivotField showAll="0"/>
    <pivotField axis="axisRow" showAll="0">
      <items count="4">
        <item x="2"/>
        <item x="0"/>
        <item x="1"/>
        <item t="default"/>
      </items>
    </pivotField>
    <pivotField showAll="0"/>
    <pivotField showAll="0">
      <items count="6">
        <item x="0"/>
        <item x="2"/>
        <item x="4"/>
        <item x="1"/>
        <item x="3"/>
        <item t="default"/>
      </items>
    </pivotField>
    <pivotField showAll="0"/>
    <pivotField showAll="0"/>
    <pivotField showAll="0"/>
    <pivotField showAll="0"/>
    <pivotField showAll="0"/>
    <pivotField dragToRow="0" dragToCol="0" dragToPage="0" showAll="0" defaultSubtotal="0"/>
  </pivotFields>
  <rowFields count="1">
    <field x="4"/>
  </rowFields>
  <rowItems count="3">
    <i>
      <x/>
    </i>
    <i>
      <x v="1"/>
    </i>
    <i>
      <x v="2"/>
    </i>
  </rowItems>
  <colFields count="1">
    <field x="-2"/>
  </colFields>
  <colItems count="2">
    <i>
      <x/>
    </i>
    <i i="1">
      <x v="1"/>
    </i>
  </colItems>
  <dataFields count="2">
    <dataField name="Total Sales" fld="1" baseField="4" baseItem="0"/>
    <dataField name="Total Profit" fld="2" baseField="0" baseItem="0"/>
  </dataFields>
  <formats count="2">
    <format dxfId="14">
      <pivotArea collapsedLevelsAreSubtotals="1" fieldPosition="0">
        <references count="1">
          <reference field="4" count="0"/>
        </references>
      </pivotArea>
    </format>
    <format dxfId="15">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C8B02BC-E25B-4288-82FC-216811ECCABE}" name="PivotTable4" cacheId="4"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6">
  <location ref="A41:B45" firstHeaderRow="1" firstDataRow="1" firstDataCol="1"/>
  <pivotFields count="13">
    <pivotField showAll="0"/>
    <pivotField numFmtId="164" showAll="0"/>
    <pivotField numFmtId="164" showAll="0"/>
    <pivotField showAll="0"/>
    <pivotField showAll="0">
      <items count="4">
        <item x="2"/>
        <item x="0"/>
        <item x="1"/>
        <item t="default"/>
      </items>
    </pivotField>
    <pivotField showAll="0">
      <items count="18">
        <item x="13"/>
        <item x="2"/>
        <item x="1"/>
        <item x="0"/>
        <item x="15"/>
        <item x="7"/>
        <item x="8"/>
        <item x="12"/>
        <item x="4"/>
        <item x="3"/>
        <item x="6"/>
        <item x="16"/>
        <item x="9"/>
        <item x="11"/>
        <item x="10"/>
        <item x="5"/>
        <item x="14"/>
        <item t="default"/>
      </items>
    </pivotField>
    <pivotField showAll="0" sortType="descending">
      <items count="6">
        <item x="0"/>
        <item x="2"/>
        <item x="4"/>
        <item x="1"/>
        <item x="3"/>
        <item t="default"/>
      </items>
      <autoSortScope>
        <pivotArea dataOnly="0" outline="0" fieldPosition="0">
          <references count="1">
            <reference field="4294967294" count="1" selected="0">
              <x v="0"/>
            </reference>
          </references>
        </pivotArea>
      </autoSortScope>
    </pivotField>
    <pivotField showAll="0"/>
    <pivotField axis="axisRow" showAll="0">
      <items count="5">
        <item x="3"/>
        <item x="0"/>
        <item x="2"/>
        <item x="1"/>
        <item t="default"/>
      </items>
    </pivotField>
    <pivotField showAll="0"/>
    <pivotField showAll="0"/>
    <pivotField showAll="0"/>
    <pivotField dataField="1" dragToRow="0" dragToCol="0" dragToPage="0" showAll="0" defaultSubtotal="0"/>
  </pivotFields>
  <rowFields count="1">
    <field x="8"/>
  </rowFields>
  <rowItems count="4">
    <i>
      <x/>
    </i>
    <i>
      <x v="1"/>
    </i>
    <i>
      <x v="2"/>
    </i>
    <i>
      <x v="3"/>
    </i>
  </rowItems>
  <colItems count="1">
    <i/>
  </colItems>
  <dataFields count="1">
    <dataField name="Sum of Profit Margin %" fld="12" baseField="0" baseItem="0" numFmtId="9"/>
  </dataFields>
  <formats count="1">
    <format dxfId="20">
      <pivotArea outline="0" collapsedLevelsAreSubtotals="1" fieldPosition="0"/>
    </format>
  </formats>
  <chartFormats count="3">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682B77D-0062-42C0-A9E3-AE1CC7905C05}" name="PivotTable3" cacheId="4"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5">
  <location ref="A32:B37" firstHeaderRow="1" firstDataRow="1" firstDataCol="1"/>
  <pivotFields count="13">
    <pivotField showAll="0"/>
    <pivotField numFmtId="164" showAll="0"/>
    <pivotField numFmtId="164" showAll="0"/>
    <pivotField showAll="0"/>
    <pivotField showAll="0">
      <items count="4">
        <item x="2"/>
        <item x="0"/>
        <item x="1"/>
        <item t="default"/>
      </items>
    </pivotField>
    <pivotField showAll="0">
      <items count="18">
        <item x="13"/>
        <item x="2"/>
        <item x="1"/>
        <item x="0"/>
        <item x="15"/>
        <item x="7"/>
        <item x="8"/>
        <item x="12"/>
        <item x="4"/>
        <item x="3"/>
        <item x="6"/>
        <item x="16"/>
        <item x="9"/>
        <item x="11"/>
        <item x="10"/>
        <item x="5"/>
        <item x="14"/>
        <item t="default"/>
      </items>
    </pivotField>
    <pivotField axis="axisRow" showAll="0" sortType="descending">
      <items count="6">
        <item x="0"/>
        <item x="2"/>
        <item x="4"/>
        <item x="1"/>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dragToRow="0" dragToCol="0" dragToPage="0" showAll="0" defaultSubtotal="0"/>
  </pivotFields>
  <rowFields count="1">
    <field x="6"/>
  </rowFields>
  <rowItems count="5">
    <i>
      <x v="1"/>
    </i>
    <i>
      <x/>
    </i>
    <i>
      <x v="2"/>
    </i>
    <i>
      <x v="3"/>
    </i>
    <i>
      <x v="4"/>
    </i>
  </rowItems>
  <colItems count="1">
    <i/>
  </colItems>
  <dataFields count="1">
    <dataField name="Sum of Profit Margin %" fld="12" baseField="0" baseItem="0" numFmtId="9"/>
  </dataFields>
  <formats count="1">
    <format dxfId="21">
      <pivotArea outline="0" collapsedLevelsAreSubtotals="1" fieldPosition="0"/>
    </format>
  </formats>
  <chartFormats count="6">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6" count="1" selected="0">
            <x v="0"/>
          </reference>
        </references>
      </pivotArea>
    </chartFormat>
    <chartFormat chart="2" format="2">
      <pivotArea type="data" outline="0" fieldPosition="0">
        <references count="2">
          <reference field="4294967294" count="1" selected="0">
            <x v="0"/>
          </reference>
          <reference field="6" count="1" selected="0">
            <x v="2"/>
          </reference>
        </references>
      </pivotArea>
    </chartFormat>
    <chartFormat chart="2" format="3">
      <pivotArea type="data" outline="0" fieldPosition="0">
        <references count="2">
          <reference field="4294967294" count="1" selected="0">
            <x v="0"/>
          </reference>
          <reference field="6" count="1" selected="0">
            <x v="3"/>
          </reference>
        </references>
      </pivotArea>
    </chartFormat>
    <chartFormat chart="2" format="4">
      <pivotArea type="data" outline="0" fieldPosition="0">
        <references count="2">
          <reference field="4294967294" count="1" selected="0">
            <x v="0"/>
          </reference>
          <reference field="6" count="1" selected="0">
            <x v="4"/>
          </reference>
        </references>
      </pivotArea>
    </chartFormat>
    <chartFormat chart="4"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4F04A80E-A3D2-4D98-86C5-F1648EBE7C91}" sourceName="payment_mode">
  <pivotTables>
    <pivotTable tabId="3" name="PivotTable3"/>
    <pivotTable tabId="4" name="PivotTable1"/>
    <pivotTable tabId="4" name="PivotTable2"/>
    <pivotTable tabId="4" name="PivotTable3"/>
    <pivotTable tabId="4" name="PivotTable4"/>
    <pivotTable tabId="3" name="PivotTable1"/>
    <pivotTable tabId="3" name="PivotTable2"/>
    <pivotTable tabId="3" name="PivotTable4"/>
    <pivotTable tabId="3" name="PivotTable5"/>
    <pivotTable tabId="3" name="PivotTable6"/>
    <pivotTable tabId="3" name="PivotTable7"/>
    <pivotTable tabId="4" name="PivotTable5"/>
    <pivotTable tabId="4" name="PivotTable6"/>
  </pivotTables>
  <data>
    <tabular pivotCacheId="1854091972">
      <items count="5">
        <i x="0" s="1"/>
        <i x="2" s="1"/>
        <i x="4"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7E672BF-CB6C-46F8-9BEE-884595289EC7}" sourceName="category">
  <pivotTables>
    <pivotTable tabId="3" name="PivotTable3"/>
    <pivotTable tabId="4" name="PivotTable1"/>
    <pivotTable tabId="4" name="PivotTable2"/>
    <pivotTable tabId="4" name="PivotTable3"/>
    <pivotTable tabId="4" name="PivotTable4"/>
    <pivotTable tabId="3" name="PivotTable1"/>
    <pivotTable tabId="3" name="PivotTable2"/>
    <pivotTable tabId="3" name="PivotTable4"/>
    <pivotTable tabId="3" name="PivotTable5"/>
    <pivotTable tabId="3" name="PivotTable6"/>
    <pivotTable tabId="3" name="PivotTable7"/>
    <pivotTable tabId="4" name="PivotTable5"/>
    <pivotTable tabId="4" name="PivotTable6"/>
  </pivotTables>
  <data>
    <tabular pivotCacheId="1854091972">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_mode" xr10:uid="{618A9D50-44CA-4774-B28A-B04439C4626F}" cache="Slicer_payment_mode" caption="Payment mode" columnCount="5" rowHeight="241300"/>
  <slicer name="category" xr10:uid="{9597FE55-34A9-4D0B-8D3F-BC77692F39B4}" cache="Slicer_category" caption="Category" columnCount="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Sales" displayName="Table_Sales" ref="A1:L1501" totalsRowShown="0">
  <autoFilter ref="A1:L1501" xr:uid="{00000000-0009-0000-0100-000001000000}"/>
  <tableColumns count="12">
    <tableColumn id="1" xr3:uid="{00000000-0010-0000-0000-000001000000}" name="order_id"/>
    <tableColumn id="2" xr3:uid="{00000000-0010-0000-0000-000002000000}" name="amount" dataDxfId="40"/>
    <tableColumn id="3" xr3:uid="{00000000-0010-0000-0000-000003000000}" name="profit" dataDxfId="39"/>
    <tableColumn id="4" xr3:uid="{00000000-0010-0000-0000-000004000000}" name="quantity"/>
    <tableColumn id="5" xr3:uid="{00000000-0010-0000-0000-000005000000}" name="category"/>
    <tableColumn id="6" xr3:uid="{00000000-0010-0000-0000-000006000000}" name="sub_category"/>
    <tableColumn id="7" xr3:uid="{00000000-0010-0000-0000-000007000000}" name="payment_mode"/>
    <tableColumn id="8" xr3:uid="{00000000-0010-0000-0000-000008000000}" name="h_loss" dataDxfId="38">
      <calculatedColumnFormula>IF(Table_Sales[[#This Row],[profit]]&lt;0,1,0)</calculatedColumnFormula>
    </tableColumn>
    <tableColumn id="9" xr3:uid="{00000000-0010-0000-0000-000009000000}" name="h_QtyBand" dataDxfId="37">
      <calculatedColumnFormula array="1">_xlfn.IFS(Table_Sales[[#This Row],[quantity]]&lt;=3,"1-3",Table_Sales[[#This Row],[quantity]]&lt;=7,"2-7",Table_Sales[[#This Row],[quantity]]&lt;=10,"8-10",TRUE,"11 and above")</calculatedColumnFormula>
    </tableColumn>
    <tableColumn id="10" xr3:uid="{00000000-0010-0000-0000-00000A000000}" name="h_AmtBand" dataDxfId="36">
      <calculatedColumnFormula array="1">_xlfn.IFS(Table_Sales[[#This Row],[amount]]&lt;1000,"Under 1000",Table_Sales[[#This Row],[amount]]&lt;3000,"1000 - 2999",Table_Sales[[#This Row],[amount]]&lt;5000,"3000 - 4999",TRUE,"5000 &amp; above")</calculatedColumnFormula>
    </tableColumn>
    <tableColumn id="11" xr3:uid="{00000000-0010-0000-0000-00000B000000}" name="h_Firstline" dataDxfId="35">
      <calculatedColumnFormula>IF(COUNTIFS(INDEX(Table_Sales[order_id],1):Table_Sales[[#This Row],[order_id]],Table_Sales[[#This Row],[order_id]])=1,1,0)</calculatedColumnFormula>
    </tableColumn>
    <tableColumn id="12" xr3:uid="{00000000-0010-0000-0000-00000C000000}" name="h_include" dataDxfId="34">
      <calculatedColumnFormula>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0.xml"/><Relationship Id="rId7" Type="http://schemas.openxmlformats.org/officeDocument/2006/relationships/drawing" Target="../drawings/drawing2.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pivotTable" Target="../pivotTables/pivotTable13.xml"/><Relationship Id="rId5" Type="http://schemas.openxmlformats.org/officeDocument/2006/relationships/pivotTable" Target="../pivotTables/pivotTable12.xml"/><Relationship Id="rId4"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0C0F8-5F21-42BE-8A20-70FAB408C7CB}">
  <dimension ref="A1"/>
  <sheetViews>
    <sheetView showGridLines="0" showRowColHeaders="0" zoomScale="50" zoomScaleNormal="50" workbookViewId="0">
      <selection activeCell="AB27" sqref="AB27"/>
    </sheetView>
  </sheetViews>
  <sheetFormatPr defaultRowHeight="15" x14ac:dyDescent="0.25"/>
  <cols>
    <col min="1" max="16384" width="9.140625" style="10"/>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501"/>
  <sheetViews>
    <sheetView topLeftCell="A1480" workbookViewId="0">
      <selection sqref="A1:G1501"/>
    </sheetView>
  </sheetViews>
  <sheetFormatPr defaultRowHeight="15" x14ac:dyDescent="0.25"/>
  <sheetData>
    <row r="1" spans="1:7" x14ac:dyDescent="0.25">
      <c r="A1" t="s">
        <v>0</v>
      </c>
      <c r="B1" t="s">
        <v>1</v>
      </c>
      <c r="C1" t="s">
        <v>2</v>
      </c>
      <c r="D1" t="s">
        <v>3</v>
      </c>
      <c r="E1" t="s">
        <v>4</v>
      </c>
      <c r="F1" t="s">
        <v>5</v>
      </c>
      <c r="G1" t="s">
        <v>6</v>
      </c>
    </row>
    <row r="2" spans="1:7" x14ac:dyDescent="0.25">
      <c r="A2" t="s">
        <v>7</v>
      </c>
      <c r="B2">
        <v>1096</v>
      </c>
      <c r="C2">
        <v>658</v>
      </c>
      <c r="D2">
        <v>7</v>
      </c>
      <c r="E2" t="s">
        <v>8</v>
      </c>
      <c r="F2" t="s">
        <v>9</v>
      </c>
      <c r="G2" t="s">
        <v>10</v>
      </c>
    </row>
    <row r="3" spans="1:7" x14ac:dyDescent="0.25">
      <c r="A3" t="s">
        <v>11</v>
      </c>
      <c r="B3">
        <v>5729</v>
      </c>
      <c r="C3">
        <v>64</v>
      </c>
      <c r="D3">
        <v>14</v>
      </c>
      <c r="E3" t="s">
        <v>12</v>
      </c>
      <c r="F3" t="s">
        <v>13</v>
      </c>
      <c r="G3" t="s">
        <v>14</v>
      </c>
    </row>
    <row r="4" spans="1:7" x14ac:dyDescent="0.25">
      <c r="A4" t="s">
        <v>15</v>
      </c>
      <c r="B4">
        <v>2927</v>
      </c>
      <c r="C4">
        <v>146</v>
      </c>
      <c r="D4">
        <v>8</v>
      </c>
      <c r="E4" t="s">
        <v>12</v>
      </c>
      <c r="F4" t="s">
        <v>16</v>
      </c>
      <c r="G4" t="s">
        <v>14</v>
      </c>
    </row>
    <row r="5" spans="1:7" x14ac:dyDescent="0.25">
      <c r="A5" t="s">
        <v>17</v>
      </c>
      <c r="B5">
        <v>2847</v>
      </c>
      <c r="C5">
        <v>712</v>
      </c>
      <c r="D5">
        <v>8</v>
      </c>
      <c r="E5" t="s">
        <v>8</v>
      </c>
      <c r="F5" t="s">
        <v>18</v>
      </c>
      <c r="G5" t="s">
        <v>19</v>
      </c>
    </row>
    <row r="6" spans="1:7" x14ac:dyDescent="0.25">
      <c r="A6" t="s">
        <v>20</v>
      </c>
      <c r="B6">
        <v>2617</v>
      </c>
      <c r="C6">
        <v>1151</v>
      </c>
      <c r="D6">
        <v>4</v>
      </c>
      <c r="E6" t="s">
        <v>8</v>
      </c>
      <c r="F6" t="s">
        <v>21</v>
      </c>
      <c r="G6" t="s">
        <v>19</v>
      </c>
    </row>
    <row r="7" spans="1:7" x14ac:dyDescent="0.25">
      <c r="A7" t="s">
        <v>22</v>
      </c>
      <c r="B7">
        <v>2244</v>
      </c>
      <c r="C7">
        <v>247</v>
      </c>
      <c r="D7">
        <v>4</v>
      </c>
      <c r="E7" t="s">
        <v>23</v>
      </c>
      <c r="F7" t="s">
        <v>24</v>
      </c>
      <c r="G7" t="s">
        <v>19</v>
      </c>
    </row>
    <row r="8" spans="1:7" x14ac:dyDescent="0.25">
      <c r="A8" t="s">
        <v>25</v>
      </c>
      <c r="B8">
        <v>275</v>
      </c>
      <c r="C8">
        <v>-275</v>
      </c>
      <c r="D8">
        <v>4</v>
      </c>
      <c r="E8" t="s">
        <v>23</v>
      </c>
      <c r="F8" t="s">
        <v>26</v>
      </c>
      <c r="G8" t="s">
        <v>10</v>
      </c>
    </row>
    <row r="9" spans="1:7" x14ac:dyDescent="0.25">
      <c r="A9" t="s">
        <v>27</v>
      </c>
      <c r="B9">
        <v>387</v>
      </c>
      <c r="C9">
        <v>-213</v>
      </c>
      <c r="D9">
        <v>5</v>
      </c>
      <c r="E9" t="s">
        <v>23</v>
      </c>
      <c r="F9" t="s">
        <v>26</v>
      </c>
      <c r="G9" t="s">
        <v>28</v>
      </c>
    </row>
    <row r="10" spans="1:7" x14ac:dyDescent="0.25">
      <c r="A10" t="s">
        <v>29</v>
      </c>
      <c r="B10">
        <v>50</v>
      </c>
      <c r="C10">
        <v>-44</v>
      </c>
      <c r="D10">
        <v>2</v>
      </c>
      <c r="E10" t="s">
        <v>23</v>
      </c>
      <c r="F10" t="s">
        <v>30</v>
      </c>
      <c r="G10" t="s">
        <v>28</v>
      </c>
    </row>
    <row r="11" spans="1:7" x14ac:dyDescent="0.25">
      <c r="A11" t="s">
        <v>31</v>
      </c>
      <c r="B11">
        <v>135</v>
      </c>
      <c r="C11">
        <v>-54</v>
      </c>
      <c r="D11">
        <v>5</v>
      </c>
      <c r="E11" t="s">
        <v>23</v>
      </c>
      <c r="F11" t="s">
        <v>32</v>
      </c>
      <c r="G11" t="s">
        <v>10</v>
      </c>
    </row>
    <row r="12" spans="1:7" x14ac:dyDescent="0.25">
      <c r="A12" t="s">
        <v>33</v>
      </c>
      <c r="B12">
        <v>231</v>
      </c>
      <c r="C12">
        <v>-190</v>
      </c>
      <c r="D12">
        <v>9</v>
      </c>
      <c r="E12" t="s">
        <v>23</v>
      </c>
      <c r="F12" t="s">
        <v>30</v>
      </c>
      <c r="G12" t="s">
        <v>10</v>
      </c>
    </row>
    <row r="13" spans="1:7" x14ac:dyDescent="0.25">
      <c r="A13" t="s">
        <v>34</v>
      </c>
      <c r="B13">
        <v>2125</v>
      </c>
      <c r="C13">
        <v>-234</v>
      </c>
      <c r="D13">
        <v>6</v>
      </c>
      <c r="E13" t="s">
        <v>8</v>
      </c>
      <c r="F13" t="s">
        <v>18</v>
      </c>
      <c r="G13" t="s">
        <v>14</v>
      </c>
    </row>
    <row r="14" spans="1:7" x14ac:dyDescent="0.25">
      <c r="A14" t="s">
        <v>35</v>
      </c>
      <c r="B14">
        <v>3873</v>
      </c>
      <c r="C14">
        <v>-891</v>
      </c>
      <c r="D14">
        <v>6</v>
      </c>
      <c r="E14" t="s">
        <v>8</v>
      </c>
      <c r="F14" t="s">
        <v>21</v>
      </c>
      <c r="G14" t="s">
        <v>19</v>
      </c>
    </row>
    <row r="15" spans="1:7" x14ac:dyDescent="0.25">
      <c r="A15" t="s">
        <v>36</v>
      </c>
      <c r="B15">
        <v>729</v>
      </c>
      <c r="C15">
        <v>-492</v>
      </c>
      <c r="D15">
        <v>5</v>
      </c>
      <c r="E15" t="s">
        <v>12</v>
      </c>
      <c r="F15" t="s">
        <v>16</v>
      </c>
      <c r="G15" t="s">
        <v>28</v>
      </c>
    </row>
    <row r="16" spans="1:7" x14ac:dyDescent="0.25">
      <c r="A16" t="s">
        <v>37</v>
      </c>
      <c r="B16">
        <v>2188</v>
      </c>
      <c r="C16">
        <v>1050</v>
      </c>
      <c r="D16">
        <v>5</v>
      </c>
      <c r="E16" t="s">
        <v>12</v>
      </c>
      <c r="F16" t="s">
        <v>16</v>
      </c>
      <c r="G16" t="s">
        <v>19</v>
      </c>
    </row>
    <row r="17" spans="1:7" x14ac:dyDescent="0.25">
      <c r="A17" t="s">
        <v>38</v>
      </c>
      <c r="B17">
        <v>6</v>
      </c>
      <c r="C17">
        <v>-3</v>
      </c>
      <c r="D17">
        <v>1</v>
      </c>
      <c r="E17" t="s">
        <v>23</v>
      </c>
      <c r="F17" t="s">
        <v>30</v>
      </c>
      <c r="G17" t="s">
        <v>28</v>
      </c>
    </row>
    <row r="18" spans="1:7" x14ac:dyDescent="0.25">
      <c r="A18" t="s">
        <v>39</v>
      </c>
      <c r="B18">
        <v>1854</v>
      </c>
      <c r="C18">
        <v>433</v>
      </c>
      <c r="D18">
        <v>5</v>
      </c>
      <c r="E18" t="s">
        <v>12</v>
      </c>
      <c r="F18" t="s">
        <v>16</v>
      </c>
      <c r="G18" t="s">
        <v>19</v>
      </c>
    </row>
    <row r="19" spans="1:7" x14ac:dyDescent="0.25">
      <c r="A19" t="s">
        <v>40</v>
      </c>
      <c r="B19">
        <v>6</v>
      </c>
      <c r="C19">
        <v>1</v>
      </c>
      <c r="D19">
        <v>1</v>
      </c>
      <c r="E19" t="s">
        <v>23</v>
      </c>
      <c r="F19" t="s">
        <v>32</v>
      </c>
      <c r="G19" t="s">
        <v>28</v>
      </c>
    </row>
    <row r="20" spans="1:7" x14ac:dyDescent="0.25">
      <c r="A20" t="s">
        <v>41</v>
      </c>
      <c r="B20">
        <v>2093</v>
      </c>
      <c r="C20">
        <v>721</v>
      </c>
      <c r="D20">
        <v>5</v>
      </c>
      <c r="E20" t="s">
        <v>12</v>
      </c>
      <c r="F20" t="s">
        <v>13</v>
      </c>
      <c r="G20" t="s">
        <v>19</v>
      </c>
    </row>
    <row r="21" spans="1:7" x14ac:dyDescent="0.25">
      <c r="A21" t="s">
        <v>42</v>
      </c>
      <c r="B21">
        <v>7</v>
      </c>
      <c r="C21">
        <v>-1</v>
      </c>
      <c r="D21">
        <v>2</v>
      </c>
      <c r="E21" t="s">
        <v>23</v>
      </c>
      <c r="F21" t="s">
        <v>43</v>
      </c>
      <c r="G21" t="s">
        <v>28</v>
      </c>
    </row>
    <row r="22" spans="1:7" x14ac:dyDescent="0.25">
      <c r="A22" t="s">
        <v>44</v>
      </c>
      <c r="B22">
        <v>1622</v>
      </c>
      <c r="C22">
        <v>-624</v>
      </c>
      <c r="D22">
        <v>5</v>
      </c>
      <c r="E22" t="s">
        <v>12</v>
      </c>
      <c r="F22" t="s">
        <v>45</v>
      </c>
      <c r="G22" t="s">
        <v>19</v>
      </c>
    </row>
    <row r="23" spans="1:7" x14ac:dyDescent="0.25">
      <c r="A23" t="s">
        <v>46</v>
      </c>
      <c r="B23">
        <v>1622</v>
      </c>
      <c r="C23">
        <v>95</v>
      </c>
      <c r="D23">
        <v>5</v>
      </c>
      <c r="E23" t="s">
        <v>8</v>
      </c>
      <c r="F23" t="s">
        <v>18</v>
      </c>
      <c r="G23" t="s">
        <v>19</v>
      </c>
    </row>
    <row r="24" spans="1:7" x14ac:dyDescent="0.25">
      <c r="A24" t="s">
        <v>47</v>
      </c>
      <c r="B24">
        <v>373</v>
      </c>
      <c r="C24">
        <v>254</v>
      </c>
      <c r="D24">
        <v>6</v>
      </c>
      <c r="E24" t="s">
        <v>8</v>
      </c>
      <c r="F24" t="s">
        <v>18</v>
      </c>
      <c r="G24" t="s">
        <v>28</v>
      </c>
    </row>
    <row r="25" spans="1:7" x14ac:dyDescent="0.25">
      <c r="A25" t="s">
        <v>48</v>
      </c>
      <c r="B25">
        <v>82</v>
      </c>
      <c r="C25">
        <v>-33</v>
      </c>
      <c r="D25">
        <v>4</v>
      </c>
      <c r="E25" t="s">
        <v>23</v>
      </c>
      <c r="F25" t="s">
        <v>32</v>
      </c>
      <c r="G25" t="s">
        <v>10</v>
      </c>
    </row>
    <row r="26" spans="1:7" x14ac:dyDescent="0.25">
      <c r="A26" t="s">
        <v>49</v>
      </c>
      <c r="B26">
        <v>8</v>
      </c>
      <c r="C26">
        <v>2</v>
      </c>
      <c r="D26">
        <v>2</v>
      </c>
      <c r="E26" t="s">
        <v>23</v>
      </c>
      <c r="F26" t="s">
        <v>43</v>
      </c>
      <c r="G26" t="s">
        <v>28</v>
      </c>
    </row>
    <row r="27" spans="1:7" x14ac:dyDescent="0.25">
      <c r="A27" t="s">
        <v>50</v>
      </c>
      <c r="B27">
        <v>1954</v>
      </c>
      <c r="C27">
        <v>782</v>
      </c>
      <c r="D27">
        <v>3</v>
      </c>
      <c r="E27" t="s">
        <v>8</v>
      </c>
      <c r="F27" t="s">
        <v>21</v>
      </c>
      <c r="G27" t="s">
        <v>19</v>
      </c>
    </row>
    <row r="28" spans="1:7" x14ac:dyDescent="0.25">
      <c r="A28" t="s">
        <v>51</v>
      </c>
      <c r="B28">
        <v>1543</v>
      </c>
      <c r="C28">
        <v>370</v>
      </c>
      <c r="D28">
        <v>8</v>
      </c>
      <c r="E28" t="s">
        <v>8</v>
      </c>
      <c r="F28" t="s">
        <v>18</v>
      </c>
      <c r="G28" t="s">
        <v>19</v>
      </c>
    </row>
    <row r="29" spans="1:7" x14ac:dyDescent="0.25">
      <c r="A29" t="s">
        <v>52</v>
      </c>
      <c r="B29">
        <v>1506</v>
      </c>
      <c r="C29">
        <v>-266</v>
      </c>
      <c r="D29">
        <v>6</v>
      </c>
      <c r="E29" t="s">
        <v>8</v>
      </c>
      <c r="F29" t="s">
        <v>18</v>
      </c>
      <c r="G29" t="s">
        <v>19</v>
      </c>
    </row>
    <row r="30" spans="1:7" x14ac:dyDescent="0.25">
      <c r="A30" t="s">
        <v>53</v>
      </c>
      <c r="B30">
        <v>1829</v>
      </c>
      <c r="C30">
        <v>-56</v>
      </c>
      <c r="D30">
        <v>6</v>
      </c>
      <c r="E30" t="s">
        <v>12</v>
      </c>
      <c r="F30" t="s">
        <v>45</v>
      </c>
      <c r="G30" t="s">
        <v>19</v>
      </c>
    </row>
    <row r="31" spans="1:7" x14ac:dyDescent="0.25">
      <c r="A31" t="s">
        <v>54</v>
      </c>
      <c r="B31">
        <v>9</v>
      </c>
      <c r="C31">
        <v>-1</v>
      </c>
      <c r="D31">
        <v>3</v>
      </c>
      <c r="E31" t="s">
        <v>23</v>
      </c>
      <c r="F31" t="s">
        <v>43</v>
      </c>
      <c r="G31" t="s">
        <v>28</v>
      </c>
    </row>
    <row r="32" spans="1:7" x14ac:dyDescent="0.25">
      <c r="A32" t="s">
        <v>55</v>
      </c>
      <c r="B32">
        <v>1461</v>
      </c>
      <c r="C32">
        <v>202</v>
      </c>
      <c r="D32">
        <v>5</v>
      </c>
      <c r="E32" t="s">
        <v>12</v>
      </c>
      <c r="F32" t="s">
        <v>45</v>
      </c>
      <c r="G32" t="s">
        <v>14</v>
      </c>
    </row>
    <row r="33" spans="1:7" x14ac:dyDescent="0.25">
      <c r="A33" t="s">
        <v>56</v>
      </c>
      <c r="B33">
        <v>391</v>
      </c>
      <c r="C33">
        <v>113</v>
      </c>
      <c r="D33">
        <v>8</v>
      </c>
      <c r="E33" t="s">
        <v>23</v>
      </c>
      <c r="F33" t="s">
        <v>57</v>
      </c>
      <c r="G33" t="s">
        <v>10</v>
      </c>
    </row>
    <row r="34" spans="1:7" x14ac:dyDescent="0.25">
      <c r="A34" t="s">
        <v>58</v>
      </c>
      <c r="B34">
        <v>1824</v>
      </c>
      <c r="C34">
        <v>1303</v>
      </c>
      <c r="D34">
        <v>8</v>
      </c>
      <c r="E34" t="s">
        <v>8</v>
      </c>
      <c r="F34" t="s">
        <v>21</v>
      </c>
      <c r="G34" t="s">
        <v>19</v>
      </c>
    </row>
    <row r="35" spans="1:7" x14ac:dyDescent="0.25">
      <c r="A35" t="s">
        <v>59</v>
      </c>
      <c r="B35">
        <v>16</v>
      </c>
      <c r="C35">
        <v>-15</v>
      </c>
      <c r="D35">
        <v>4</v>
      </c>
      <c r="E35" t="s">
        <v>23</v>
      </c>
      <c r="F35" t="s">
        <v>30</v>
      </c>
      <c r="G35" t="s">
        <v>28</v>
      </c>
    </row>
    <row r="36" spans="1:7" x14ac:dyDescent="0.25">
      <c r="A36" t="s">
        <v>60</v>
      </c>
      <c r="B36">
        <v>1745</v>
      </c>
      <c r="C36">
        <v>122</v>
      </c>
      <c r="D36">
        <v>2</v>
      </c>
      <c r="E36" t="s">
        <v>12</v>
      </c>
      <c r="F36" t="s">
        <v>45</v>
      </c>
      <c r="G36" t="s">
        <v>19</v>
      </c>
    </row>
    <row r="37" spans="1:7" x14ac:dyDescent="0.25">
      <c r="A37" t="s">
        <v>61</v>
      </c>
      <c r="B37">
        <v>663</v>
      </c>
      <c r="C37">
        <v>-212</v>
      </c>
      <c r="D37">
        <v>5</v>
      </c>
      <c r="E37" t="s">
        <v>8</v>
      </c>
      <c r="F37" t="s">
        <v>18</v>
      </c>
      <c r="G37" t="s">
        <v>28</v>
      </c>
    </row>
    <row r="38" spans="1:7" x14ac:dyDescent="0.25">
      <c r="A38" t="s">
        <v>62</v>
      </c>
      <c r="B38">
        <v>10</v>
      </c>
      <c r="C38">
        <v>-1</v>
      </c>
      <c r="D38">
        <v>1</v>
      </c>
      <c r="E38" t="s">
        <v>23</v>
      </c>
      <c r="F38" t="s">
        <v>63</v>
      </c>
      <c r="G38" t="s">
        <v>28</v>
      </c>
    </row>
    <row r="39" spans="1:7" x14ac:dyDescent="0.25">
      <c r="A39" t="s">
        <v>64</v>
      </c>
      <c r="B39">
        <v>1630</v>
      </c>
      <c r="C39">
        <v>802</v>
      </c>
      <c r="D39">
        <v>5</v>
      </c>
      <c r="E39" t="s">
        <v>12</v>
      </c>
      <c r="F39" t="s">
        <v>45</v>
      </c>
      <c r="G39" t="s">
        <v>14</v>
      </c>
    </row>
    <row r="40" spans="1:7" x14ac:dyDescent="0.25">
      <c r="A40" t="s">
        <v>65</v>
      </c>
      <c r="B40">
        <v>12</v>
      </c>
      <c r="C40">
        <v>0</v>
      </c>
      <c r="D40">
        <v>2</v>
      </c>
      <c r="E40" t="s">
        <v>23</v>
      </c>
      <c r="F40" t="s">
        <v>30</v>
      </c>
      <c r="G40" t="s">
        <v>28</v>
      </c>
    </row>
    <row r="41" spans="1:7" x14ac:dyDescent="0.25">
      <c r="A41" t="s">
        <v>66</v>
      </c>
      <c r="B41">
        <v>12</v>
      </c>
      <c r="C41">
        <v>-7</v>
      </c>
      <c r="D41">
        <v>2</v>
      </c>
      <c r="E41" t="s">
        <v>23</v>
      </c>
      <c r="F41" t="s">
        <v>63</v>
      </c>
      <c r="G41" t="s">
        <v>28</v>
      </c>
    </row>
    <row r="42" spans="1:7" x14ac:dyDescent="0.25">
      <c r="A42" t="s">
        <v>67</v>
      </c>
      <c r="B42">
        <v>1709</v>
      </c>
      <c r="C42">
        <v>564</v>
      </c>
      <c r="D42">
        <v>3</v>
      </c>
      <c r="E42" t="s">
        <v>23</v>
      </c>
      <c r="F42" t="s">
        <v>24</v>
      </c>
      <c r="G42" t="s">
        <v>19</v>
      </c>
    </row>
    <row r="43" spans="1:7" x14ac:dyDescent="0.25">
      <c r="A43" t="s">
        <v>68</v>
      </c>
      <c r="B43">
        <v>12</v>
      </c>
      <c r="C43">
        <v>3</v>
      </c>
      <c r="D43">
        <v>1</v>
      </c>
      <c r="E43" t="s">
        <v>23</v>
      </c>
      <c r="F43" t="s">
        <v>57</v>
      </c>
      <c r="G43" t="s">
        <v>28</v>
      </c>
    </row>
    <row r="44" spans="1:7" x14ac:dyDescent="0.25">
      <c r="A44" t="s">
        <v>7</v>
      </c>
      <c r="B44">
        <v>1625</v>
      </c>
      <c r="C44">
        <v>-77</v>
      </c>
      <c r="D44">
        <v>3</v>
      </c>
      <c r="E44" t="s">
        <v>8</v>
      </c>
      <c r="F44" t="s">
        <v>21</v>
      </c>
      <c r="G44" t="s">
        <v>14</v>
      </c>
    </row>
    <row r="45" spans="1:7" x14ac:dyDescent="0.25">
      <c r="A45" t="s">
        <v>69</v>
      </c>
      <c r="B45">
        <v>13</v>
      </c>
      <c r="C45">
        <v>5</v>
      </c>
      <c r="D45">
        <v>2</v>
      </c>
      <c r="E45" t="s">
        <v>23</v>
      </c>
      <c r="F45" t="s">
        <v>30</v>
      </c>
      <c r="G45" t="s">
        <v>28</v>
      </c>
    </row>
    <row r="46" spans="1:7" x14ac:dyDescent="0.25">
      <c r="A46" t="s">
        <v>70</v>
      </c>
      <c r="B46">
        <v>1361</v>
      </c>
      <c r="C46">
        <v>980</v>
      </c>
      <c r="D46">
        <v>3</v>
      </c>
      <c r="E46" t="s">
        <v>12</v>
      </c>
      <c r="F46" t="s">
        <v>45</v>
      </c>
      <c r="G46" t="s">
        <v>10</v>
      </c>
    </row>
    <row r="47" spans="1:7" x14ac:dyDescent="0.25">
      <c r="A47" t="s">
        <v>71</v>
      </c>
      <c r="B47">
        <v>1622</v>
      </c>
      <c r="C47">
        <v>-448</v>
      </c>
      <c r="D47">
        <v>3</v>
      </c>
      <c r="E47" t="s">
        <v>8</v>
      </c>
      <c r="F47" t="s">
        <v>21</v>
      </c>
      <c r="G47" t="s">
        <v>14</v>
      </c>
    </row>
    <row r="48" spans="1:7" x14ac:dyDescent="0.25">
      <c r="A48" t="s">
        <v>72</v>
      </c>
      <c r="B48">
        <v>1547</v>
      </c>
      <c r="C48">
        <v>340</v>
      </c>
      <c r="D48">
        <v>6</v>
      </c>
      <c r="E48" t="s">
        <v>8</v>
      </c>
      <c r="F48" t="s">
        <v>73</v>
      </c>
      <c r="G48" t="s">
        <v>14</v>
      </c>
    </row>
    <row r="49" spans="1:7" x14ac:dyDescent="0.25">
      <c r="A49" t="s">
        <v>74</v>
      </c>
      <c r="B49">
        <v>1657</v>
      </c>
      <c r="C49">
        <v>460</v>
      </c>
      <c r="D49">
        <v>4</v>
      </c>
      <c r="E49" t="s">
        <v>12</v>
      </c>
      <c r="F49" t="s">
        <v>13</v>
      </c>
      <c r="G49" t="s">
        <v>19</v>
      </c>
    </row>
    <row r="50" spans="1:7" x14ac:dyDescent="0.25">
      <c r="A50" t="s">
        <v>75</v>
      </c>
      <c r="B50">
        <v>1603</v>
      </c>
      <c r="C50">
        <v>0</v>
      </c>
      <c r="D50">
        <v>9</v>
      </c>
      <c r="E50" t="s">
        <v>23</v>
      </c>
      <c r="F50" t="s">
        <v>26</v>
      </c>
      <c r="G50" t="s">
        <v>19</v>
      </c>
    </row>
    <row r="51" spans="1:7" x14ac:dyDescent="0.25">
      <c r="A51" t="s">
        <v>76</v>
      </c>
      <c r="B51">
        <v>1549</v>
      </c>
      <c r="C51">
        <v>-439</v>
      </c>
      <c r="D51">
        <v>4</v>
      </c>
      <c r="E51" t="s">
        <v>8</v>
      </c>
      <c r="F51" t="s">
        <v>21</v>
      </c>
      <c r="G51" t="s">
        <v>19</v>
      </c>
    </row>
    <row r="52" spans="1:7" x14ac:dyDescent="0.25">
      <c r="A52" t="s">
        <v>77</v>
      </c>
      <c r="B52">
        <v>1183</v>
      </c>
      <c r="C52">
        <v>106</v>
      </c>
      <c r="D52">
        <v>4</v>
      </c>
      <c r="E52" t="s">
        <v>8</v>
      </c>
      <c r="F52" t="s">
        <v>18</v>
      </c>
      <c r="G52" t="s">
        <v>14</v>
      </c>
    </row>
    <row r="53" spans="1:7" x14ac:dyDescent="0.25">
      <c r="A53" t="s">
        <v>38</v>
      </c>
      <c r="B53">
        <v>74</v>
      </c>
      <c r="C53">
        <v>-123</v>
      </c>
      <c r="D53">
        <v>8</v>
      </c>
      <c r="E53" t="s">
        <v>23</v>
      </c>
      <c r="F53" t="s">
        <v>43</v>
      </c>
      <c r="G53" t="s">
        <v>28</v>
      </c>
    </row>
    <row r="54" spans="1:7" x14ac:dyDescent="0.25">
      <c r="A54" t="s">
        <v>78</v>
      </c>
      <c r="B54">
        <v>1499</v>
      </c>
      <c r="C54">
        <v>239</v>
      </c>
      <c r="D54">
        <v>13</v>
      </c>
      <c r="E54" t="s">
        <v>23</v>
      </c>
      <c r="F54" t="s">
        <v>26</v>
      </c>
      <c r="G54" t="s">
        <v>19</v>
      </c>
    </row>
    <row r="55" spans="1:7" x14ac:dyDescent="0.25">
      <c r="A55" t="s">
        <v>79</v>
      </c>
      <c r="B55">
        <v>1120</v>
      </c>
      <c r="C55">
        <v>199</v>
      </c>
      <c r="D55">
        <v>6</v>
      </c>
      <c r="E55" t="s">
        <v>23</v>
      </c>
      <c r="F55" t="s">
        <v>26</v>
      </c>
      <c r="G55" t="s">
        <v>14</v>
      </c>
    </row>
    <row r="56" spans="1:7" x14ac:dyDescent="0.25">
      <c r="A56" t="s">
        <v>80</v>
      </c>
      <c r="B56">
        <v>15</v>
      </c>
      <c r="C56">
        <v>-2</v>
      </c>
      <c r="D56">
        <v>1</v>
      </c>
      <c r="E56" t="s">
        <v>23</v>
      </c>
      <c r="F56" t="s">
        <v>81</v>
      </c>
      <c r="G56" t="s">
        <v>82</v>
      </c>
    </row>
    <row r="57" spans="1:7" x14ac:dyDescent="0.25">
      <c r="A57" t="s">
        <v>83</v>
      </c>
      <c r="B57">
        <v>1487</v>
      </c>
      <c r="C57">
        <v>624</v>
      </c>
      <c r="D57">
        <v>3</v>
      </c>
      <c r="E57" t="s">
        <v>23</v>
      </c>
      <c r="F57" t="s">
        <v>24</v>
      </c>
      <c r="G57" t="s">
        <v>19</v>
      </c>
    </row>
    <row r="58" spans="1:7" x14ac:dyDescent="0.25">
      <c r="A58" t="s">
        <v>84</v>
      </c>
      <c r="B58">
        <v>1118</v>
      </c>
      <c r="C58">
        <v>206</v>
      </c>
      <c r="D58">
        <v>2</v>
      </c>
      <c r="E58" t="s">
        <v>12</v>
      </c>
      <c r="F58" t="s">
        <v>45</v>
      </c>
      <c r="G58" t="s">
        <v>19</v>
      </c>
    </row>
    <row r="59" spans="1:7" x14ac:dyDescent="0.25">
      <c r="A59" t="s">
        <v>85</v>
      </c>
      <c r="B59">
        <v>11</v>
      </c>
      <c r="C59">
        <v>-5</v>
      </c>
      <c r="D59">
        <v>2</v>
      </c>
      <c r="E59" t="s">
        <v>23</v>
      </c>
      <c r="F59" t="s">
        <v>30</v>
      </c>
      <c r="G59" t="s">
        <v>10</v>
      </c>
    </row>
    <row r="60" spans="1:7" x14ac:dyDescent="0.25">
      <c r="A60" t="s">
        <v>86</v>
      </c>
      <c r="B60">
        <v>15</v>
      </c>
      <c r="C60">
        <v>4</v>
      </c>
      <c r="D60">
        <v>1</v>
      </c>
      <c r="E60" t="s">
        <v>23</v>
      </c>
      <c r="F60" t="s">
        <v>30</v>
      </c>
      <c r="G60" t="s">
        <v>82</v>
      </c>
    </row>
    <row r="61" spans="1:7" x14ac:dyDescent="0.25">
      <c r="A61" t="s">
        <v>87</v>
      </c>
      <c r="B61">
        <v>1364</v>
      </c>
      <c r="C61">
        <v>1864</v>
      </c>
      <c r="D61">
        <v>5</v>
      </c>
      <c r="E61" t="s">
        <v>12</v>
      </c>
      <c r="F61" t="s">
        <v>45</v>
      </c>
      <c r="G61" t="s">
        <v>19</v>
      </c>
    </row>
    <row r="62" spans="1:7" x14ac:dyDescent="0.25">
      <c r="A62" t="s">
        <v>88</v>
      </c>
      <c r="B62">
        <v>1337</v>
      </c>
      <c r="C62">
        <v>147</v>
      </c>
      <c r="D62">
        <v>7</v>
      </c>
      <c r="E62" t="s">
        <v>8</v>
      </c>
      <c r="F62" t="s">
        <v>18</v>
      </c>
      <c r="G62" t="s">
        <v>19</v>
      </c>
    </row>
    <row r="63" spans="1:7" x14ac:dyDescent="0.25">
      <c r="A63" t="s">
        <v>89</v>
      </c>
      <c r="B63">
        <v>15</v>
      </c>
      <c r="C63">
        <v>2</v>
      </c>
      <c r="D63">
        <v>1</v>
      </c>
      <c r="E63" t="s">
        <v>23</v>
      </c>
      <c r="F63" t="s">
        <v>63</v>
      </c>
      <c r="G63" t="s">
        <v>82</v>
      </c>
    </row>
    <row r="64" spans="1:7" x14ac:dyDescent="0.25">
      <c r="A64" t="s">
        <v>90</v>
      </c>
      <c r="B64">
        <v>322</v>
      </c>
      <c r="C64">
        <v>-193</v>
      </c>
      <c r="D64">
        <v>5</v>
      </c>
      <c r="E64" t="s">
        <v>8</v>
      </c>
      <c r="F64" t="s">
        <v>18</v>
      </c>
      <c r="G64" t="s">
        <v>28</v>
      </c>
    </row>
    <row r="65" spans="1:7" x14ac:dyDescent="0.25">
      <c r="A65" t="s">
        <v>91</v>
      </c>
      <c r="B65">
        <v>1316</v>
      </c>
      <c r="C65">
        <v>527</v>
      </c>
      <c r="D65">
        <v>7</v>
      </c>
      <c r="E65" t="s">
        <v>8</v>
      </c>
      <c r="F65" t="s">
        <v>9</v>
      </c>
      <c r="G65" t="s">
        <v>19</v>
      </c>
    </row>
    <row r="66" spans="1:7" x14ac:dyDescent="0.25">
      <c r="A66" t="s">
        <v>92</v>
      </c>
      <c r="B66">
        <v>1314</v>
      </c>
      <c r="C66">
        <v>342</v>
      </c>
      <c r="D66">
        <v>3</v>
      </c>
      <c r="E66" t="s">
        <v>12</v>
      </c>
      <c r="F66" t="s">
        <v>16</v>
      </c>
      <c r="G66" t="s">
        <v>19</v>
      </c>
    </row>
    <row r="67" spans="1:7" x14ac:dyDescent="0.25">
      <c r="A67" t="s">
        <v>93</v>
      </c>
      <c r="B67">
        <v>17</v>
      </c>
      <c r="C67">
        <v>7</v>
      </c>
      <c r="D67">
        <v>3</v>
      </c>
      <c r="E67" t="s">
        <v>23</v>
      </c>
      <c r="F67" t="s">
        <v>30</v>
      </c>
      <c r="G67" t="s">
        <v>82</v>
      </c>
    </row>
    <row r="68" spans="1:7" x14ac:dyDescent="0.25">
      <c r="A68" t="s">
        <v>94</v>
      </c>
      <c r="B68">
        <v>17</v>
      </c>
      <c r="C68">
        <v>2</v>
      </c>
      <c r="D68">
        <v>2</v>
      </c>
      <c r="E68" t="s">
        <v>23</v>
      </c>
      <c r="F68" t="s">
        <v>43</v>
      </c>
      <c r="G68" t="s">
        <v>82</v>
      </c>
    </row>
    <row r="69" spans="1:7" x14ac:dyDescent="0.25">
      <c r="A69" t="s">
        <v>95</v>
      </c>
      <c r="B69">
        <v>17</v>
      </c>
      <c r="C69">
        <v>-12</v>
      </c>
      <c r="D69">
        <v>5</v>
      </c>
      <c r="E69" t="s">
        <v>23</v>
      </c>
      <c r="F69" t="s">
        <v>43</v>
      </c>
      <c r="G69" t="s">
        <v>82</v>
      </c>
    </row>
    <row r="70" spans="1:7" x14ac:dyDescent="0.25">
      <c r="A70" t="s">
        <v>96</v>
      </c>
      <c r="B70">
        <v>1308</v>
      </c>
      <c r="C70">
        <v>536</v>
      </c>
      <c r="D70">
        <v>3</v>
      </c>
      <c r="E70" t="s">
        <v>12</v>
      </c>
      <c r="F70" t="s">
        <v>16</v>
      </c>
      <c r="G70" t="s">
        <v>19</v>
      </c>
    </row>
    <row r="71" spans="1:7" x14ac:dyDescent="0.25">
      <c r="A71" t="s">
        <v>97</v>
      </c>
      <c r="B71">
        <v>1076</v>
      </c>
      <c r="C71">
        <v>-38</v>
      </c>
      <c r="D71">
        <v>4</v>
      </c>
      <c r="E71" t="s">
        <v>8</v>
      </c>
      <c r="F71" t="s">
        <v>18</v>
      </c>
      <c r="G71" t="s">
        <v>19</v>
      </c>
    </row>
    <row r="72" spans="1:7" x14ac:dyDescent="0.25">
      <c r="A72" t="s">
        <v>98</v>
      </c>
      <c r="B72">
        <v>1301</v>
      </c>
      <c r="C72">
        <v>573</v>
      </c>
      <c r="D72">
        <v>5</v>
      </c>
      <c r="E72" t="s">
        <v>8</v>
      </c>
      <c r="F72" t="s">
        <v>73</v>
      </c>
      <c r="G72" t="s">
        <v>19</v>
      </c>
    </row>
    <row r="73" spans="1:7" x14ac:dyDescent="0.25">
      <c r="A73" t="s">
        <v>99</v>
      </c>
      <c r="B73">
        <v>1300</v>
      </c>
      <c r="C73">
        <v>-16</v>
      </c>
      <c r="D73">
        <v>8</v>
      </c>
      <c r="E73" t="s">
        <v>8</v>
      </c>
      <c r="F73" t="s">
        <v>18</v>
      </c>
      <c r="G73" t="s">
        <v>19</v>
      </c>
    </row>
    <row r="74" spans="1:7" x14ac:dyDescent="0.25">
      <c r="A74" t="s">
        <v>100</v>
      </c>
      <c r="B74">
        <v>11</v>
      </c>
      <c r="C74">
        <v>-2</v>
      </c>
      <c r="D74">
        <v>4</v>
      </c>
      <c r="E74" t="s">
        <v>23</v>
      </c>
      <c r="F74" t="s">
        <v>30</v>
      </c>
      <c r="G74" t="s">
        <v>10</v>
      </c>
    </row>
    <row r="75" spans="1:7" x14ac:dyDescent="0.25">
      <c r="A75" t="s">
        <v>101</v>
      </c>
      <c r="B75">
        <v>1298</v>
      </c>
      <c r="C75">
        <v>65</v>
      </c>
      <c r="D75">
        <v>9</v>
      </c>
      <c r="E75" t="s">
        <v>8</v>
      </c>
      <c r="F75" t="s">
        <v>18</v>
      </c>
      <c r="G75" t="s">
        <v>14</v>
      </c>
    </row>
    <row r="76" spans="1:7" x14ac:dyDescent="0.25">
      <c r="A76" t="s">
        <v>102</v>
      </c>
      <c r="B76">
        <v>304</v>
      </c>
      <c r="C76">
        <v>97</v>
      </c>
      <c r="D76">
        <v>6</v>
      </c>
      <c r="E76" t="s">
        <v>23</v>
      </c>
      <c r="F76" t="s">
        <v>57</v>
      </c>
      <c r="G76" t="s">
        <v>28</v>
      </c>
    </row>
    <row r="77" spans="1:7" x14ac:dyDescent="0.25">
      <c r="A77" t="s">
        <v>103</v>
      </c>
      <c r="B77">
        <v>1055</v>
      </c>
      <c r="C77">
        <v>264</v>
      </c>
      <c r="D77">
        <v>4</v>
      </c>
      <c r="E77" t="s">
        <v>8</v>
      </c>
      <c r="F77" t="s">
        <v>18</v>
      </c>
      <c r="G77" t="s">
        <v>14</v>
      </c>
    </row>
    <row r="78" spans="1:7" x14ac:dyDescent="0.25">
      <c r="A78" t="s">
        <v>104</v>
      </c>
      <c r="B78">
        <v>17</v>
      </c>
      <c r="C78">
        <v>-13</v>
      </c>
      <c r="D78">
        <v>4</v>
      </c>
      <c r="E78" t="s">
        <v>23</v>
      </c>
      <c r="F78" t="s">
        <v>43</v>
      </c>
      <c r="G78" t="s">
        <v>82</v>
      </c>
    </row>
    <row r="79" spans="1:7" x14ac:dyDescent="0.25">
      <c r="A79" t="s">
        <v>105</v>
      </c>
      <c r="B79">
        <v>147</v>
      </c>
      <c r="C79">
        <v>73</v>
      </c>
      <c r="D79">
        <v>3</v>
      </c>
      <c r="E79" t="s">
        <v>23</v>
      </c>
      <c r="F79" t="s">
        <v>57</v>
      </c>
      <c r="G79" t="s">
        <v>10</v>
      </c>
    </row>
    <row r="80" spans="1:7" x14ac:dyDescent="0.25">
      <c r="A80" t="s">
        <v>106</v>
      </c>
      <c r="B80">
        <v>965</v>
      </c>
      <c r="C80">
        <v>-68</v>
      </c>
      <c r="D80">
        <v>3</v>
      </c>
      <c r="E80" t="s">
        <v>8</v>
      </c>
      <c r="F80" t="s">
        <v>18</v>
      </c>
      <c r="G80" t="s">
        <v>10</v>
      </c>
    </row>
    <row r="81" spans="1:7" x14ac:dyDescent="0.25">
      <c r="A81" t="s">
        <v>42</v>
      </c>
      <c r="B81">
        <v>12</v>
      </c>
      <c r="C81">
        <v>-2</v>
      </c>
      <c r="D81">
        <v>3</v>
      </c>
      <c r="E81" t="s">
        <v>23</v>
      </c>
      <c r="F81" t="s">
        <v>30</v>
      </c>
      <c r="G81" t="s">
        <v>10</v>
      </c>
    </row>
    <row r="82" spans="1:7" x14ac:dyDescent="0.25">
      <c r="A82" t="s">
        <v>107</v>
      </c>
      <c r="B82">
        <v>14</v>
      </c>
      <c r="C82">
        <v>-2</v>
      </c>
      <c r="D82">
        <v>3</v>
      </c>
      <c r="E82" t="s">
        <v>23</v>
      </c>
      <c r="F82" t="s">
        <v>30</v>
      </c>
      <c r="G82" t="s">
        <v>28</v>
      </c>
    </row>
    <row r="83" spans="1:7" x14ac:dyDescent="0.25">
      <c r="A83" t="s">
        <v>108</v>
      </c>
      <c r="B83">
        <v>934</v>
      </c>
      <c r="C83">
        <v>-916</v>
      </c>
      <c r="D83">
        <v>7</v>
      </c>
      <c r="E83" t="s">
        <v>8</v>
      </c>
      <c r="F83" t="s">
        <v>9</v>
      </c>
      <c r="G83" t="s">
        <v>10</v>
      </c>
    </row>
    <row r="84" spans="1:7" x14ac:dyDescent="0.25">
      <c r="A84" t="s">
        <v>109</v>
      </c>
      <c r="B84">
        <v>929</v>
      </c>
      <c r="C84">
        <v>-93</v>
      </c>
      <c r="D84">
        <v>9</v>
      </c>
      <c r="E84" t="s">
        <v>23</v>
      </c>
      <c r="F84" t="s">
        <v>26</v>
      </c>
      <c r="G84" t="s">
        <v>10</v>
      </c>
    </row>
    <row r="85" spans="1:7" x14ac:dyDescent="0.25">
      <c r="A85" t="s">
        <v>110</v>
      </c>
      <c r="B85">
        <v>18</v>
      </c>
      <c r="C85">
        <v>3</v>
      </c>
      <c r="D85">
        <v>2</v>
      </c>
      <c r="E85" t="s">
        <v>23</v>
      </c>
      <c r="F85" t="s">
        <v>30</v>
      </c>
      <c r="G85" t="s">
        <v>82</v>
      </c>
    </row>
    <row r="86" spans="1:7" x14ac:dyDescent="0.25">
      <c r="A86" t="s">
        <v>111</v>
      </c>
      <c r="B86">
        <v>916</v>
      </c>
      <c r="C86">
        <v>192</v>
      </c>
      <c r="D86">
        <v>11</v>
      </c>
      <c r="E86" t="s">
        <v>8</v>
      </c>
      <c r="F86" t="s">
        <v>21</v>
      </c>
      <c r="G86" t="s">
        <v>10</v>
      </c>
    </row>
    <row r="87" spans="1:7" x14ac:dyDescent="0.25">
      <c r="A87" t="s">
        <v>112</v>
      </c>
      <c r="B87">
        <v>76</v>
      </c>
      <c r="C87">
        <v>-72</v>
      </c>
      <c r="D87">
        <v>9</v>
      </c>
      <c r="E87" t="s">
        <v>23</v>
      </c>
      <c r="F87" t="s">
        <v>30</v>
      </c>
      <c r="G87" t="s">
        <v>10</v>
      </c>
    </row>
    <row r="88" spans="1:7" x14ac:dyDescent="0.25">
      <c r="A88" t="s">
        <v>113</v>
      </c>
      <c r="B88">
        <v>869</v>
      </c>
      <c r="C88">
        <v>67</v>
      </c>
      <c r="D88">
        <v>4</v>
      </c>
      <c r="E88" t="s">
        <v>12</v>
      </c>
      <c r="F88" t="s">
        <v>45</v>
      </c>
      <c r="G88" t="s">
        <v>10</v>
      </c>
    </row>
    <row r="89" spans="1:7" x14ac:dyDescent="0.25">
      <c r="A89" t="s">
        <v>114</v>
      </c>
      <c r="B89">
        <v>112</v>
      </c>
      <c r="C89">
        <v>24</v>
      </c>
      <c r="D89">
        <v>3</v>
      </c>
      <c r="E89" t="s">
        <v>23</v>
      </c>
      <c r="F89" t="s">
        <v>32</v>
      </c>
      <c r="G89" t="s">
        <v>10</v>
      </c>
    </row>
    <row r="90" spans="1:7" x14ac:dyDescent="0.25">
      <c r="A90" t="s">
        <v>41</v>
      </c>
      <c r="B90">
        <v>39</v>
      </c>
      <c r="C90">
        <v>16</v>
      </c>
      <c r="D90">
        <v>6</v>
      </c>
      <c r="E90" t="s">
        <v>23</v>
      </c>
      <c r="F90" t="s">
        <v>43</v>
      </c>
      <c r="G90" t="s">
        <v>28</v>
      </c>
    </row>
    <row r="91" spans="1:7" x14ac:dyDescent="0.25">
      <c r="A91" t="s">
        <v>115</v>
      </c>
      <c r="B91">
        <v>857</v>
      </c>
      <c r="C91">
        <v>-274</v>
      </c>
      <c r="D91">
        <v>2</v>
      </c>
      <c r="E91" t="s">
        <v>12</v>
      </c>
      <c r="F91" t="s">
        <v>45</v>
      </c>
      <c r="G91" t="s">
        <v>10</v>
      </c>
    </row>
    <row r="92" spans="1:7" x14ac:dyDescent="0.25">
      <c r="A92" t="s">
        <v>116</v>
      </c>
      <c r="B92">
        <v>828</v>
      </c>
      <c r="C92">
        <v>230</v>
      </c>
      <c r="D92">
        <v>2</v>
      </c>
      <c r="E92" t="s">
        <v>12</v>
      </c>
      <c r="F92" t="s">
        <v>13</v>
      </c>
      <c r="G92" t="s">
        <v>10</v>
      </c>
    </row>
    <row r="93" spans="1:7" x14ac:dyDescent="0.25">
      <c r="A93" t="s">
        <v>117</v>
      </c>
      <c r="B93">
        <v>1279</v>
      </c>
      <c r="C93">
        <v>-640</v>
      </c>
      <c r="D93">
        <v>8</v>
      </c>
      <c r="E93" t="s">
        <v>8</v>
      </c>
      <c r="F93" t="s">
        <v>18</v>
      </c>
      <c r="G93" t="s">
        <v>14</v>
      </c>
    </row>
    <row r="94" spans="1:7" x14ac:dyDescent="0.25">
      <c r="A94" t="s">
        <v>118</v>
      </c>
      <c r="B94">
        <v>1250</v>
      </c>
      <c r="C94">
        <v>486</v>
      </c>
      <c r="D94">
        <v>7</v>
      </c>
      <c r="E94" t="s">
        <v>23</v>
      </c>
      <c r="F94" t="s">
        <v>26</v>
      </c>
      <c r="G94" t="s">
        <v>14</v>
      </c>
    </row>
    <row r="95" spans="1:7" x14ac:dyDescent="0.25">
      <c r="A95" t="s">
        <v>119</v>
      </c>
      <c r="B95">
        <v>823</v>
      </c>
      <c r="C95">
        <v>-18</v>
      </c>
      <c r="D95">
        <v>7</v>
      </c>
      <c r="E95" t="s">
        <v>12</v>
      </c>
      <c r="F95" t="s">
        <v>13</v>
      </c>
      <c r="G95" t="s">
        <v>10</v>
      </c>
    </row>
    <row r="96" spans="1:7" x14ac:dyDescent="0.25">
      <c r="A96" t="s">
        <v>105</v>
      </c>
      <c r="B96">
        <v>1157</v>
      </c>
      <c r="C96">
        <v>-13</v>
      </c>
      <c r="D96">
        <v>9</v>
      </c>
      <c r="E96" t="s">
        <v>12</v>
      </c>
      <c r="F96" t="s">
        <v>16</v>
      </c>
      <c r="G96" t="s">
        <v>19</v>
      </c>
    </row>
    <row r="97" spans="1:7" x14ac:dyDescent="0.25">
      <c r="A97" t="s">
        <v>120</v>
      </c>
      <c r="B97">
        <v>126</v>
      </c>
      <c r="C97">
        <v>-63</v>
      </c>
      <c r="D97">
        <v>3</v>
      </c>
      <c r="E97" t="s">
        <v>8</v>
      </c>
      <c r="F97" t="s">
        <v>73</v>
      </c>
      <c r="G97" t="s">
        <v>28</v>
      </c>
    </row>
    <row r="98" spans="1:7" x14ac:dyDescent="0.25">
      <c r="A98" t="s">
        <v>121</v>
      </c>
      <c r="B98">
        <v>1145</v>
      </c>
      <c r="C98">
        <v>-706</v>
      </c>
      <c r="D98">
        <v>3</v>
      </c>
      <c r="E98" t="s">
        <v>8</v>
      </c>
      <c r="F98" t="s">
        <v>21</v>
      </c>
      <c r="G98" t="s">
        <v>19</v>
      </c>
    </row>
    <row r="99" spans="1:7" x14ac:dyDescent="0.25">
      <c r="A99" t="s">
        <v>122</v>
      </c>
      <c r="B99">
        <v>774</v>
      </c>
      <c r="C99">
        <v>170</v>
      </c>
      <c r="D99">
        <v>3</v>
      </c>
      <c r="E99" t="s">
        <v>8</v>
      </c>
      <c r="F99" t="s">
        <v>73</v>
      </c>
      <c r="G99" t="s">
        <v>10</v>
      </c>
    </row>
    <row r="100" spans="1:7" x14ac:dyDescent="0.25">
      <c r="A100" t="s">
        <v>123</v>
      </c>
      <c r="B100">
        <v>24</v>
      </c>
      <c r="C100">
        <v>-1</v>
      </c>
      <c r="D100">
        <v>2</v>
      </c>
      <c r="E100" t="s">
        <v>23</v>
      </c>
      <c r="F100" t="s">
        <v>30</v>
      </c>
      <c r="G100" t="s">
        <v>10</v>
      </c>
    </row>
    <row r="101" spans="1:7" x14ac:dyDescent="0.25">
      <c r="A101" t="s">
        <v>124</v>
      </c>
      <c r="B101">
        <v>774</v>
      </c>
      <c r="C101">
        <v>170</v>
      </c>
      <c r="D101">
        <v>3</v>
      </c>
      <c r="E101" t="s">
        <v>8</v>
      </c>
      <c r="F101" t="s">
        <v>73</v>
      </c>
      <c r="G101" t="s">
        <v>10</v>
      </c>
    </row>
    <row r="102" spans="1:7" x14ac:dyDescent="0.25">
      <c r="A102" t="s">
        <v>111</v>
      </c>
      <c r="B102">
        <v>93</v>
      </c>
      <c r="C102">
        <v>-1</v>
      </c>
      <c r="D102">
        <v>2</v>
      </c>
      <c r="E102" t="s">
        <v>23</v>
      </c>
      <c r="F102" t="s">
        <v>30</v>
      </c>
      <c r="G102" t="s">
        <v>10</v>
      </c>
    </row>
    <row r="103" spans="1:7" x14ac:dyDescent="0.25">
      <c r="A103" t="s">
        <v>125</v>
      </c>
      <c r="B103">
        <v>765</v>
      </c>
      <c r="C103">
        <v>-36</v>
      </c>
      <c r="D103">
        <v>3</v>
      </c>
      <c r="E103" t="s">
        <v>8</v>
      </c>
      <c r="F103" t="s">
        <v>9</v>
      </c>
      <c r="G103" t="s">
        <v>10</v>
      </c>
    </row>
    <row r="104" spans="1:7" x14ac:dyDescent="0.25">
      <c r="A104" t="s">
        <v>126</v>
      </c>
      <c r="B104">
        <v>762</v>
      </c>
      <c r="C104">
        <v>101</v>
      </c>
      <c r="D104">
        <v>6</v>
      </c>
      <c r="E104" t="s">
        <v>8</v>
      </c>
      <c r="F104" t="s">
        <v>18</v>
      </c>
      <c r="G104" t="s">
        <v>10</v>
      </c>
    </row>
    <row r="105" spans="1:7" x14ac:dyDescent="0.25">
      <c r="A105" t="s">
        <v>127</v>
      </c>
      <c r="B105">
        <v>761</v>
      </c>
      <c r="C105">
        <v>266</v>
      </c>
      <c r="D105">
        <v>9</v>
      </c>
      <c r="E105" t="s">
        <v>8</v>
      </c>
      <c r="F105" t="s">
        <v>9</v>
      </c>
      <c r="G105" t="s">
        <v>10</v>
      </c>
    </row>
    <row r="106" spans="1:7" x14ac:dyDescent="0.25">
      <c r="A106" t="s">
        <v>128</v>
      </c>
      <c r="B106">
        <v>96</v>
      </c>
      <c r="C106">
        <v>-48</v>
      </c>
      <c r="D106">
        <v>5</v>
      </c>
      <c r="E106" t="s">
        <v>23</v>
      </c>
      <c r="F106" t="s">
        <v>63</v>
      </c>
      <c r="G106" t="s">
        <v>28</v>
      </c>
    </row>
    <row r="107" spans="1:7" x14ac:dyDescent="0.25">
      <c r="A107" t="s">
        <v>129</v>
      </c>
      <c r="B107">
        <v>1137</v>
      </c>
      <c r="C107">
        <v>-14</v>
      </c>
      <c r="D107">
        <v>7</v>
      </c>
      <c r="E107" t="s">
        <v>8</v>
      </c>
      <c r="F107" t="s">
        <v>18</v>
      </c>
      <c r="G107" t="s">
        <v>14</v>
      </c>
    </row>
    <row r="108" spans="1:7" x14ac:dyDescent="0.25">
      <c r="A108" t="s">
        <v>121</v>
      </c>
      <c r="B108">
        <v>18</v>
      </c>
      <c r="C108">
        <v>8</v>
      </c>
      <c r="D108">
        <v>2</v>
      </c>
      <c r="E108" t="s">
        <v>23</v>
      </c>
      <c r="F108" t="s">
        <v>30</v>
      </c>
      <c r="G108" t="s">
        <v>82</v>
      </c>
    </row>
    <row r="109" spans="1:7" x14ac:dyDescent="0.25">
      <c r="A109" t="s">
        <v>130</v>
      </c>
      <c r="B109">
        <v>749</v>
      </c>
      <c r="C109">
        <v>-307</v>
      </c>
      <c r="D109">
        <v>7</v>
      </c>
      <c r="E109" t="s">
        <v>12</v>
      </c>
      <c r="F109" t="s">
        <v>131</v>
      </c>
      <c r="G109" t="s">
        <v>10</v>
      </c>
    </row>
    <row r="110" spans="1:7" x14ac:dyDescent="0.25">
      <c r="A110" t="s">
        <v>129</v>
      </c>
      <c r="B110">
        <v>1120</v>
      </c>
      <c r="C110">
        <v>199</v>
      </c>
      <c r="D110">
        <v>6</v>
      </c>
      <c r="E110" t="s">
        <v>23</v>
      </c>
      <c r="F110" t="s">
        <v>26</v>
      </c>
      <c r="G110" t="s">
        <v>14</v>
      </c>
    </row>
    <row r="111" spans="1:7" x14ac:dyDescent="0.25">
      <c r="A111" t="s">
        <v>132</v>
      </c>
      <c r="B111">
        <v>744</v>
      </c>
      <c r="C111">
        <v>119</v>
      </c>
      <c r="D111">
        <v>6</v>
      </c>
      <c r="E111" t="s">
        <v>8</v>
      </c>
      <c r="F111" t="s">
        <v>18</v>
      </c>
      <c r="G111" t="s">
        <v>10</v>
      </c>
    </row>
    <row r="112" spans="1:7" x14ac:dyDescent="0.25">
      <c r="A112" t="s">
        <v>133</v>
      </c>
      <c r="B112">
        <v>14</v>
      </c>
      <c r="C112">
        <v>0</v>
      </c>
      <c r="D112">
        <v>4</v>
      </c>
      <c r="E112" t="s">
        <v>23</v>
      </c>
      <c r="F112" t="s">
        <v>30</v>
      </c>
      <c r="G112" t="s">
        <v>28</v>
      </c>
    </row>
    <row r="113" spans="1:7" x14ac:dyDescent="0.25">
      <c r="A113" t="s">
        <v>134</v>
      </c>
      <c r="B113">
        <v>19</v>
      </c>
      <c r="C113">
        <v>8</v>
      </c>
      <c r="D113">
        <v>2</v>
      </c>
      <c r="E113" t="s">
        <v>23</v>
      </c>
      <c r="F113" t="s">
        <v>30</v>
      </c>
      <c r="G113" t="s">
        <v>82</v>
      </c>
    </row>
    <row r="114" spans="1:7" x14ac:dyDescent="0.25">
      <c r="A114" t="s">
        <v>135</v>
      </c>
      <c r="B114">
        <v>512</v>
      </c>
      <c r="C114">
        <v>-225</v>
      </c>
      <c r="D114">
        <v>5</v>
      </c>
      <c r="E114" t="s">
        <v>23</v>
      </c>
      <c r="F114" t="s">
        <v>26</v>
      </c>
      <c r="G114" t="s">
        <v>10</v>
      </c>
    </row>
    <row r="115" spans="1:7" x14ac:dyDescent="0.25">
      <c r="A115" t="s">
        <v>136</v>
      </c>
      <c r="B115">
        <v>742</v>
      </c>
      <c r="C115">
        <v>198</v>
      </c>
      <c r="D115">
        <v>2</v>
      </c>
      <c r="E115" t="s">
        <v>12</v>
      </c>
      <c r="F115" t="s">
        <v>16</v>
      </c>
      <c r="G115" t="s">
        <v>10</v>
      </c>
    </row>
    <row r="116" spans="1:7" x14ac:dyDescent="0.25">
      <c r="A116" t="s">
        <v>137</v>
      </c>
      <c r="B116">
        <v>44</v>
      </c>
      <c r="C116">
        <v>-40</v>
      </c>
      <c r="D116">
        <v>3</v>
      </c>
      <c r="E116" t="s">
        <v>23</v>
      </c>
      <c r="F116" t="s">
        <v>57</v>
      </c>
      <c r="G116" t="s">
        <v>10</v>
      </c>
    </row>
    <row r="117" spans="1:7" x14ac:dyDescent="0.25">
      <c r="A117" t="s">
        <v>29</v>
      </c>
      <c r="B117">
        <v>1061</v>
      </c>
      <c r="C117">
        <v>-36</v>
      </c>
      <c r="D117">
        <v>8</v>
      </c>
      <c r="E117" t="s">
        <v>12</v>
      </c>
      <c r="F117" t="s">
        <v>16</v>
      </c>
      <c r="G117" t="s">
        <v>14</v>
      </c>
    </row>
    <row r="118" spans="1:7" x14ac:dyDescent="0.25">
      <c r="A118" t="s">
        <v>138</v>
      </c>
      <c r="B118">
        <v>19</v>
      </c>
      <c r="C118">
        <v>-2</v>
      </c>
      <c r="D118">
        <v>2</v>
      </c>
      <c r="E118" t="s">
        <v>23</v>
      </c>
      <c r="F118" t="s">
        <v>63</v>
      </c>
      <c r="G118" t="s">
        <v>82</v>
      </c>
    </row>
    <row r="119" spans="1:7" x14ac:dyDescent="0.25">
      <c r="A119" t="s">
        <v>139</v>
      </c>
      <c r="B119">
        <v>17</v>
      </c>
      <c r="C119">
        <v>0</v>
      </c>
      <c r="D119">
        <v>1</v>
      </c>
      <c r="E119" t="s">
        <v>23</v>
      </c>
      <c r="F119" t="s">
        <v>30</v>
      </c>
      <c r="G119" t="s">
        <v>10</v>
      </c>
    </row>
    <row r="120" spans="1:7" x14ac:dyDescent="0.25">
      <c r="A120" t="s">
        <v>140</v>
      </c>
      <c r="B120">
        <v>741</v>
      </c>
      <c r="C120">
        <v>267</v>
      </c>
      <c r="D120">
        <v>5</v>
      </c>
      <c r="E120" t="s">
        <v>12</v>
      </c>
      <c r="F120" t="s">
        <v>16</v>
      </c>
      <c r="G120" t="s">
        <v>10</v>
      </c>
    </row>
    <row r="121" spans="1:7" x14ac:dyDescent="0.25">
      <c r="A121" t="s">
        <v>127</v>
      </c>
      <c r="B121">
        <v>735</v>
      </c>
      <c r="C121">
        <v>-235</v>
      </c>
      <c r="D121">
        <v>6</v>
      </c>
      <c r="E121" t="s">
        <v>8</v>
      </c>
      <c r="F121" t="s">
        <v>18</v>
      </c>
      <c r="G121" t="s">
        <v>10</v>
      </c>
    </row>
    <row r="122" spans="1:7" x14ac:dyDescent="0.25">
      <c r="A122" t="s">
        <v>141</v>
      </c>
      <c r="B122">
        <v>19</v>
      </c>
      <c r="C122">
        <v>-1</v>
      </c>
      <c r="D122">
        <v>1</v>
      </c>
      <c r="E122" t="s">
        <v>23</v>
      </c>
      <c r="F122" t="s">
        <v>142</v>
      </c>
      <c r="G122" t="s">
        <v>82</v>
      </c>
    </row>
    <row r="123" spans="1:7" x14ac:dyDescent="0.25">
      <c r="A123" t="s">
        <v>143</v>
      </c>
      <c r="B123">
        <v>1021</v>
      </c>
      <c r="C123">
        <v>-48</v>
      </c>
      <c r="D123">
        <v>4</v>
      </c>
      <c r="E123" t="s">
        <v>8</v>
      </c>
      <c r="F123" t="s">
        <v>9</v>
      </c>
      <c r="G123" t="s">
        <v>14</v>
      </c>
    </row>
    <row r="124" spans="1:7" x14ac:dyDescent="0.25">
      <c r="A124" t="s">
        <v>144</v>
      </c>
      <c r="B124">
        <v>556</v>
      </c>
      <c r="C124">
        <v>-209</v>
      </c>
      <c r="D124">
        <v>7</v>
      </c>
      <c r="E124" t="s">
        <v>23</v>
      </c>
      <c r="F124" t="s">
        <v>26</v>
      </c>
      <c r="G124" t="s">
        <v>10</v>
      </c>
    </row>
    <row r="125" spans="1:7" x14ac:dyDescent="0.25">
      <c r="A125" t="s">
        <v>145</v>
      </c>
      <c r="B125">
        <v>63</v>
      </c>
      <c r="C125">
        <v>-17</v>
      </c>
      <c r="D125">
        <v>6</v>
      </c>
      <c r="E125" t="s">
        <v>23</v>
      </c>
      <c r="F125" t="s">
        <v>63</v>
      </c>
      <c r="G125" t="s">
        <v>10</v>
      </c>
    </row>
    <row r="126" spans="1:7" x14ac:dyDescent="0.25">
      <c r="A126" t="s">
        <v>146</v>
      </c>
      <c r="B126">
        <v>734</v>
      </c>
      <c r="C126">
        <v>248</v>
      </c>
      <c r="D126">
        <v>2</v>
      </c>
      <c r="E126" t="s">
        <v>12</v>
      </c>
      <c r="F126" t="s">
        <v>13</v>
      </c>
      <c r="G126" t="s">
        <v>10</v>
      </c>
    </row>
    <row r="127" spans="1:7" x14ac:dyDescent="0.25">
      <c r="A127" t="s">
        <v>52</v>
      </c>
      <c r="B127">
        <v>933</v>
      </c>
      <c r="C127">
        <v>166</v>
      </c>
      <c r="D127">
        <v>5</v>
      </c>
      <c r="E127" t="s">
        <v>23</v>
      </c>
      <c r="F127" t="s">
        <v>26</v>
      </c>
      <c r="G127" t="s">
        <v>19</v>
      </c>
    </row>
    <row r="128" spans="1:7" x14ac:dyDescent="0.25">
      <c r="A128" t="s">
        <v>147</v>
      </c>
      <c r="B128">
        <v>20</v>
      </c>
      <c r="C128">
        <v>-9</v>
      </c>
      <c r="D128">
        <v>6</v>
      </c>
      <c r="E128" t="s">
        <v>23</v>
      </c>
      <c r="F128" t="s">
        <v>30</v>
      </c>
      <c r="G128" t="s">
        <v>82</v>
      </c>
    </row>
    <row r="129" spans="1:7" x14ac:dyDescent="0.25">
      <c r="A129" t="s">
        <v>148</v>
      </c>
      <c r="B129">
        <v>877</v>
      </c>
      <c r="C129">
        <v>395</v>
      </c>
      <c r="D129">
        <v>2</v>
      </c>
      <c r="E129" t="s">
        <v>12</v>
      </c>
      <c r="F129" t="s">
        <v>16</v>
      </c>
      <c r="G129" t="s">
        <v>19</v>
      </c>
    </row>
    <row r="130" spans="1:7" x14ac:dyDescent="0.25">
      <c r="A130" t="s">
        <v>140</v>
      </c>
      <c r="B130">
        <v>719</v>
      </c>
      <c r="C130">
        <v>303</v>
      </c>
      <c r="D130">
        <v>6</v>
      </c>
      <c r="E130" t="s">
        <v>12</v>
      </c>
      <c r="F130" t="s">
        <v>13</v>
      </c>
      <c r="G130" t="s">
        <v>10</v>
      </c>
    </row>
    <row r="131" spans="1:7" x14ac:dyDescent="0.25">
      <c r="A131" t="s">
        <v>149</v>
      </c>
      <c r="B131">
        <v>12</v>
      </c>
      <c r="C131">
        <v>1</v>
      </c>
      <c r="D131">
        <v>2</v>
      </c>
      <c r="E131" t="s">
        <v>23</v>
      </c>
      <c r="F131" t="s">
        <v>30</v>
      </c>
      <c r="G131" t="s">
        <v>10</v>
      </c>
    </row>
    <row r="132" spans="1:7" x14ac:dyDescent="0.25">
      <c r="A132" t="s">
        <v>150</v>
      </c>
      <c r="B132">
        <v>714</v>
      </c>
      <c r="C132">
        <v>56</v>
      </c>
      <c r="D132">
        <v>4</v>
      </c>
      <c r="E132" t="s">
        <v>23</v>
      </c>
      <c r="F132" t="s">
        <v>26</v>
      </c>
      <c r="G132" t="s">
        <v>10</v>
      </c>
    </row>
    <row r="133" spans="1:7" x14ac:dyDescent="0.25">
      <c r="A133" t="s">
        <v>151</v>
      </c>
      <c r="B133">
        <v>50</v>
      </c>
      <c r="C133">
        <v>-15</v>
      </c>
      <c r="D133">
        <v>4</v>
      </c>
      <c r="E133" t="s">
        <v>23</v>
      </c>
      <c r="F133" t="s">
        <v>63</v>
      </c>
      <c r="G133" t="s">
        <v>10</v>
      </c>
    </row>
    <row r="134" spans="1:7" x14ac:dyDescent="0.25">
      <c r="A134" t="s">
        <v>152</v>
      </c>
      <c r="B134">
        <v>709</v>
      </c>
      <c r="C134">
        <v>-100</v>
      </c>
      <c r="D134">
        <v>5</v>
      </c>
      <c r="E134" t="s">
        <v>8</v>
      </c>
      <c r="F134" t="s">
        <v>21</v>
      </c>
      <c r="G134" t="s">
        <v>10</v>
      </c>
    </row>
    <row r="135" spans="1:7" x14ac:dyDescent="0.25">
      <c r="A135" t="s">
        <v>153</v>
      </c>
      <c r="B135">
        <v>21</v>
      </c>
      <c r="C135">
        <v>-12</v>
      </c>
      <c r="D135">
        <v>3</v>
      </c>
      <c r="E135" t="s">
        <v>23</v>
      </c>
      <c r="F135" t="s">
        <v>30</v>
      </c>
      <c r="G135" t="s">
        <v>82</v>
      </c>
    </row>
    <row r="136" spans="1:7" x14ac:dyDescent="0.25">
      <c r="A136" t="s">
        <v>154</v>
      </c>
      <c r="B136">
        <v>693</v>
      </c>
      <c r="C136">
        <v>254</v>
      </c>
      <c r="D136">
        <v>6</v>
      </c>
      <c r="E136" t="s">
        <v>23</v>
      </c>
      <c r="F136" t="s">
        <v>26</v>
      </c>
      <c r="G136" t="s">
        <v>10</v>
      </c>
    </row>
    <row r="137" spans="1:7" x14ac:dyDescent="0.25">
      <c r="A137" t="s">
        <v>111</v>
      </c>
      <c r="B137">
        <v>24</v>
      </c>
      <c r="C137">
        <v>1</v>
      </c>
      <c r="D137">
        <v>4</v>
      </c>
      <c r="E137" t="s">
        <v>23</v>
      </c>
      <c r="F137" t="s">
        <v>30</v>
      </c>
      <c r="G137" t="s">
        <v>10</v>
      </c>
    </row>
    <row r="138" spans="1:7" x14ac:dyDescent="0.25">
      <c r="A138" t="s">
        <v>155</v>
      </c>
      <c r="B138">
        <v>24</v>
      </c>
      <c r="C138">
        <v>1</v>
      </c>
      <c r="D138">
        <v>2</v>
      </c>
      <c r="E138" t="s">
        <v>23</v>
      </c>
      <c r="F138" t="s">
        <v>30</v>
      </c>
      <c r="G138" t="s">
        <v>28</v>
      </c>
    </row>
    <row r="139" spans="1:7" x14ac:dyDescent="0.25">
      <c r="A139" t="s">
        <v>113</v>
      </c>
      <c r="B139">
        <v>24</v>
      </c>
      <c r="C139">
        <v>1</v>
      </c>
      <c r="D139">
        <v>2</v>
      </c>
      <c r="E139" t="s">
        <v>23</v>
      </c>
      <c r="F139" t="s">
        <v>30</v>
      </c>
      <c r="G139" t="s">
        <v>10</v>
      </c>
    </row>
    <row r="140" spans="1:7" x14ac:dyDescent="0.25">
      <c r="A140" t="s">
        <v>156</v>
      </c>
      <c r="B140">
        <v>21</v>
      </c>
      <c r="C140">
        <v>10</v>
      </c>
      <c r="D140">
        <v>1</v>
      </c>
      <c r="E140" t="s">
        <v>23</v>
      </c>
      <c r="F140" t="s">
        <v>81</v>
      </c>
      <c r="G140" t="s">
        <v>82</v>
      </c>
    </row>
    <row r="141" spans="1:7" x14ac:dyDescent="0.25">
      <c r="A141" t="s">
        <v>157</v>
      </c>
      <c r="B141">
        <v>681</v>
      </c>
      <c r="C141">
        <v>259</v>
      </c>
      <c r="D141">
        <v>4</v>
      </c>
      <c r="E141" t="s">
        <v>12</v>
      </c>
      <c r="F141" t="s">
        <v>13</v>
      </c>
      <c r="G141" t="s">
        <v>10</v>
      </c>
    </row>
    <row r="142" spans="1:7" x14ac:dyDescent="0.25">
      <c r="A142" t="s">
        <v>158</v>
      </c>
      <c r="B142">
        <v>674</v>
      </c>
      <c r="C142">
        <v>-187</v>
      </c>
      <c r="D142">
        <v>2</v>
      </c>
      <c r="E142" t="s">
        <v>12</v>
      </c>
      <c r="F142" t="s">
        <v>45</v>
      </c>
      <c r="G142" t="s">
        <v>10</v>
      </c>
    </row>
    <row r="143" spans="1:7" x14ac:dyDescent="0.25">
      <c r="A143" t="s">
        <v>61</v>
      </c>
      <c r="B143">
        <v>671</v>
      </c>
      <c r="C143">
        <v>-309</v>
      </c>
      <c r="D143">
        <v>5</v>
      </c>
      <c r="E143" t="s">
        <v>8</v>
      </c>
      <c r="F143" t="s">
        <v>9</v>
      </c>
      <c r="G143" t="s">
        <v>10</v>
      </c>
    </row>
    <row r="144" spans="1:7" x14ac:dyDescent="0.25">
      <c r="A144" t="s">
        <v>159</v>
      </c>
      <c r="B144">
        <v>646</v>
      </c>
      <c r="C144">
        <v>-213</v>
      </c>
      <c r="D144">
        <v>3</v>
      </c>
      <c r="E144" t="s">
        <v>8</v>
      </c>
      <c r="F144" t="s">
        <v>9</v>
      </c>
      <c r="G144" t="s">
        <v>10</v>
      </c>
    </row>
    <row r="145" spans="1:7" x14ac:dyDescent="0.25">
      <c r="A145" t="s">
        <v>160</v>
      </c>
      <c r="B145">
        <v>40</v>
      </c>
      <c r="C145">
        <v>15</v>
      </c>
      <c r="D145">
        <v>1</v>
      </c>
      <c r="E145" t="s">
        <v>23</v>
      </c>
      <c r="F145" t="s">
        <v>32</v>
      </c>
      <c r="G145" t="s">
        <v>10</v>
      </c>
    </row>
    <row r="146" spans="1:7" x14ac:dyDescent="0.25">
      <c r="A146" t="s">
        <v>161</v>
      </c>
      <c r="B146">
        <v>24</v>
      </c>
      <c r="C146">
        <v>-2</v>
      </c>
      <c r="D146">
        <v>2</v>
      </c>
      <c r="E146" t="s">
        <v>23</v>
      </c>
      <c r="F146" t="s">
        <v>81</v>
      </c>
      <c r="G146" t="s">
        <v>10</v>
      </c>
    </row>
    <row r="147" spans="1:7" x14ac:dyDescent="0.25">
      <c r="A147" t="s">
        <v>46</v>
      </c>
      <c r="B147">
        <v>644</v>
      </c>
      <c r="C147">
        <v>167</v>
      </c>
      <c r="D147">
        <v>2</v>
      </c>
      <c r="E147" t="s">
        <v>8</v>
      </c>
      <c r="F147" t="s">
        <v>18</v>
      </c>
      <c r="G147" t="s">
        <v>10</v>
      </c>
    </row>
    <row r="148" spans="1:7" x14ac:dyDescent="0.25">
      <c r="A148" t="s">
        <v>162</v>
      </c>
      <c r="B148">
        <v>643</v>
      </c>
      <c r="C148">
        <v>225</v>
      </c>
      <c r="D148">
        <v>2</v>
      </c>
      <c r="E148" t="s">
        <v>8</v>
      </c>
      <c r="F148" t="s">
        <v>18</v>
      </c>
      <c r="G148" t="s">
        <v>10</v>
      </c>
    </row>
    <row r="149" spans="1:7" x14ac:dyDescent="0.25">
      <c r="A149" t="s">
        <v>163</v>
      </c>
      <c r="B149">
        <v>632</v>
      </c>
      <c r="C149">
        <v>-316</v>
      </c>
      <c r="D149">
        <v>6</v>
      </c>
      <c r="E149" t="s">
        <v>23</v>
      </c>
      <c r="F149" t="s">
        <v>26</v>
      </c>
      <c r="G149" t="s">
        <v>10</v>
      </c>
    </row>
    <row r="150" spans="1:7" x14ac:dyDescent="0.25">
      <c r="A150" t="s">
        <v>112</v>
      </c>
      <c r="B150">
        <v>632</v>
      </c>
      <c r="C150">
        <v>316</v>
      </c>
      <c r="D150">
        <v>6</v>
      </c>
      <c r="E150" t="s">
        <v>23</v>
      </c>
      <c r="F150" t="s">
        <v>26</v>
      </c>
      <c r="G150" t="s">
        <v>10</v>
      </c>
    </row>
    <row r="151" spans="1:7" x14ac:dyDescent="0.25">
      <c r="A151" t="s">
        <v>164</v>
      </c>
      <c r="B151">
        <v>610</v>
      </c>
      <c r="C151">
        <v>208</v>
      </c>
      <c r="D151">
        <v>3</v>
      </c>
      <c r="E151" t="s">
        <v>8</v>
      </c>
      <c r="F151" t="s">
        <v>18</v>
      </c>
      <c r="G151" t="s">
        <v>10</v>
      </c>
    </row>
    <row r="152" spans="1:7" x14ac:dyDescent="0.25">
      <c r="A152" t="s">
        <v>122</v>
      </c>
      <c r="B152">
        <v>78</v>
      </c>
      <c r="C152">
        <v>-28</v>
      </c>
      <c r="D152">
        <v>6</v>
      </c>
      <c r="E152" t="s">
        <v>23</v>
      </c>
      <c r="F152" t="s">
        <v>32</v>
      </c>
      <c r="G152" t="s">
        <v>28</v>
      </c>
    </row>
    <row r="153" spans="1:7" x14ac:dyDescent="0.25">
      <c r="A153" t="s">
        <v>165</v>
      </c>
      <c r="B153">
        <v>595</v>
      </c>
      <c r="C153">
        <v>119</v>
      </c>
      <c r="D153">
        <v>4</v>
      </c>
      <c r="E153" t="s">
        <v>12</v>
      </c>
      <c r="F153" t="s">
        <v>16</v>
      </c>
      <c r="G153" t="s">
        <v>10</v>
      </c>
    </row>
    <row r="154" spans="1:7" x14ac:dyDescent="0.25">
      <c r="A154" t="s">
        <v>166</v>
      </c>
      <c r="B154">
        <v>595</v>
      </c>
      <c r="C154">
        <v>292</v>
      </c>
      <c r="D154">
        <v>3</v>
      </c>
      <c r="E154" t="s">
        <v>23</v>
      </c>
      <c r="F154" t="s">
        <v>26</v>
      </c>
      <c r="G154" t="s">
        <v>10</v>
      </c>
    </row>
    <row r="155" spans="1:7" x14ac:dyDescent="0.25">
      <c r="A155" t="s">
        <v>17</v>
      </c>
      <c r="B155">
        <v>852</v>
      </c>
      <c r="C155">
        <v>51</v>
      </c>
      <c r="D155">
        <v>5</v>
      </c>
      <c r="E155" t="s">
        <v>12</v>
      </c>
      <c r="F155" t="s">
        <v>16</v>
      </c>
      <c r="G155" t="s">
        <v>19</v>
      </c>
    </row>
    <row r="156" spans="1:7" x14ac:dyDescent="0.25">
      <c r="A156" t="s">
        <v>167</v>
      </c>
      <c r="B156">
        <v>594</v>
      </c>
      <c r="C156">
        <v>89</v>
      </c>
      <c r="D156">
        <v>3</v>
      </c>
      <c r="E156" t="s">
        <v>12</v>
      </c>
      <c r="F156" t="s">
        <v>16</v>
      </c>
      <c r="G156" t="s">
        <v>10</v>
      </c>
    </row>
    <row r="157" spans="1:7" x14ac:dyDescent="0.25">
      <c r="A157" t="s">
        <v>168</v>
      </c>
      <c r="B157">
        <v>585</v>
      </c>
      <c r="C157">
        <v>175</v>
      </c>
      <c r="D157">
        <v>13</v>
      </c>
      <c r="E157" t="s">
        <v>23</v>
      </c>
      <c r="F157" t="s">
        <v>81</v>
      </c>
      <c r="G157" t="s">
        <v>10</v>
      </c>
    </row>
    <row r="158" spans="1:7" x14ac:dyDescent="0.25">
      <c r="A158" t="s">
        <v>169</v>
      </c>
      <c r="B158">
        <v>582</v>
      </c>
      <c r="C158">
        <v>262</v>
      </c>
      <c r="D158">
        <v>5</v>
      </c>
      <c r="E158" t="s">
        <v>12</v>
      </c>
      <c r="F158" t="s">
        <v>131</v>
      </c>
      <c r="G158" t="s">
        <v>10</v>
      </c>
    </row>
    <row r="159" spans="1:7" x14ac:dyDescent="0.25">
      <c r="A159" t="s">
        <v>170</v>
      </c>
      <c r="B159">
        <v>845</v>
      </c>
      <c r="C159">
        <v>84</v>
      </c>
      <c r="D159">
        <v>7</v>
      </c>
      <c r="E159" t="s">
        <v>23</v>
      </c>
      <c r="F159" t="s">
        <v>26</v>
      </c>
      <c r="G159" t="s">
        <v>19</v>
      </c>
    </row>
    <row r="160" spans="1:7" x14ac:dyDescent="0.25">
      <c r="A160" t="s">
        <v>171</v>
      </c>
      <c r="B160">
        <v>829</v>
      </c>
      <c r="C160">
        <v>19</v>
      </c>
      <c r="D160">
        <v>4</v>
      </c>
      <c r="E160" t="s">
        <v>8</v>
      </c>
      <c r="F160" t="s">
        <v>18</v>
      </c>
      <c r="G160" t="s">
        <v>19</v>
      </c>
    </row>
    <row r="161" spans="1:7" x14ac:dyDescent="0.25">
      <c r="A161" t="s">
        <v>20</v>
      </c>
      <c r="B161">
        <v>561</v>
      </c>
      <c r="C161">
        <v>212</v>
      </c>
      <c r="D161">
        <v>3</v>
      </c>
      <c r="E161" t="s">
        <v>23</v>
      </c>
      <c r="F161" t="s">
        <v>26</v>
      </c>
      <c r="G161" t="s">
        <v>10</v>
      </c>
    </row>
    <row r="162" spans="1:7" x14ac:dyDescent="0.25">
      <c r="A162" t="s">
        <v>103</v>
      </c>
      <c r="B162">
        <v>771</v>
      </c>
      <c r="C162">
        <v>-424</v>
      </c>
      <c r="D162">
        <v>2</v>
      </c>
      <c r="E162" t="s">
        <v>8</v>
      </c>
      <c r="F162" t="s">
        <v>21</v>
      </c>
      <c r="G162" t="s">
        <v>19</v>
      </c>
    </row>
    <row r="163" spans="1:7" x14ac:dyDescent="0.25">
      <c r="A163" t="s">
        <v>172</v>
      </c>
      <c r="B163">
        <v>765</v>
      </c>
      <c r="C163">
        <v>8</v>
      </c>
      <c r="D163">
        <v>6</v>
      </c>
      <c r="E163" t="s">
        <v>23</v>
      </c>
      <c r="F163" t="s">
        <v>26</v>
      </c>
      <c r="G163" t="s">
        <v>14</v>
      </c>
    </row>
    <row r="164" spans="1:7" x14ac:dyDescent="0.25">
      <c r="A164" t="s">
        <v>173</v>
      </c>
      <c r="B164">
        <v>31</v>
      </c>
      <c r="C164">
        <v>2</v>
      </c>
      <c r="D164">
        <v>2</v>
      </c>
      <c r="E164" t="s">
        <v>23</v>
      </c>
      <c r="F164" t="s">
        <v>30</v>
      </c>
      <c r="G164" t="s">
        <v>10</v>
      </c>
    </row>
    <row r="165" spans="1:7" x14ac:dyDescent="0.25">
      <c r="A165" t="s">
        <v>174</v>
      </c>
      <c r="B165">
        <v>557</v>
      </c>
      <c r="C165">
        <v>-111</v>
      </c>
      <c r="D165">
        <v>2</v>
      </c>
      <c r="E165" t="s">
        <v>8</v>
      </c>
      <c r="F165" t="s">
        <v>9</v>
      </c>
      <c r="G165" t="s">
        <v>10</v>
      </c>
    </row>
    <row r="166" spans="1:7" x14ac:dyDescent="0.25">
      <c r="A166" t="s">
        <v>172</v>
      </c>
      <c r="B166">
        <v>757</v>
      </c>
      <c r="C166">
        <v>371</v>
      </c>
      <c r="D166">
        <v>2</v>
      </c>
      <c r="E166" t="s">
        <v>8</v>
      </c>
      <c r="F166" t="s">
        <v>18</v>
      </c>
      <c r="G166" t="s">
        <v>19</v>
      </c>
    </row>
    <row r="167" spans="1:7" x14ac:dyDescent="0.25">
      <c r="A167" t="s">
        <v>175</v>
      </c>
      <c r="B167">
        <v>545</v>
      </c>
      <c r="C167">
        <v>-73</v>
      </c>
      <c r="D167">
        <v>11</v>
      </c>
      <c r="E167" t="s">
        <v>8</v>
      </c>
      <c r="F167" t="s">
        <v>21</v>
      </c>
      <c r="G167" t="s">
        <v>10</v>
      </c>
    </row>
    <row r="168" spans="1:7" x14ac:dyDescent="0.25">
      <c r="A168" t="s">
        <v>176</v>
      </c>
      <c r="B168">
        <v>1052</v>
      </c>
      <c r="C168">
        <v>-82</v>
      </c>
      <c r="D168">
        <v>3</v>
      </c>
      <c r="E168" t="s">
        <v>12</v>
      </c>
      <c r="F168" t="s">
        <v>16</v>
      </c>
      <c r="G168" t="s">
        <v>28</v>
      </c>
    </row>
    <row r="169" spans="1:7" x14ac:dyDescent="0.25">
      <c r="A169" t="s">
        <v>177</v>
      </c>
      <c r="B169">
        <v>544</v>
      </c>
      <c r="C169">
        <v>-152</v>
      </c>
      <c r="D169">
        <v>3</v>
      </c>
      <c r="E169" t="s">
        <v>12</v>
      </c>
      <c r="F169" t="s">
        <v>16</v>
      </c>
      <c r="G169" t="s">
        <v>10</v>
      </c>
    </row>
    <row r="170" spans="1:7" x14ac:dyDescent="0.25">
      <c r="A170" t="s">
        <v>178</v>
      </c>
      <c r="B170">
        <v>22</v>
      </c>
      <c r="C170">
        <v>9</v>
      </c>
      <c r="D170">
        <v>2</v>
      </c>
      <c r="E170" t="s">
        <v>23</v>
      </c>
      <c r="F170" t="s">
        <v>63</v>
      </c>
      <c r="G170" t="s">
        <v>82</v>
      </c>
    </row>
    <row r="171" spans="1:7" x14ac:dyDescent="0.25">
      <c r="A171" t="s">
        <v>48</v>
      </c>
      <c r="B171">
        <v>757</v>
      </c>
      <c r="C171">
        <v>371</v>
      </c>
      <c r="D171">
        <v>2</v>
      </c>
      <c r="E171" t="s">
        <v>8</v>
      </c>
      <c r="F171" t="s">
        <v>18</v>
      </c>
      <c r="G171" t="s">
        <v>19</v>
      </c>
    </row>
    <row r="172" spans="1:7" x14ac:dyDescent="0.25">
      <c r="A172" t="s">
        <v>179</v>
      </c>
      <c r="B172">
        <v>742</v>
      </c>
      <c r="C172">
        <v>198</v>
      </c>
      <c r="D172">
        <v>2</v>
      </c>
      <c r="E172" t="s">
        <v>12</v>
      </c>
      <c r="F172" t="s">
        <v>16</v>
      </c>
      <c r="G172" t="s">
        <v>19</v>
      </c>
    </row>
    <row r="173" spans="1:7" x14ac:dyDescent="0.25">
      <c r="A173" t="s">
        <v>180</v>
      </c>
      <c r="B173">
        <v>537</v>
      </c>
      <c r="C173">
        <v>107</v>
      </c>
      <c r="D173">
        <v>3</v>
      </c>
      <c r="E173" t="s">
        <v>23</v>
      </c>
      <c r="F173" t="s">
        <v>26</v>
      </c>
      <c r="G173" t="s">
        <v>10</v>
      </c>
    </row>
    <row r="174" spans="1:7" x14ac:dyDescent="0.25">
      <c r="A174" t="s">
        <v>172</v>
      </c>
      <c r="B174">
        <v>536</v>
      </c>
      <c r="C174">
        <v>91</v>
      </c>
      <c r="D174">
        <v>1</v>
      </c>
      <c r="E174" t="s">
        <v>23</v>
      </c>
      <c r="F174" t="s">
        <v>24</v>
      </c>
      <c r="G174" t="s">
        <v>10</v>
      </c>
    </row>
    <row r="175" spans="1:7" x14ac:dyDescent="0.25">
      <c r="A175" t="s">
        <v>123</v>
      </c>
      <c r="B175">
        <v>6</v>
      </c>
      <c r="C175">
        <v>3</v>
      </c>
      <c r="D175">
        <v>1</v>
      </c>
      <c r="E175" t="s">
        <v>23</v>
      </c>
      <c r="F175" t="s">
        <v>30</v>
      </c>
      <c r="G175" t="s">
        <v>10</v>
      </c>
    </row>
    <row r="176" spans="1:7" x14ac:dyDescent="0.25">
      <c r="A176" t="s">
        <v>7</v>
      </c>
      <c r="B176">
        <v>523</v>
      </c>
      <c r="C176">
        <v>204</v>
      </c>
      <c r="D176">
        <v>7</v>
      </c>
      <c r="E176" t="s">
        <v>23</v>
      </c>
      <c r="F176" t="s">
        <v>24</v>
      </c>
      <c r="G176" t="s">
        <v>10</v>
      </c>
    </row>
    <row r="177" spans="1:7" x14ac:dyDescent="0.25">
      <c r="A177" t="s">
        <v>181</v>
      </c>
      <c r="B177">
        <v>27</v>
      </c>
      <c r="C177">
        <v>9</v>
      </c>
      <c r="D177">
        <v>2</v>
      </c>
      <c r="E177" t="s">
        <v>23</v>
      </c>
      <c r="F177" t="s">
        <v>81</v>
      </c>
      <c r="G177" t="s">
        <v>28</v>
      </c>
    </row>
    <row r="178" spans="1:7" x14ac:dyDescent="0.25">
      <c r="A178" t="s">
        <v>182</v>
      </c>
      <c r="B178">
        <v>516</v>
      </c>
      <c r="C178">
        <v>392</v>
      </c>
      <c r="D178">
        <v>8</v>
      </c>
      <c r="E178" t="s">
        <v>12</v>
      </c>
      <c r="F178" t="s">
        <v>13</v>
      </c>
      <c r="G178" t="s">
        <v>10</v>
      </c>
    </row>
    <row r="179" spans="1:7" x14ac:dyDescent="0.25">
      <c r="A179" t="s">
        <v>183</v>
      </c>
      <c r="B179">
        <v>504</v>
      </c>
      <c r="C179">
        <v>116</v>
      </c>
      <c r="D179">
        <v>3</v>
      </c>
      <c r="E179" t="s">
        <v>12</v>
      </c>
      <c r="F179" t="s">
        <v>16</v>
      </c>
      <c r="G179" t="s">
        <v>10</v>
      </c>
    </row>
    <row r="180" spans="1:7" x14ac:dyDescent="0.25">
      <c r="A180" t="s">
        <v>184</v>
      </c>
      <c r="B180">
        <v>502</v>
      </c>
      <c r="C180">
        <v>84</v>
      </c>
      <c r="D180">
        <v>4</v>
      </c>
      <c r="E180" t="s">
        <v>8</v>
      </c>
      <c r="F180" t="s">
        <v>21</v>
      </c>
      <c r="G180" t="s">
        <v>10</v>
      </c>
    </row>
    <row r="181" spans="1:7" x14ac:dyDescent="0.25">
      <c r="A181" t="s">
        <v>185</v>
      </c>
      <c r="B181">
        <v>734</v>
      </c>
      <c r="C181">
        <v>213</v>
      </c>
      <c r="D181">
        <v>6</v>
      </c>
      <c r="E181" t="s">
        <v>8</v>
      </c>
      <c r="F181" t="s">
        <v>9</v>
      </c>
      <c r="G181" t="s">
        <v>19</v>
      </c>
    </row>
    <row r="182" spans="1:7" x14ac:dyDescent="0.25">
      <c r="A182" t="s">
        <v>186</v>
      </c>
      <c r="B182">
        <v>42</v>
      </c>
      <c r="C182">
        <v>12</v>
      </c>
      <c r="D182">
        <v>2</v>
      </c>
      <c r="E182" t="s">
        <v>23</v>
      </c>
      <c r="F182" t="s">
        <v>32</v>
      </c>
      <c r="G182" t="s">
        <v>10</v>
      </c>
    </row>
    <row r="183" spans="1:7" x14ac:dyDescent="0.25">
      <c r="A183" t="s">
        <v>187</v>
      </c>
      <c r="B183">
        <v>29</v>
      </c>
      <c r="C183">
        <v>11</v>
      </c>
      <c r="D183">
        <v>4</v>
      </c>
      <c r="E183" t="s">
        <v>23</v>
      </c>
      <c r="F183" t="s">
        <v>43</v>
      </c>
      <c r="G183" t="s">
        <v>10</v>
      </c>
    </row>
    <row r="184" spans="1:7" x14ac:dyDescent="0.25">
      <c r="A184" t="s">
        <v>188</v>
      </c>
      <c r="B184">
        <v>240</v>
      </c>
      <c r="C184">
        <v>12</v>
      </c>
      <c r="D184">
        <v>6</v>
      </c>
      <c r="E184" t="s">
        <v>23</v>
      </c>
      <c r="F184" t="s">
        <v>32</v>
      </c>
      <c r="G184" t="s">
        <v>28</v>
      </c>
    </row>
    <row r="185" spans="1:7" x14ac:dyDescent="0.25">
      <c r="A185" t="s">
        <v>189</v>
      </c>
      <c r="B185">
        <v>496</v>
      </c>
      <c r="C185">
        <v>-79</v>
      </c>
      <c r="D185">
        <v>2</v>
      </c>
      <c r="E185" t="s">
        <v>23</v>
      </c>
      <c r="F185" t="s">
        <v>24</v>
      </c>
      <c r="G185" t="s">
        <v>10</v>
      </c>
    </row>
    <row r="186" spans="1:7" x14ac:dyDescent="0.25">
      <c r="A186" t="s">
        <v>190</v>
      </c>
      <c r="B186">
        <v>485</v>
      </c>
      <c r="C186">
        <v>29</v>
      </c>
      <c r="D186">
        <v>4</v>
      </c>
      <c r="E186" t="s">
        <v>8</v>
      </c>
      <c r="F186" t="s">
        <v>9</v>
      </c>
      <c r="G186" t="s">
        <v>10</v>
      </c>
    </row>
    <row r="187" spans="1:7" x14ac:dyDescent="0.25">
      <c r="A187" t="s">
        <v>191</v>
      </c>
      <c r="B187">
        <v>31</v>
      </c>
      <c r="C187">
        <v>-11</v>
      </c>
      <c r="D187">
        <v>3</v>
      </c>
      <c r="E187" t="s">
        <v>23</v>
      </c>
      <c r="F187" t="s">
        <v>43</v>
      </c>
      <c r="G187" t="s">
        <v>28</v>
      </c>
    </row>
    <row r="188" spans="1:7" x14ac:dyDescent="0.25">
      <c r="A188" t="s">
        <v>192</v>
      </c>
      <c r="B188">
        <v>676</v>
      </c>
      <c r="C188">
        <v>151</v>
      </c>
      <c r="D188">
        <v>3</v>
      </c>
      <c r="E188" t="s">
        <v>8</v>
      </c>
      <c r="F188" t="s">
        <v>18</v>
      </c>
      <c r="G188" t="s">
        <v>19</v>
      </c>
    </row>
    <row r="189" spans="1:7" x14ac:dyDescent="0.25">
      <c r="A189" t="s">
        <v>157</v>
      </c>
      <c r="B189">
        <v>23</v>
      </c>
      <c r="C189">
        <v>8</v>
      </c>
      <c r="D189">
        <v>2</v>
      </c>
      <c r="E189" t="s">
        <v>23</v>
      </c>
      <c r="F189" t="s">
        <v>30</v>
      </c>
      <c r="G189" t="s">
        <v>82</v>
      </c>
    </row>
    <row r="190" spans="1:7" x14ac:dyDescent="0.25">
      <c r="A190" t="s">
        <v>193</v>
      </c>
      <c r="B190">
        <v>13</v>
      </c>
      <c r="C190">
        <v>3</v>
      </c>
      <c r="D190">
        <v>2</v>
      </c>
      <c r="E190" t="s">
        <v>23</v>
      </c>
      <c r="F190" t="s">
        <v>30</v>
      </c>
      <c r="G190" t="s">
        <v>10</v>
      </c>
    </row>
    <row r="191" spans="1:7" x14ac:dyDescent="0.25">
      <c r="A191" t="s">
        <v>194</v>
      </c>
      <c r="B191">
        <v>180</v>
      </c>
      <c r="C191">
        <v>0</v>
      </c>
      <c r="D191">
        <v>8</v>
      </c>
      <c r="E191" t="s">
        <v>23</v>
      </c>
      <c r="F191" t="s">
        <v>57</v>
      </c>
      <c r="G191" t="s">
        <v>10</v>
      </c>
    </row>
    <row r="192" spans="1:7" x14ac:dyDescent="0.25">
      <c r="A192" t="s">
        <v>11</v>
      </c>
      <c r="B192">
        <v>671</v>
      </c>
      <c r="C192">
        <v>114</v>
      </c>
      <c r="D192">
        <v>9</v>
      </c>
      <c r="E192" t="s">
        <v>8</v>
      </c>
      <c r="F192" t="s">
        <v>21</v>
      </c>
      <c r="G192" t="s">
        <v>19</v>
      </c>
    </row>
    <row r="193" spans="1:7" x14ac:dyDescent="0.25">
      <c r="A193" t="s">
        <v>195</v>
      </c>
      <c r="B193">
        <v>22</v>
      </c>
      <c r="C193">
        <v>11</v>
      </c>
      <c r="D193">
        <v>3</v>
      </c>
      <c r="E193" t="s">
        <v>23</v>
      </c>
      <c r="F193" t="s">
        <v>32</v>
      </c>
      <c r="G193" t="s">
        <v>10</v>
      </c>
    </row>
    <row r="194" spans="1:7" x14ac:dyDescent="0.25">
      <c r="A194" t="s">
        <v>117</v>
      </c>
      <c r="B194">
        <v>668</v>
      </c>
      <c r="C194">
        <v>-31</v>
      </c>
      <c r="D194">
        <v>3</v>
      </c>
      <c r="E194" t="s">
        <v>8</v>
      </c>
      <c r="F194" t="s">
        <v>18</v>
      </c>
      <c r="G194" t="s">
        <v>19</v>
      </c>
    </row>
    <row r="195" spans="1:7" x14ac:dyDescent="0.25">
      <c r="A195" t="s">
        <v>122</v>
      </c>
      <c r="B195">
        <v>145</v>
      </c>
      <c r="C195">
        <v>0</v>
      </c>
      <c r="D195">
        <v>3</v>
      </c>
      <c r="E195" t="s">
        <v>23</v>
      </c>
      <c r="F195" t="s">
        <v>26</v>
      </c>
      <c r="G195" t="s">
        <v>28</v>
      </c>
    </row>
    <row r="196" spans="1:7" x14ac:dyDescent="0.25">
      <c r="A196" t="s">
        <v>196</v>
      </c>
      <c r="B196">
        <v>24</v>
      </c>
      <c r="C196">
        <v>8</v>
      </c>
      <c r="D196">
        <v>2</v>
      </c>
      <c r="E196" t="s">
        <v>23</v>
      </c>
      <c r="F196" t="s">
        <v>43</v>
      </c>
      <c r="G196" t="s">
        <v>82</v>
      </c>
    </row>
    <row r="197" spans="1:7" x14ac:dyDescent="0.25">
      <c r="A197" t="s">
        <v>87</v>
      </c>
      <c r="B197">
        <v>476</v>
      </c>
      <c r="C197">
        <v>0</v>
      </c>
      <c r="D197">
        <v>3</v>
      </c>
      <c r="E197" t="s">
        <v>12</v>
      </c>
      <c r="F197" t="s">
        <v>13</v>
      </c>
      <c r="G197" t="s">
        <v>10</v>
      </c>
    </row>
    <row r="198" spans="1:7" x14ac:dyDescent="0.25">
      <c r="A198" t="s">
        <v>185</v>
      </c>
      <c r="B198">
        <v>24</v>
      </c>
      <c r="C198">
        <v>11</v>
      </c>
      <c r="D198">
        <v>5</v>
      </c>
      <c r="E198" t="s">
        <v>23</v>
      </c>
      <c r="F198" t="s">
        <v>30</v>
      </c>
      <c r="G198" t="s">
        <v>82</v>
      </c>
    </row>
    <row r="199" spans="1:7" x14ac:dyDescent="0.25">
      <c r="A199" t="s">
        <v>22</v>
      </c>
      <c r="B199">
        <v>37</v>
      </c>
      <c r="C199">
        <v>3</v>
      </c>
      <c r="D199">
        <v>3</v>
      </c>
      <c r="E199" t="s">
        <v>23</v>
      </c>
      <c r="F199" t="s">
        <v>30</v>
      </c>
      <c r="G199" t="s">
        <v>10</v>
      </c>
    </row>
    <row r="200" spans="1:7" x14ac:dyDescent="0.25">
      <c r="A200" t="s">
        <v>197</v>
      </c>
      <c r="B200">
        <v>152</v>
      </c>
      <c r="C200">
        <v>50</v>
      </c>
      <c r="D200">
        <v>6</v>
      </c>
      <c r="E200" t="s">
        <v>23</v>
      </c>
      <c r="F200" t="s">
        <v>57</v>
      </c>
      <c r="G200" t="s">
        <v>28</v>
      </c>
    </row>
    <row r="201" spans="1:7" x14ac:dyDescent="0.25">
      <c r="A201" t="s">
        <v>198</v>
      </c>
      <c r="B201">
        <v>32</v>
      </c>
      <c r="C201">
        <v>11</v>
      </c>
      <c r="D201">
        <v>2</v>
      </c>
      <c r="E201" t="s">
        <v>23</v>
      </c>
      <c r="F201" t="s">
        <v>63</v>
      </c>
      <c r="G201" t="s">
        <v>28</v>
      </c>
    </row>
    <row r="202" spans="1:7" x14ac:dyDescent="0.25">
      <c r="A202" t="s">
        <v>199</v>
      </c>
      <c r="B202">
        <v>52</v>
      </c>
      <c r="C202">
        <v>11</v>
      </c>
      <c r="D202">
        <v>5</v>
      </c>
      <c r="E202" t="s">
        <v>23</v>
      </c>
      <c r="F202" t="s">
        <v>63</v>
      </c>
      <c r="G202" t="s">
        <v>10</v>
      </c>
    </row>
    <row r="203" spans="1:7" x14ac:dyDescent="0.25">
      <c r="A203" t="s">
        <v>200</v>
      </c>
      <c r="B203">
        <v>24</v>
      </c>
      <c r="C203">
        <v>11</v>
      </c>
      <c r="D203">
        <v>3</v>
      </c>
      <c r="E203" t="s">
        <v>23</v>
      </c>
      <c r="F203" t="s">
        <v>30</v>
      </c>
      <c r="G203" t="s">
        <v>82</v>
      </c>
    </row>
    <row r="204" spans="1:7" x14ac:dyDescent="0.25">
      <c r="A204" t="s">
        <v>121</v>
      </c>
      <c r="B204">
        <v>473</v>
      </c>
      <c r="C204">
        <v>42</v>
      </c>
      <c r="D204">
        <v>4</v>
      </c>
      <c r="E204" t="s">
        <v>12</v>
      </c>
      <c r="F204" t="s">
        <v>13</v>
      </c>
      <c r="G204" t="s">
        <v>10</v>
      </c>
    </row>
    <row r="205" spans="1:7" x14ac:dyDescent="0.25">
      <c r="A205" t="s">
        <v>201</v>
      </c>
      <c r="B205">
        <v>263</v>
      </c>
      <c r="C205">
        <v>50</v>
      </c>
      <c r="D205">
        <v>5</v>
      </c>
      <c r="E205" t="s">
        <v>23</v>
      </c>
      <c r="F205" t="s">
        <v>57</v>
      </c>
      <c r="G205" t="s">
        <v>10</v>
      </c>
    </row>
    <row r="206" spans="1:7" x14ac:dyDescent="0.25">
      <c r="A206" t="s">
        <v>202</v>
      </c>
      <c r="B206">
        <v>61</v>
      </c>
      <c r="C206">
        <v>11</v>
      </c>
      <c r="D206">
        <v>3</v>
      </c>
      <c r="E206" t="s">
        <v>23</v>
      </c>
      <c r="F206" t="s">
        <v>32</v>
      </c>
      <c r="G206" t="s">
        <v>10</v>
      </c>
    </row>
    <row r="207" spans="1:7" x14ac:dyDescent="0.25">
      <c r="A207" t="s">
        <v>203</v>
      </c>
      <c r="B207">
        <v>469</v>
      </c>
      <c r="C207">
        <v>-459</v>
      </c>
      <c r="D207">
        <v>3</v>
      </c>
      <c r="E207" t="s">
        <v>8</v>
      </c>
      <c r="F207" t="s">
        <v>9</v>
      </c>
      <c r="G207" t="s">
        <v>10</v>
      </c>
    </row>
    <row r="208" spans="1:7" x14ac:dyDescent="0.25">
      <c r="A208" t="s">
        <v>204</v>
      </c>
      <c r="B208">
        <v>1272</v>
      </c>
      <c r="C208">
        <v>547</v>
      </c>
      <c r="D208">
        <v>2</v>
      </c>
      <c r="E208" t="s">
        <v>8</v>
      </c>
      <c r="F208" t="s">
        <v>21</v>
      </c>
      <c r="G208" t="s">
        <v>10</v>
      </c>
    </row>
    <row r="209" spans="1:7" x14ac:dyDescent="0.25">
      <c r="A209" t="s">
        <v>200</v>
      </c>
      <c r="B209">
        <v>169</v>
      </c>
      <c r="C209">
        <v>0</v>
      </c>
      <c r="D209">
        <v>3</v>
      </c>
      <c r="E209" t="s">
        <v>8</v>
      </c>
      <c r="F209" t="s">
        <v>73</v>
      </c>
      <c r="G209" t="s">
        <v>10</v>
      </c>
    </row>
    <row r="210" spans="1:7" x14ac:dyDescent="0.25">
      <c r="A210" t="s">
        <v>134</v>
      </c>
      <c r="B210">
        <v>25</v>
      </c>
      <c r="C210">
        <v>11</v>
      </c>
      <c r="D210">
        <v>3</v>
      </c>
      <c r="E210" t="s">
        <v>23</v>
      </c>
      <c r="F210" t="s">
        <v>63</v>
      </c>
      <c r="G210" t="s">
        <v>82</v>
      </c>
    </row>
    <row r="211" spans="1:7" x14ac:dyDescent="0.25">
      <c r="A211" t="s">
        <v>119</v>
      </c>
      <c r="B211">
        <v>457</v>
      </c>
      <c r="C211">
        <v>-41</v>
      </c>
      <c r="D211">
        <v>4</v>
      </c>
      <c r="E211" t="s">
        <v>23</v>
      </c>
      <c r="F211" t="s">
        <v>26</v>
      </c>
      <c r="G211" t="s">
        <v>10</v>
      </c>
    </row>
    <row r="212" spans="1:7" x14ac:dyDescent="0.25">
      <c r="A212" t="s">
        <v>134</v>
      </c>
      <c r="B212">
        <v>455</v>
      </c>
      <c r="C212">
        <v>77</v>
      </c>
      <c r="D212">
        <v>8</v>
      </c>
      <c r="E212" t="s">
        <v>8</v>
      </c>
      <c r="F212" t="s">
        <v>73</v>
      </c>
      <c r="G212" t="s">
        <v>10</v>
      </c>
    </row>
    <row r="213" spans="1:7" x14ac:dyDescent="0.25">
      <c r="A213" t="s">
        <v>126</v>
      </c>
      <c r="B213">
        <v>25</v>
      </c>
      <c r="C213">
        <v>2</v>
      </c>
      <c r="D213">
        <v>2</v>
      </c>
      <c r="E213" t="s">
        <v>23</v>
      </c>
      <c r="F213" t="s">
        <v>30</v>
      </c>
      <c r="G213" t="s">
        <v>82</v>
      </c>
    </row>
    <row r="214" spans="1:7" x14ac:dyDescent="0.25">
      <c r="A214" t="s">
        <v>205</v>
      </c>
      <c r="B214">
        <v>450</v>
      </c>
      <c r="C214">
        <v>-90</v>
      </c>
      <c r="D214">
        <v>3</v>
      </c>
      <c r="E214" t="s">
        <v>8</v>
      </c>
      <c r="F214" t="s">
        <v>18</v>
      </c>
      <c r="G214" t="s">
        <v>10</v>
      </c>
    </row>
    <row r="215" spans="1:7" x14ac:dyDescent="0.25">
      <c r="A215" t="s">
        <v>206</v>
      </c>
      <c r="B215">
        <v>30</v>
      </c>
      <c r="C215">
        <v>-35</v>
      </c>
      <c r="D215">
        <v>1</v>
      </c>
      <c r="E215" t="s">
        <v>12</v>
      </c>
      <c r="F215" t="s">
        <v>13</v>
      </c>
      <c r="G215" t="s">
        <v>10</v>
      </c>
    </row>
    <row r="216" spans="1:7" x14ac:dyDescent="0.25">
      <c r="A216" t="s">
        <v>207</v>
      </c>
      <c r="B216">
        <v>659</v>
      </c>
      <c r="C216">
        <v>-37</v>
      </c>
      <c r="D216">
        <v>2</v>
      </c>
      <c r="E216" t="s">
        <v>12</v>
      </c>
      <c r="F216" t="s">
        <v>16</v>
      </c>
      <c r="G216" t="s">
        <v>19</v>
      </c>
    </row>
    <row r="217" spans="1:7" x14ac:dyDescent="0.25">
      <c r="A217" t="s">
        <v>208</v>
      </c>
      <c r="B217">
        <v>448</v>
      </c>
      <c r="C217">
        <v>148</v>
      </c>
      <c r="D217">
        <v>2</v>
      </c>
      <c r="E217" t="s">
        <v>8</v>
      </c>
      <c r="F217" t="s">
        <v>18</v>
      </c>
      <c r="G217" t="s">
        <v>10</v>
      </c>
    </row>
    <row r="218" spans="1:7" x14ac:dyDescent="0.25">
      <c r="A218" t="s">
        <v>209</v>
      </c>
      <c r="B218">
        <v>446</v>
      </c>
      <c r="C218">
        <v>53</v>
      </c>
      <c r="D218">
        <v>3</v>
      </c>
      <c r="E218" t="s">
        <v>8</v>
      </c>
      <c r="F218" t="s">
        <v>18</v>
      </c>
      <c r="G218" t="s">
        <v>10</v>
      </c>
    </row>
    <row r="219" spans="1:7" x14ac:dyDescent="0.25">
      <c r="A219" t="s">
        <v>210</v>
      </c>
      <c r="B219">
        <v>98</v>
      </c>
      <c r="C219">
        <v>-45</v>
      </c>
      <c r="D219">
        <v>2</v>
      </c>
      <c r="E219" t="s">
        <v>12</v>
      </c>
      <c r="F219" t="s">
        <v>13</v>
      </c>
      <c r="G219" t="s">
        <v>28</v>
      </c>
    </row>
    <row r="220" spans="1:7" x14ac:dyDescent="0.25">
      <c r="A220" t="s">
        <v>11</v>
      </c>
      <c r="B220">
        <v>443</v>
      </c>
      <c r="C220">
        <v>11</v>
      </c>
      <c r="D220">
        <v>1</v>
      </c>
      <c r="E220" t="s">
        <v>23</v>
      </c>
      <c r="F220" t="s">
        <v>26</v>
      </c>
      <c r="G220" t="s">
        <v>10</v>
      </c>
    </row>
    <row r="221" spans="1:7" x14ac:dyDescent="0.25">
      <c r="A221" t="s">
        <v>117</v>
      </c>
      <c r="B221">
        <v>427</v>
      </c>
      <c r="C221">
        <v>-50</v>
      </c>
      <c r="D221">
        <v>7</v>
      </c>
      <c r="E221" t="s">
        <v>8</v>
      </c>
      <c r="F221" t="s">
        <v>21</v>
      </c>
      <c r="G221" t="s">
        <v>10</v>
      </c>
    </row>
    <row r="222" spans="1:7" x14ac:dyDescent="0.25">
      <c r="A222" t="s">
        <v>155</v>
      </c>
      <c r="B222">
        <v>656</v>
      </c>
      <c r="C222">
        <v>-36</v>
      </c>
      <c r="D222">
        <v>2</v>
      </c>
      <c r="E222" t="s">
        <v>12</v>
      </c>
      <c r="F222" t="s">
        <v>16</v>
      </c>
      <c r="G222" t="s">
        <v>19</v>
      </c>
    </row>
    <row r="223" spans="1:7" x14ac:dyDescent="0.25">
      <c r="A223" t="s">
        <v>211</v>
      </c>
      <c r="B223">
        <v>424</v>
      </c>
      <c r="C223">
        <v>161</v>
      </c>
      <c r="D223">
        <v>2</v>
      </c>
      <c r="E223" t="s">
        <v>23</v>
      </c>
      <c r="F223" t="s">
        <v>26</v>
      </c>
      <c r="G223" t="s">
        <v>10</v>
      </c>
    </row>
    <row r="224" spans="1:7" x14ac:dyDescent="0.25">
      <c r="A224" t="s">
        <v>106</v>
      </c>
      <c r="B224">
        <v>27</v>
      </c>
      <c r="C224">
        <v>8</v>
      </c>
      <c r="D224">
        <v>2</v>
      </c>
      <c r="E224" t="s">
        <v>23</v>
      </c>
      <c r="F224" t="s">
        <v>81</v>
      </c>
      <c r="G224" t="s">
        <v>82</v>
      </c>
    </row>
    <row r="225" spans="1:7" x14ac:dyDescent="0.25">
      <c r="A225" t="s">
        <v>20</v>
      </c>
      <c r="B225">
        <v>424</v>
      </c>
      <c r="C225">
        <v>-272</v>
      </c>
      <c r="D225">
        <v>5</v>
      </c>
      <c r="E225" t="s">
        <v>8</v>
      </c>
      <c r="F225" t="s">
        <v>21</v>
      </c>
      <c r="G225" t="s">
        <v>10</v>
      </c>
    </row>
    <row r="226" spans="1:7" x14ac:dyDescent="0.25">
      <c r="A226" t="s">
        <v>212</v>
      </c>
      <c r="B226">
        <v>202</v>
      </c>
      <c r="C226">
        <v>4</v>
      </c>
      <c r="D226">
        <v>4</v>
      </c>
      <c r="E226" t="s">
        <v>23</v>
      </c>
      <c r="F226" t="s">
        <v>30</v>
      </c>
      <c r="G226" t="s">
        <v>10</v>
      </c>
    </row>
    <row r="227" spans="1:7" x14ac:dyDescent="0.25">
      <c r="A227" t="s">
        <v>186</v>
      </c>
      <c r="B227">
        <v>1275</v>
      </c>
      <c r="C227">
        <v>357</v>
      </c>
      <c r="D227">
        <v>2</v>
      </c>
      <c r="E227" t="s">
        <v>8</v>
      </c>
      <c r="F227" t="s">
        <v>21</v>
      </c>
      <c r="G227" t="s">
        <v>28</v>
      </c>
    </row>
    <row r="228" spans="1:7" x14ac:dyDescent="0.25">
      <c r="A228" t="s">
        <v>37</v>
      </c>
      <c r="B228">
        <v>418</v>
      </c>
      <c r="C228">
        <v>70</v>
      </c>
      <c r="D228">
        <v>7</v>
      </c>
      <c r="E228" t="s">
        <v>8</v>
      </c>
      <c r="F228" t="s">
        <v>21</v>
      </c>
      <c r="G228" t="s">
        <v>10</v>
      </c>
    </row>
    <row r="229" spans="1:7" x14ac:dyDescent="0.25">
      <c r="A229" t="s">
        <v>213</v>
      </c>
      <c r="B229">
        <v>417</v>
      </c>
      <c r="C229">
        <v>49</v>
      </c>
      <c r="D229">
        <v>3</v>
      </c>
      <c r="E229" t="s">
        <v>8</v>
      </c>
      <c r="F229" t="s">
        <v>9</v>
      </c>
      <c r="G229" t="s">
        <v>10</v>
      </c>
    </row>
    <row r="230" spans="1:7" x14ac:dyDescent="0.25">
      <c r="A230" t="s">
        <v>41</v>
      </c>
      <c r="B230">
        <v>199</v>
      </c>
      <c r="C230">
        <v>48</v>
      </c>
      <c r="D230">
        <v>4</v>
      </c>
      <c r="E230" t="s">
        <v>23</v>
      </c>
      <c r="F230" t="s">
        <v>57</v>
      </c>
      <c r="G230" t="s">
        <v>28</v>
      </c>
    </row>
    <row r="231" spans="1:7" x14ac:dyDescent="0.25">
      <c r="A231" t="s">
        <v>161</v>
      </c>
      <c r="B231">
        <v>385</v>
      </c>
      <c r="C231">
        <v>-77</v>
      </c>
      <c r="D231">
        <v>11</v>
      </c>
      <c r="E231" t="s">
        <v>12</v>
      </c>
      <c r="F231" t="s">
        <v>131</v>
      </c>
      <c r="G231" t="s">
        <v>28</v>
      </c>
    </row>
    <row r="232" spans="1:7" x14ac:dyDescent="0.25">
      <c r="A232" t="s">
        <v>164</v>
      </c>
      <c r="B232">
        <v>414</v>
      </c>
      <c r="C232">
        <v>199</v>
      </c>
      <c r="D232">
        <v>3</v>
      </c>
      <c r="E232" t="s">
        <v>8</v>
      </c>
      <c r="F232" t="s">
        <v>21</v>
      </c>
      <c r="G232" t="s">
        <v>10</v>
      </c>
    </row>
    <row r="233" spans="1:7" x14ac:dyDescent="0.25">
      <c r="A233" t="s">
        <v>33</v>
      </c>
      <c r="B233">
        <v>97</v>
      </c>
      <c r="C233">
        <v>-45</v>
      </c>
      <c r="D233">
        <v>4</v>
      </c>
      <c r="E233" t="s">
        <v>23</v>
      </c>
      <c r="F233" t="s">
        <v>26</v>
      </c>
      <c r="G233" t="s">
        <v>10</v>
      </c>
    </row>
    <row r="234" spans="1:7" x14ac:dyDescent="0.25">
      <c r="A234" t="s">
        <v>214</v>
      </c>
      <c r="B234">
        <v>648</v>
      </c>
      <c r="C234">
        <v>50</v>
      </c>
      <c r="D234">
        <v>6</v>
      </c>
      <c r="E234" t="s">
        <v>8</v>
      </c>
      <c r="F234" t="s">
        <v>9</v>
      </c>
      <c r="G234" t="s">
        <v>19</v>
      </c>
    </row>
    <row r="235" spans="1:7" x14ac:dyDescent="0.25">
      <c r="A235" t="s">
        <v>215</v>
      </c>
      <c r="B235">
        <v>27</v>
      </c>
      <c r="C235">
        <v>-25</v>
      </c>
      <c r="D235">
        <v>2</v>
      </c>
      <c r="E235" t="s">
        <v>23</v>
      </c>
      <c r="F235" t="s">
        <v>142</v>
      </c>
      <c r="G235" t="s">
        <v>82</v>
      </c>
    </row>
    <row r="236" spans="1:7" x14ac:dyDescent="0.25">
      <c r="A236" t="s">
        <v>216</v>
      </c>
      <c r="B236">
        <v>27</v>
      </c>
      <c r="C236">
        <v>12</v>
      </c>
      <c r="D236">
        <v>1</v>
      </c>
      <c r="E236" t="s">
        <v>23</v>
      </c>
      <c r="F236" t="s">
        <v>57</v>
      </c>
      <c r="G236" t="s">
        <v>82</v>
      </c>
    </row>
    <row r="237" spans="1:7" x14ac:dyDescent="0.25">
      <c r="A237" t="s">
        <v>217</v>
      </c>
      <c r="B237">
        <v>27</v>
      </c>
      <c r="C237">
        <v>1</v>
      </c>
      <c r="D237">
        <v>1</v>
      </c>
      <c r="E237" t="s">
        <v>23</v>
      </c>
      <c r="F237" t="s">
        <v>57</v>
      </c>
      <c r="G237" t="s">
        <v>28</v>
      </c>
    </row>
    <row r="238" spans="1:7" x14ac:dyDescent="0.25">
      <c r="A238" t="s">
        <v>64</v>
      </c>
      <c r="B238">
        <v>413</v>
      </c>
      <c r="C238">
        <v>-314</v>
      </c>
      <c r="D238">
        <v>9</v>
      </c>
      <c r="E238" t="s">
        <v>12</v>
      </c>
      <c r="F238" t="s">
        <v>13</v>
      </c>
      <c r="G238" t="s">
        <v>10</v>
      </c>
    </row>
    <row r="239" spans="1:7" x14ac:dyDescent="0.25">
      <c r="A239" t="s">
        <v>129</v>
      </c>
      <c r="B239">
        <v>53</v>
      </c>
      <c r="C239">
        <v>2</v>
      </c>
      <c r="D239">
        <v>4</v>
      </c>
      <c r="E239" t="s">
        <v>23</v>
      </c>
      <c r="F239" t="s">
        <v>30</v>
      </c>
      <c r="G239" t="s">
        <v>10</v>
      </c>
    </row>
    <row r="240" spans="1:7" x14ac:dyDescent="0.25">
      <c r="A240" t="s">
        <v>79</v>
      </c>
      <c r="B240">
        <v>29</v>
      </c>
      <c r="C240">
        <v>8</v>
      </c>
      <c r="D240">
        <v>5</v>
      </c>
      <c r="E240" t="s">
        <v>23</v>
      </c>
      <c r="F240" t="s">
        <v>30</v>
      </c>
      <c r="G240" t="s">
        <v>28</v>
      </c>
    </row>
    <row r="241" spans="1:7" x14ac:dyDescent="0.25">
      <c r="A241" t="s">
        <v>218</v>
      </c>
      <c r="B241">
        <v>30</v>
      </c>
      <c r="C241">
        <v>13</v>
      </c>
      <c r="D241">
        <v>1</v>
      </c>
      <c r="E241" t="s">
        <v>23</v>
      </c>
      <c r="F241" t="s">
        <v>81</v>
      </c>
      <c r="G241" t="s">
        <v>28</v>
      </c>
    </row>
    <row r="242" spans="1:7" x14ac:dyDescent="0.25">
      <c r="A242" t="s">
        <v>219</v>
      </c>
      <c r="B242">
        <v>412</v>
      </c>
      <c r="C242">
        <v>412</v>
      </c>
      <c r="D242">
        <v>6</v>
      </c>
      <c r="E242" t="s">
        <v>23</v>
      </c>
      <c r="F242" t="s">
        <v>26</v>
      </c>
      <c r="G242" t="s">
        <v>10</v>
      </c>
    </row>
    <row r="243" spans="1:7" x14ac:dyDescent="0.25">
      <c r="A243" t="s">
        <v>220</v>
      </c>
      <c r="B243">
        <v>646</v>
      </c>
      <c r="C243">
        <v>-23</v>
      </c>
      <c r="D243">
        <v>2</v>
      </c>
      <c r="E243" t="s">
        <v>8</v>
      </c>
      <c r="F243" t="s">
        <v>18</v>
      </c>
      <c r="G243" t="s">
        <v>19</v>
      </c>
    </row>
    <row r="244" spans="1:7" x14ac:dyDescent="0.25">
      <c r="A244" t="s">
        <v>123</v>
      </c>
      <c r="B244">
        <v>30</v>
      </c>
      <c r="C244">
        <v>-5</v>
      </c>
      <c r="D244">
        <v>5</v>
      </c>
      <c r="E244" t="s">
        <v>23</v>
      </c>
      <c r="F244" t="s">
        <v>57</v>
      </c>
      <c r="G244" t="s">
        <v>28</v>
      </c>
    </row>
    <row r="245" spans="1:7" x14ac:dyDescent="0.25">
      <c r="A245" t="s">
        <v>129</v>
      </c>
      <c r="B245">
        <v>618</v>
      </c>
      <c r="C245">
        <v>27</v>
      </c>
      <c r="D245">
        <v>4</v>
      </c>
      <c r="E245" t="s">
        <v>12</v>
      </c>
      <c r="F245" t="s">
        <v>16</v>
      </c>
      <c r="G245" t="s">
        <v>19</v>
      </c>
    </row>
    <row r="246" spans="1:7" x14ac:dyDescent="0.25">
      <c r="A246" t="s">
        <v>221</v>
      </c>
      <c r="B246">
        <v>143</v>
      </c>
      <c r="C246">
        <v>-124</v>
      </c>
      <c r="D246">
        <v>5</v>
      </c>
      <c r="E246" t="s">
        <v>23</v>
      </c>
      <c r="F246" t="s">
        <v>26</v>
      </c>
      <c r="G246" t="s">
        <v>28</v>
      </c>
    </row>
    <row r="247" spans="1:7" x14ac:dyDescent="0.25">
      <c r="A247" t="s">
        <v>64</v>
      </c>
      <c r="B247">
        <v>31</v>
      </c>
      <c r="C247">
        <v>1</v>
      </c>
      <c r="D247">
        <v>2</v>
      </c>
      <c r="E247" t="s">
        <v>23</v>
      </c>
      <c r="F247" t="s">
        <v>30</v>
      </c>
      <c r="G247" t="s">
        <v>28</v>
      </c>
    </row>
    <row r="248" spans="1:7" x14ac:dyDescent="0.25">
      <c r="A248" t="s">
        <v>128</v>
      </c>
      <c r="B248">
        <v>409</v>
      </c>
      <c r="C248">
        <v>86</v>
      </c>
      <c r="D248">
        <v>3</v>
      </c>
      <c r="E248" t="s">
        <v>23</v>
      </c>
      <c r="F248" t="s">
        <v>26</v>
      </c>
      <c r="G248" t="s">
        <v>10</v>
      </c>
    </row>
    <row r="249" spans="1:7" x14ac:dyDescent="0.25">
      <c r="A249" t="s">
        <v>123</v>
      </c>
      <c r="B249">
        <v>406</v>
      </c>
      <c r="C249">
        <v>126</v>
      </c>
      <c r="D249">
        <v>2</v>
      </c>
      <c r="E249" t="s">
        <v>23</v>
      </c>
      <c r="F249" t="s">
        <v>26</v>
      </c>
      <c r="G249" t="s">
        <v>10</v>
      </c>
    </row>
    <row r="250" spans="1:7" x14ac:dyDescent="0.25">
      <c r="A250" t="s">
        <v>222</v>
      </c>
      <c r="B250">
        <v>565</v>
      </c>
      <c r="C250">
        <v>66</v>
      </c>
      <c r="D250">
        <v>7</v>
      </c>
      <c r="E250" t="s">
        <v>23</v>
      </c>
      <c r="F250" t="s">
        <v>26</v>
      </c>
      <c r="G250" t="s">
        <v>19</v>
      </c>
    </row>
    <row r="251" spans="1:7" x14ac:dyDescent="0.25">
      <c r="A251" t="s">
        <v>167</v>
      </c>
      <c r="B251">
        <v>85</v>
      </c>
      <c r="C251">
        <v>2</v>
      </c>
      <c r="D251">
        <v>6</v>
      </c>
      <c r="E251" t="s">
        <v>23</v>
      </c>
      <c r="F251" t="s">
        <v>57</v>
      </c>
      <c r="G251" t="s">
        <v>10</v>
      </c>
    </row>
    <row r="252" spans="1:7" x14ac:dyDescent="0.25">
      <c r="A252" t="s">
        <v>223</v>
      </c>
      <c r="B252">
        <v>561</v>
      </c>
      <c r="C252">
        <v>118</v>
      </c>
      <c r="D252">
        <v>5</v>
      </c>
      <c r="E252" t="s">
        <v>12</v>
      </c>
      <c r="F252" t="s">
        <v>16</v>
      </c>
      <c r="G252" t="s">
        <v>19</v>
      </c>
    </row>
    <row r="253" spans="1:7" x14ac:dyDescent="0.25">
      <c r="A253" t="s">
        <v>224</v>
      </c>
      <c r="B253">
        <v>503</v>
      </c>
      <c r="C253">
        <v>-56</v>
      </c>
      <c r="D253">
        <v>2</v>
      </c>
      <c r="E253" t="s">
        <v>23</v>
      </c>
      <c r="F253" t="s">
        <v>24</v>
      </c>
      <c r="G253" t="s">
        <v>10</v>
      </c>
    </row>
    <row r="254" spans="1:7" x14ac:dyDescent="0.25">
      <c r="A254" t="s">
        <v>188</v>
      </c>
      <c r="B254">
        <v>31</v>
      </c>
      <c r="C254">
        <v>14</v>
      </c>
      <c r="D254">
        <v>3</v>
      </c>
      <c r="E254" t="s">
        <v>23</v>
      </c>
      <c r="F254" t="s">
        <v>57</v>
      </c>
      <c r="G254" t="s">
        <v>28</v>
      </c>
    </row>
    <row r="255" spans="1:7" x14ac:dyDescent="0.25">
      <c r="A255" t="s">
        <v>225</v>
      </c>
      <c r="B255">
        <v>398</v>
      </c>
      <c r="C255">
        <v>111</v>
      </c>
      <c r="D255">
        <v>8</v>
      </c>
      <c r="E255" t="s">
        <v>23</v>
      </c>
      <c r="F255" t="s">
        <v>30</v>
      </c>
      <c r="G255" t="s">
        <v>10</v>
      </c>
    </row>
    <row r="256" spans="1:7" x14ac:dyDescent="0.25">
      <c r="A256" t="s">
        <v>226</v>
      </c>
      <c r="B256">
        <v>388</v>
      </c>
      <c r="C256">
        <v>93</v>
      </c>
      <c r="D256">
        <v>2</v>
      </c>
      <c r="E256" t="s">
        <v>12</v>
      </c>
      <c r="F256" t="s">
        <v>16</v>
      </c>
      <c r="G256" t="s">
        <v>10</v>
      </c>
    </row>
    <row r="257" spans="1:7" x14ac:dyDescent="0.25">
      <c r="A257" t="s">
        <v>60</v>
      </c>
      <c r="B257">
        <v>498</v>
      </c>
      <c r="C257">
        <v>-116</v>
      </c>
      <c r="D257">
        <v>4</v>
      </c>
      <c r="E257" t="s">
        <v>23</v>
      </c>
      <c r="F257" t="s">
        <v>26</v>
      </c>
      <c r="G257" t="s">
        <v>28</v>
      </c>
    </row>
    <row r="258" spans="1:7" x14ac:dyDescent="0.25">
      <c r="A258" t="s">
        <v>227</v>
      </c>
      <c r="B258">
        <v>561</v>
      </c>
      <c r="C258">
        <v>212</v>
      </c>
      <c r="D258">
        <v>3</v>
      </c>
      <c r="E258" t="s">
        <v>23</v>
      </c>
      <c r="F258" t="s">
        <v>26</v>
      </c>
      <c r="G258" t="s">
        <v>19</v>
      </c>
    </row>
    <row r="259" spans="1:7" x14ac:dyDescent="0.25">
      <c r="A259" t="s">
        <v>228</v>
      </c>
      <c r="B259">
        <v>61</v>
      </c>
      <c r="C259">
        <v>3</v>
      </c>
      <c r="D259">
        <v>4</v>
      </c>
      <c r="E259" t="s">
        <v>23</v>
      </c>
      <c r="F259" t="s">
        <v>30</v>
      </c>
      <c r="G259" t="s">
        <v>10</v>
      </c>
    </row>
    <row r="260" spans="1:7" x14ac:dyDescent="0.25">
      <c r="A260" t="s">
        <v>229</v>
      </c>
      <c r="B260">
        <v>34</v>
      </c>
      <c r="C260">
        <v>-22</v>
      </c>
      <c r="D260">
        <v>4</v>
      </c>
      <c r="E260" t="s">
        <v>23</v>
      </c>
      <c r="F260" t="s">
        <v>81</v>
      </c>
      <c r="G260" t="s">
        <v>10</v>
      </c>
    </row>
    <row r="261" spans="1:7" x14ac:dyDescent="0.25">
      <c r="A261" t="s">
        <v>230</v>
      </c>
      <c r="B261">
        <v>32</v>
      </c>
      <c r="C261">
        <v>6</v>
      </c>
      <c r="D261">
        <v>3</v>
      </c>
      <c r="E261" t="s">
        <v>23</v>
      </c>
      <c r="F261" t="s">
        <v>142</v>
      </c>
      <c r="G261" t="s">
        <v>28</v>
      </c>
    </row>
    <row r="262" spans="1:7" x14ac:dyDescent="0.25">
      <c r="A262" t="s">
        <v>39</v>
      </c>
      <c r="B262">
        <v>623</v>
      </c>
      <c r="C262">
        <v>-192</v>
      </c>
      <c r="D262">
        <v>3</v>
      </c>
      <c r="E262" t="s">
        <v>12</v>
      </c>
      <c r="F262" t="s">
        <v>45</v>
      </c>
      <c r="G262" t="s">
        <v>28</v>
      </c>
    </row>
    <row r="263" spans="1:7" x14ac:dyDescent="0.25">
      <c r="A263" t="s">
        <v>231</v>
      </c>
      <c r="B263">
        <v>520</v>
      </c>
      <c r="C263">
        <v>151</v>
      </c>
      <c r="D263">
        <v>3</v>
      </c>
      <c r="E263" t="s">
        <v>8</v>
      </c>
      <c r="F263" t="s">
        <v>21</v>
      </c>
      <c r="G263" t="s">
        <v>19</v>
      </c>
    </row>
    <row r="264" spans="1:7" x14ac:dyDescent="0.25">
      <c r="A264" t="s">
        <v>112</v>
      </c>
      <c r="B264">
        <v>32</v>
      </c>
      <c r="C264">
        <v>-16</v>
      </c>
      <c r="D264">
        <v>6</v>
      </c>
      <c r="E264" t="s">
        <v>23</v>
      </c>
      <c r="F264" t="s">
        <v>26</v>
      </c>
      <c r="G264" t="s">
        <v>28</v>
      </c>
    </row>
    <row r="265" spans="1:7" x14ac:dyDescent="0.25">
      <c r="A265" t="s">
        <v>33</v>
      </c>
      <c r="B265">
        <v>32</v>
      </c>
      <c r="C265">
        <v>-5</v>
      </c>
      <c r="D265">
        <v>5</v>
      </c>
      <c r="E265" t="s">
        <v>23</v>
      </c>
      <c r="F265" t="s">
        <v>30</v>
      </c>
      <c r="G265" t="s">
        <v>28</v>
      </c>
    </row>
    <row r="266" spans="1:7" x14ac:dyDescent="0.25">
      <c r="A266" t="s">
        <v>232</v>
      </c>
      <c r="B266">
        <v>510</v>
      </c>
      <c r="C266">
        <v>234</v>
      </c>
      <c r="D266">
        <v>6</v>
      </c>
      <c r="E266" t="s">
        <v>8</v>
      </c>
      <c r="F266" t="s">
        <v>9</v>
      </c>
      <c r="G266" t="s">
        <v>14</v>
      </c>
    </row>
    <row r="267" spans="1:7" x14ac:dyDescent="0.25">
      <c r="A267" t="s">
        <v>233</v>
      </c>
      <c r="B267">
        <v>382</v>
      </c>
      <c r="C267">
        <v>68</v>
      </c>
      <c r="D267">
        <v>3</v>
      </c>
      <c r="E267" t="s">
        <v>23</v>
      </c>
      <c r="F267" t="s">
        <v>26</v>
      </c>
      <c r="G267" t="s">
        <v>10</v>
      </c>
    </row>
    <row r="268" spans="1:7" x14ac:dyDescent="0.25">
      <c r="A268" t="s">
        <v>115</v>
      </c>
      <c r="B268">
        <v>33</v>
      </c>
      <c r="C268">
        <v>13</v>
      </c>
      <c r="D268">
        <v>3</v>
      </c>
      <c r="E268" t="s">
        <v>23</v>
      </c>
      <c r="F268" t="s">
        <v>63</v>
      </c>
      <c r="G268" t="s">
        <v>28</v>
      </c>
    </row>
    <row r="269" spans="1:7" x14ac:dyDescent="0.25">
      <c r="A269" t="s">
        <v>53</v>
      </c>
      <c r="B269">
        <v>381</v>
      </c>
      <c r="C269">
        <v>-13</v>
      </c>
      <c r="D269">
        <v>2</v>
      </c>
      <c r="E269" t="s">
        <v>23</v>
      </c>
      <c r="F269" t="s">
        <v>26</v>
      </c>
      <c r="G269" t="s">
        <v>10</v>
      </c>
    </row>
    <row r="270" spans="1:7" x14ac:dyDescent="0.25">
      <c r="A270" t="s">
        <v>88</v>
      </c>
      <c r="B270">
        <v>490</v>
      </c>
      <c r="C270">
        <v>88</v>
      </c>
      <c r="D270">
        <v>2</v>
      </c>
      <c r="E270" t="s">
        <v>8</v>
      </c>
      <c r="F270" t="s">
        <v>73</v>
      </c>
      <c r="G270" t="s">
        <v>14</v>
      </c>
    </row>
    <row r="271" spans="1:7" x14ac:dyDescent="0.25">
      <c r="A271" t="s">
        <v>234</v>
      </c>
      <c r="B271">
        <v>381</v>
      </c>
      <c r="C271">
        <v>144</v>
      </c>
      <c r="D271">
        <v>2</v>
      </c>
      <c r="E271" t="s">
        <v>23</v>
      </c>
      <c r="F271" t="s">
        <v>26</v>
      </c>
      <c r="G271" t="s">
        <v>10</v>
      </c>
    </row>
    <row r="272" spans="1:7" x14ac:dyDescent="0.25">
      <c r="A272" t="s">
        <v>230</v>
      </c>
      <c r="B272">
        <v>487</v>
      </c>
      <c r="C272">
        <v>143</v>
      </c>
      <c r="D272">
        <v>4</v>
      </c>
      <c r="E272" t="s">
        <v>8</v>
      </c>
      <c r="F272" t="s">
        <v>21</v>
      </c>
      <c r="G272" t="s">
        <v>14</v>
      </c>
    </row>
    <row r="273" spans="1:7" x14ac:dyDescent="0.25">
      <c r="A273" t="s">
        <v>209</v>
      </c>
      <c r="B273">
        <v>366</v>
      </c>
      <c r="C273">
        <v>84</v>
      </c>
      <c r="D273">
        <v>3</v>
      </c>
      <c r="E273" t="s">
        <v>12</v>
      </c>
      <c r="F273" t="s">
        <v>16</v>
      </c>
      <c r="G273" t="s">
        <v>10</v>
      </c>
    </row>
    <row r="274" spans="1:7" x14ac:dyDescent="0.25">
      <c r="A274" t="s">
        <v>210</v>
      </c>
      <c r="B274">
        <v>33</v>
      </c>
      <c r="C274">
        <v>-29</v>
      </c>
      <c r="D274">
        <v>3</v>
      </c>
      <c r="E274" t="s">
        <v>23</v>
      </c>
      <c r="F274" t="s">
        <v>142</v>
      </c>
      <c r="G274" t="s">
        <v>28</v>
      </c>
    </row>
    <row r="275" spans="1:7" x14ac:dyDescent="0.25">
      <c r="A275" t="s">
        <v>136</v>
      </c>
      <c r="B275">
        <v>365</v>
      </c>
      <c r="C275">
        <v>107</v>
      </c>
      <c r="D275">
        <v>3</v>
      </c>
      <c r="E275" t="s">
        <v>8</v>
      </c>
      <c r="F275" t="s">
        <v>21</v>
      </c>
      <c r="G275" t="s">
        <v>10</v>
      </c>
    </row>
    <row r="276" spans="1:7" x14ac:dyDescent="0.25">
      <c r="A276" t="s">
        <v>219</v>
      </c>
      <c r="B276">
        <v>207</v>
      </c>
      <c r="C276">
        <v>-100</v>
      </c>
      <c r="D276">
        <v>2</v>
      </c>
      <c r="E276" t="s">
        <v>23</v>
      </c>
      <c r="F276" t="s">
        <v>26</v>
      </c>
      <c r="G276" t="s">
        <v>28</v>
      </c>
    </row>
    <row r="277" spans="1:7" x14ac:dyDescent="0.25">
      <c r="A277" t="s">
        <v>200</v>
      </c>
      <c r="B277">
        <v>359</v>
      </c>
      <c r="C277">
        <v>-338</v>
      </c>
      <c r="D277">
        <v>5</v>
      </c>
      <c r="E277" t="s">
        <v>12</v>
      </c>
      <c r="F277" t="s">
        <v>16</v>
      </c>
      <c r="G277" t="s">
        <v>10</v>
      </c>
    </row>
    <row r="278" spans="1:7" x14ac:dyDescent="0.25">
      <c r="A278" t="s">
        <v>135</v>
      </c>
      <c r="B278">
        <v>351</v>
      </c>
      <c r="C278">
        <v>-47</v>
      </c>
      <c r="D278">
        <v>8</v>
      </c>
      <c r="E278" t="s">
        <v>8</v>
      </c>
      <c r="F278" t="s">
        <v>21</v>
      </c>
      <c r="G278" t="s">
        <v>10</v>
      </c>
    </row>
    <row r="279" spans="1:7" x14ac:dyDescent="0.25">
      <c r="A279" t="s">
        <v>111</v>
      </c>
      <c r="B279">
        <v>485</v>
      </c>
      <c r="C279">
        <v>199</v>
      </c>
      <c r="D279">
        <v>4</v>
      </c>
      <c r="E279" t="s">
        <v>23</v>
      </c>
      <c r="F279" t="s">
        <v>26</v>
      </c>
      <c r="G279" t="s">
        <v>14</v>
      </c>
    </row>
    <row r="280" spans="1:7" x14ac:dyDescent="0.25">
      <c r="A280" t="s">
        <v>29</v>
      </c>
      <c r="B280">
        <v>37</v>
      </c>
      <c r="C280">
        <v>-23</v>
      </c>
      <c r="D280">
        <v>4</v>
      </c>
      <c r="E280" t="s">
        <v>23</v>
      </c>
      <c r="F280" t="s">
        <v>142</v>
      </c>
      <c r="G280" t="s">
        <v>28</v>
      </c>
    </row>
    <row r="281" spans="1:7" x14ac:dyDescent="0.25">
      <c r="A281" t="s">
        <v>116</v>
      </c>
      <c r="B281">
        <v>34</v>
      </c>
      <c r="C281">
        <v>10</v>
      </c>
      <c r="D281">
        <v>2</v>
      </c>
      <c r="E281" t="s">
        <v>23</v>
      </c>
      <c r="F281" t="s">
        <v>81</v>
      </c>
      <c r="G281" t="s">
        <v>82</v>
      </c>
    </row>
    <row r="282" spans="1:7" x14ac:dyDescent="0.25">
      <c r="A282" t="s">
        <v>235</v>
      </c>
      <c r="B282">
        <v>346</v>
      </c>
      <c r="C282">
        <v>108</v>
      </c>
      <c r="D282">
        <v>3</v>
      </c>
      <c r="E282" t="s">
        <v>12</v>
      </c>
      <c r="F282" t="s">
        <v>13</v>
      </c>
      <c r="G282" t="s">
        <v>10</v>
      </c>
    </row>
    <row r="283" spans="1:7" x14ac:dyDescent="0.25">
      <c r="A283" t="s">
        <v>158</v>
      </c>
      <c r="B283">
        <v>342</v>
      </c>
      <c r="C283">
        <v>-103</v>
      </c>
      <c r="D283">
        <v>4</v>
      </c>
      <c r="E283" t="s">
        <v>8</v>
      </c>
      <c r="F283" t="s">
        <v>9</v>
      </c>
      <c r="G283" t="s">
        <v>10</v>
      </c>
    </row>
    <row r="284" spans="1:7" x14ac:dyDescent="0.25">
      <c r="A284" t="s">
        <v>236</v>
      </c>
      <c r="B284">
        <v>35</v>
      </c>
      <c r="C284">
        <v>-8</v>
      </c>
      <c r="D284">
        <v>2</v>
      </c>
      <c r="E284" t="s">
        <v>12</v>
      </c>
      <c r="F284" t="s">
        <v>131</v>
      </c>
      <c r="G284" t="s">
        <v>82</v>
      </c>
    </row>
    <row r="285" spans="1:7" x14ac:dyDescent="0.25">
      <c r="A285" t="s">
        <v>237</v>
      </c>
      <c r="B285">
        <v>121</v>
      </c>
      <c r="C285">
        <v>41</v>
      </c>
      <c r="D285">
        <v>4</v>
      </c>
      <c r="E285" t="s">
        <v>23</v>
      </c>
      <c r="F285" t="s">
        <v>57</v>
      </c>
      <c r="G285" t="s">
        <v>28</v>
      </c>
    </row>
    <row r="286" spans="1:7" x14ac:dyDescent="0.25">
      <c r="A286" t="s">
        <v>134</v>
      </c>
      <c r="B286">
        <v>336</v>
      </c>
      <c r="C286">
        <v>57</v>
      </c>
      <c r="D286">
        <v>2</v>
      </c>
      <c r="E286" t="s">
        <v>8</v>
      </c>
      <c r="F286" t="s">
        <v>21</v>
      </c>
      <c r="G286" t="s">
        <v>10</v>
      </c>
    </row>
    <row r="287" spans="1:7" x14ac:dyDescent="0.25">
      <c r="A287" t="s">
        <v>31</v>
      </c>
      <c r="B287">
        <v>336</v>
      </c>
      <c r="C287">
        <v>71</v>
      </c>
      <c r="D287">
        <v>3</v>
      </c>
      <c r="E287" t="s">
        <v>12</v>
      </c>
      <c r="F287" t="s">
        <v>16</v>
      </c>
      <c r="G287" t="s">
        <v>10</v>
      </c>
    </row>
    <row r="288" spans="1:7" x14ac:dyDescent="0.25">
      <c r="A288" t="s">
        <v>238</v>
      </c>
      <c r="B288">
        <v>27</v>
      </c>
      <c r="C288">
        <v>4</v>
      </c>
      <c r="D288">
        <v>1</v>
      </c>
      <c r="E288" t="s">
        <v>23</v>
      </c>
      <c r="F288" t="s">
        <v>30</v>
      </c>
      <c r="G288" t="s">
        <v>10</v>
      </c>
    </row>
    <row r="289" spans="1:7" x14ac:dyDescent="0.25">
      <c r="A289" t="s">
        <v>173</v>
      </c>
      <c r="B289">
        <v>333</v>
      </c>
      <c r="C289">
        <v>50</v>
      </c>
      <c r="D289">
        <v>2</v>
      </c>
      <c r="E289" t="s">
        <v>8</v>
      </c>
      <c r="F289" t="s">
        <v>21</v>
      </c>
      <c r="G289" t="s">
        <v>10</v>
      </c>
    </row>
    <row r="290" spans="1:7" x14ac:dyDescent="0.25">
      <c r="A290" t="s">
        <v>22</v>
      </c>
      <c r="B290">
        <v>36</v>
      </c>
      <c r="C290">
        <v>7</v>
      </c>
      <c r="D290">
        <v>3</v>
      </c>
      <c r="E290" t="s">
        <v>23</v>
      </c>
      <c r="F290" t="s">
        <v>63</v>
      </c>
      <c r="G290" t="s">
        <v>82</v>
      </c>
    </row>
    <row r="291" spans="1:7" x14ac:dyDescent="0.25">
      <c r="A291" t="s">
        <v>239</v>
      </c>
      <c r="B291">
        <v>333</v>
      </c>
      <c r="C291">
        <v>-15</v>
      </c>
      <c r="D291">
        <v>3</v>
      </c>
      <c r="E291" t="s">
        <v>8</v>
      </c>
      <c r="F291" t="s">
        <v>21</v>
      </c>
      <c r="G291" t="s">
        <v>10</v>
      </c>
    </row>
    <row r="292" spans="1:7" x14ac:dyDescent="0.25">
      <c r="A292" t="s">
        <v>240</v>
      </c>
      <c r="B292">
        <v>327</v>
      </c>
      <c r="C292">
        <v>114</v>
      </c>
      <c r="D292">
        <v>4</v>
      </c>
      <c r="E292" t="s">
        <v>23</v>
      </c>
      <c r="F292" t="s">
        <v>24</v>
      </c>
      <c r="G292" t="s">
        <v>10</v>
      </c>
    </row>
    <row r="293" spans="1:7" x14ac:dyDescent="0.25">
      <c r="A293" t="s">
        <v>241</v>
      </c>
      <c r="B293">
        <v>18</v>
      </c>
      <c r="C293">
        <v>6</v>
      </c>
      <c r="D293">
        <v>3</v>
      </c>
      <c r="E293" t="s">
        <v>23</v>
      </c>
      <c r="F293" t="s">
        <v>30</v>
      </c>
      <c r="G293" t="s">
        <v>28</v>
      </c>
    </row>
    <row r="294" spans="1:7" x14ac:dyDescent="0.25">
      <c r="A294" t="s">
        <v>230</v>
      </c>
      <c r="B294">
        <v>325</v>
      </c>
      <c r="C294">
        <v>32</v>
      </c>
      <c r="D294">
        <v>7</v>
      </c>
      <c r="E294" t="s">
        <v>23</v>
      </c>
      <c r="F294" t="s">
        <v>81</v>
      </c>
      <c r="G294" t="s">
        <v>10</v>
      </c>
    </row>
    <row r="295" spans="1:7" x14ac:dyDescent="0.25">
      <c r="A295" t="s">
        <v>242</v>
      </c>
      <c r="B295">
        <v>482</v>
      </c>
      <c r="C295">
        <v>-6</v>
      </c>
      <c r="D295">
        <v>7</v>
      </c>
      <c r="E295" t="s">
        <v>8</v>
      </c>
      <c r="F295" t="s">
        <v>9</v>
      </c>
      <c r="G295" t="s">
        <v>14</v>
      </c>
    </row>
    <row r="296" spans="1:7" x14ac:dyDescent="0.25">
      <c r="A296" t="s">
        <v>36</v>
      </c>
      <c r="B296">
        <v>465</v>
      </c>
      <c r="C296">
        <v>-33</v>
      </c>
      <c r="D296">
        <v>4</v>
      </c>
      <c r="E296" t="s">
        <v>8</v>
      </c>
      <c r="F296" t="s">
        <v>21</v>
      </c>
      <c r="G296" t="s">
        <v>14</v>
      </c>
    </row>
    <row r="297" spans="1:7" x14ac:dyDescent="0.25">
      <c r="A297" t="s">
        <v>144</v>
      </c>
      <c r="B297">
        <v>40</v>
      </c>
      <c r="C297">
        <v>-12</v>
      </c>
      <c r="D297">
        <v>3</v>
      </c>
      <c r="E297" t="s">
        <v>23</v>
      </c>
      <c r="F297" t="s">
        <v>142</v>
      </c>
      <c r="G297" t="s">
        <v>10</v>
      </c>
    </row>
    <row r="298" spans="1:7" x14ac:dyDescent="0.25">
      <c r="A298" t="s">
        <v>149</v>
      </c>
      <c r="B298">
        <v>107</v>
      </c>
      <c r="C298">
        <v>36</v>
      </c>
      <c r="D298">
        <v>6</v>
      </c>
      <c r="E298" t="s">
        <v>23</v>
      </c>
      <c r="F298" t="s">
        <v>57</v>
      </c>
      <c r="G298" t="s">
        <v>10</v>
      </c>
    </row>
    <row r="299" spans="1:7" x14ac:dyDescent="0.25">
      <c r="A299" t="s">
        <v>38</v>
      </c>
      <c r="B299">
        <v>312</v>
      </c>
      <c r="C299">
        <v>-312</v>
      </c>
      <c r="D299">
        <v>7</v>
      </c>
      <c r="E299" t="s">
        <v>12</v>
      </c>
      <c r="F299" t="s">
        <v>13</v>
      </c>
      <c r="G299" t="s">
        <v>10</v>
      </c>
    </row>
    <row r="300" spans="1:7" x14ac:dyDescent="0.25">
      <c r="A300" t="s">
        <v>243</v>
      </c>
      <c r="B300">
        <v>451</v>
      </c>
      <c r="C300">
        <v>25</v>
      </c>
      <c r="D300">
        <v>3</v>
      </c>
      <c r="E300" t="s">
        <v>8</v>
      </c>
      <c r="F300" t="s">
        <v>21</v>
      </c>
      <c r="G300" t="s">
        <v>14</v>
      </c>
    </row>
    <row r="301" spans="1:7" x14ac:dyDescent="0.25">
      <c r="A301" t="s">
        <v>177</v>
      </c>
      <c r="B301">
        <v>312</v>
      </c>
      <c r="C301">
        <v>62</v>
      </c>
      <c r="D301">
        <v>1</v>
      </c>
      <c r="E301" t="s">
        <v>8</v>
      </c>
      <c r="F301" t="s">
        <v>9</v>
      </c>
      <c r="G301" t="s">
        <v>10</v>
      </c>
    </row>
    <row r="302" spans="1:7" x14ac:dyDescent="0.25">
      <c r="A302" t="s">
        <v>244</v>
      </c>
      <c r="B302">
        <v>311</v>
      </c>
      <c r="C302">
        <v>72</v>
      </c>
      <c r="D302">
        <v>2</v>
      </c>
      <c r="E302" t="s">
        <v>12</v>
      </c>
      <c r="F302" t="s">
        <v>16</v>
      </c>
      <c r="G302" t="s">
        <v>10</v>
      </c>
    </row>
    <row r="303" spans="1:7" x14ac:dyDescent="0.25">
      <c r="A303" t="s">
        <v>245</v>
      </c>
      <c r="B303">
        <v>11</v>
      </c>
      <c r="C303">
        <v>5</v>
      </c>
      <c r="D303">
        <v>2</v>
      </c>
      <c r="E303" t="s">
        <v>23</v>
      </c>
      <c r="F303" t="s">
        <v>30</v>
      </c>
      <c r="G303" t="s">
        <v>28</v>
      </c>
    </row>
    <row r="304" spans="1:7" x14ac:dyDescent="0.25">
      <c r="A304" t="s">
        <v>221</v>
      </c>
      <c r="B304">
        <v>37</v>
      </c>
      <c r="C304">
        <v>-5</v>
      </c>
      <c r="D304">
        <v>3</v>
      </c>
      <c r="E304" t="s">
        <v>23</v>
      </c>
      <c r="F304" t="s">
        <v>81</v>
      </c>
      <c r="G304" t="s">
        <v>82</v>
      </c>
    </row>
    <row r="305" spans="1:7" x14ac:dyDescent="0.25">
      <c r="A305" t="s">
        <v>246</v>
      </c>
      <c r="B305">
        <v>444</v>
      </c>
      <c r="C305">
        <v>-200</v>
      </c>
      <c r="D305">
        <v>4</v>
      </c>
      <c r="E305" t="s">
        <v>8</v>
      </c>
      <c r="F305" t="s">
        <v>21</v>
      </c>
      <c r="G305" t="s">
        <v>14</v>
      </c>
    </row>
    <row r="306" spans="1:7" x14ac:dyDescent="0.25">
      <c r="A306" t="s">
        <v>247</v>
      </c>
      <c r="B306">
        <v>434</v>
      </c>
      <c r="C306">
        <v>26</v>
      </c>
      <c r="D306">
        <v>11</v>
      </c>
      <c r="E306" t="s">
        <v>23</v>
      </c>
      <c r="F306" t="s">
        <v>142</v>
      </c>
      <c r="G306" t="s">
        <v>19</v>
      </c>
    </row>
    <row r="307" spans="1:7" x14ac:dyDescent="0.25">
      <c r="A307" t="s">
        <v>248</v>
      </c>
      <c r="B307">
        <v>299</v>
      </c>
      <c r="C307">
        <v>0</v>
      </c>
      <c r="D307">
        <v>6</v>
      </c>
      <c r="E307" t="s">
        <v>23</v>
      </c>
      <c r="F307" t="s">
        <v>57</v>
      </c>
      <c r="G307" t="s">
        <v>10</v>
      </c>
    </row>
    <row r="308" spans="1:7" x14ac:dyDescent="0.25">
      <c r="A308" t="s">
        <v>134</v>
      </c>
      <c r="B308">
        <v>37</v>
      </c>
      <c r="C308">
        <v>17</v>
      </c>
      <c r="D308">
        <v>3</v>
      </c>
      <c r="E308" t="s">
        <v>23</v>
      </c>
      <c r="F308" t="s">
        <v>30</v>
      </c>
      <c r="G308" t="s">
        <v>82</v>
      </c>
    </row>
    <row r="309" spans="1:7" x14ac:dyDescent="0.25">
      <c r="A309" t="s">
        <v>249</v>
      </c>
      <c r="B309">
        <v>299</v>
      </c>
      <c r="C309">
        <v>113</v>
      </c>
      <c r="D309">
        <v>2</v>
      </c>
      <c r="E309" t="s">
        <v>12</v>
      </c>
      <c r="F309" t="s">
        <v>16</v>
      </c>
      <c r="G309" t="s">
        <v>10</v>
      </c>
    </row>
    <row r="310" spans="1:7" x14ac:dyDescent="0.25">
      <c r="A310" t="s">
        <v>250</v>
      </c>
      <c r="B310">
        <v>298</v>
      </c>
      <c r="C310">
        <v>74</v>
      </c>
      <c r="D310">
        <v>2</v>
      </c>
      <c r="E310" t="s">
        <v>12</v>
      </c>
      <c r="F310" t="s">
        <v>16</v>
      </c>
      <c r="G310" t="s">
        <v>10</v>
      </c>
    </row>
    <row r="311" spans="1:7" x14ac:dyDescent="0.25">
      <c r="A311" t="s">
        <v>251</v>
      </c>
      <c r="B311">
        <v>94</v>
      </c>
      <c r="C311">
        <v>7</v>
      </c>
      <c r="D311">
        <v>7</v>
      </c>
      <c r="E311" t="s">
        <v>23</v>
      </c>
      <c r="F311" t="s">
        <v>63</v>
      </c>
      <c r="G311" t="s">
        <v>28</v>
      </c>
    </row>
    <row r="312" spans="1:7" x14ac:dyDescent="0.25">
      <c r="A312" t="s">
        <v>252</v>
      </c>
      <c r="B312">
        <v>296</v>
      </c>
      <c r="C312">
        <v>225</v>
      </c>
      <c r="D312">
        <v>11</v>
      </c>
      <c r="E312" t="s">
        <v>23</v>
      </c>
      <c r="F312" t="s">
        <v>26</v>
      </c>
      <c r="G312" t="s">
        <v>10</v>
      </c>
    </row>
    <row r="313" spans="1:7" x14ac:dyDescent="0.25">
      <c r="A313" t="s">
        <v>253</v>
      </c>
      <c r="B313">
        <v>37</v>
      </c>
      <c r="C313">
        <v>17</v>
      </c>
      <c r="D313">
        <v>3</v>
      </c>
      <c r="E313" t="s">
        <v>23</v>
      </c>
      <c r="F313" t="s">
        <v>30</v>
      </c>
      <c r="G313" t="s">
        <v>82</v>
      </c>
    </row>
    <row r="314" spans="1:7" x14ac:dyDescent="0.25">
      <c r="A314" t="s">
        <v>254</v>
      </c>
      <c r="B314">
        <v>291</v>
      </c>
      <c r="C314">
        <v>93</v>
      </c>
      <c r="D314">
        <v>2</v>
      </c>
      <c r="E314" t="s">
        <v>8</v>
      </c>
      <c r="F314" t="s">
        <v>18</v>
      </c>
      <c r="G314" t="s">
        <v>10</v>
      </c>
    </row>
    <row r="315" spans="1:7" x14ac:dyDescent="0.25">
      <c r="A315" t="s">
        <v>215</v>
      </c>
      <c r="B315">
        <v>327</v>
      </c>
      <c r="C315">
        <v>-39</v>
      </c>
      <c r="D315">
        <v>1</v>
      </c>
      <c r="E315" t="s">
        <v>8</v>
      </c>
      <c r="F315" t="s">
        <v>21</v>
      </c>
      <c r="G315" t="s">
        <v>10</v>
      </c>
    </row>
    <row r="316" spans="1:7" x14ac:dyDescent="0.25">
      <c r="A316" t="s">
        <v>231</v>
      </c>
      <c r="B316">
        <v>291</v>
      </c>
      <c r="C316">
        <v>119</v>
      </c>
      <c r="D316">
        <v>11</v>
      </c>
      <c r="E316" t="s">
        <v>23</v>
      </c>
      <c r="F316" t="s">
        <v>26</v>
      </c>
      <c r="G316" t="s">
        <v>10</v>
      </c>
    </row>
    <row r="317" spans="1:7" x14ac:dyDescent="0.25">
      <c r="A317" t="s">
        <v>191</v>
      </c>
      <c r="B317">
        <v>287</v>
      </c>
      <c r="C317">
        <v>-66</v>
      </c>
      <c r="D317">
        <v>6</v>
      </c>
      <c r="E317" t="s">
        <v>23</v>
      </c>
      <c r="F317" t="s">
        <v>32</v>
      </c>
      <c r="G317" t="s">
        <v>10</v>
      </c>
    </row>
    <row r="318" spans="1:7" x14ac:dyDescent="0.25">
      <c r="A318" t="s">
        <v>255</v>
      </c>
      <c r="B318">
        <v>42</v>
      </c>
      <c r="C318">
        <v>15</v>
      </c>
      <c r="D318">
        <v>1</v>
      </c>
      <c r="E318" t="s">
        <v>8</v>
      </c>
      <c r="F318" t="s">
        <v>73</v>
      </c>
      <c r="G318" t="s">
        <v>28</v>
      </c>
    </row>
    <row r="319" spans="1:7" x14ac:dyDescent="0.25">
      <c r="A319" t="s">
        <v>212</v>
      </c>
      <c r="B319">
        <v>429</v>
      </c>
      <c r="C319">
        <v>61</v>
      </c>
      <c r="D319">
        <v>3</v>
      </c>
      <c r="E319" t="s">
        <v>8</v>
      </c>
      <c r="F319" t="s">
        <v>9</v>
      </c>
      <c r="G319" t="s">
        <v>19</v>
      </c>
    </row>
    <row r="320" spans="1:7" x14ac:dyDescent="0.25">
      <c r="A320" t="s">
        <v>256</v>
      </c>
      <c r="B320">
        <v>285</v>
      </c>
      <c r="C320">
        <v>128</v>
      </c>
      <c r="D320">
        <v>2</v>
      </c>
      <c r="E320" t="s">
        <v>8</v>
      </c>
      <c r="F320" t="s">
        <v>18</v>
      </c>
      <c r="G320" t="s">
        <v>10</v>
      </c>
    </row>
    <row r="321" spans="1:7" x14ac:dyDescent="0.25">
      <c r="A321" t="s">
        <v>257</v>
      </c>
      <c r="B321">
        <v>277</v>
      </c>
      <c r="C321">
        <v>3</v>
      </c>
      <c r="D321">
        <v>1</v>
      </c>
      <c r="E321" t="s">
        <v>8</v>
      </c>
      <c r="F321" t="s">
        <v>9</v>
      </c>
      <c r="G321" t="s">
        <v>10</v>
      </c>
    </row>
    <row r="322" spans="1:7" x14ac:dyDescent="0.25">
      <c r="A322" t="s">
        <v>48</v>
      </c>
      <c r="B322">
        <v>274</v>
      </c>
      <c r="C322">
        <v>-7</v>
      </c>
      <c r="D322">
        <v>4</v>
      </c>
      <c r="E322" t="s">
        <v>8</v>
      </c>
      <c r="F322" t="s">
        <v>21</v>
      </c>
      <c r="G322" t="s">
        <v>10</v>
      </c>
    </row>
    <row r="323" spans="1:7" x14ac:dyDescent="0.25">
      <c r="A323" t="s">
        <v>258</v>
      </c>
      <c r="B323">
        <v>273</v>
      </c>
      <c r="C323">
        <v>-87</v>
      </c>
      <c r="D323">
        <v>4</v>
      </c>
      <c r="E323" t="s">
        <v>8</v>
      </c>
      <c r="F323" t="s">
        <v>21</v>
      </c>
      <c r="G323" t="s">
        <v>10</v>
      </c>
    </row>
    <row r="324" spans="1:7" x14ac:dyDescent="0.25">
      <c r="A324" t="s">
        <v>172</v>
      </c>
      <c r="B324">
        <v>269</v>
      </c>
      <c r="C324">
        <v>91</v>
      </c>
      <c r="D324">
        <v>1</v>
      </c>
      <c r="E324" t="s">
        <v>8</v>
      </c>
      <c r="F324" t="s">
        <v>9</v>
      </c>
      <c r="G324" t="s">
        <v>10</v>
      </c>
    </row>
    <row r="325" spans="1:7" x14ac:dyDescent="0.25">
      <c r="A325" t="s">
        <v>254</v>
      </c>
      <c r="B325">
        <v>11</v>
      </c>
      <c r="C325">
        <v>5</v>
      </c>
      <c r="D325">
        <v>1</v>
      </c>
      <c r="E325" t="s">
        <v>23</v>
      </c>
      <c r="F325" t="s">
        <v>43</v>
      </c>
      <c r="G325" t="s">
        <v>10</v>
      </c>
    </row>
    <row r="326" spans="1:7" x14ac:dyDescent="0.25">
      <c r="A326" t="s">
        <v>15</v>
      </c>
      <c r="B326">
        <v>39</v>
      </c>
      <c r="C326">
        <v>2</v>
      </c>
      <c r="D326">
        <v>2</v>
      </c>
      <c r="E326" t="s">
        <v>23</v>
      </c>
      <c r="F326" t="s">
        <v>26</v>
      </c>
      <c r="G326" t="s">
        <v>82</v>
      </c>
    </row>
    <row r="327" spans="1:7" x14ac:dyDescent="0.25">
      <c r="A327" t="s">
        <v>243</v>
      </c>
      <c r="B327">
        <v>264</v>
      </c>
      <c r="C327">
        <v>-26</v>
      </c>
      <c r="D327">
        <v>3</v>
      </c>
      <c r="E327" t="s">
        <v>23</v>
      </c>
      <c r="F327" t="s">
        <v>24</v>
      </c>
      <c r="G327" t="s">
        <v>10</v>
      </c>
    </row>
    <row r="328" spans="1:7" x14ac:dyDescent="0.25">
      <c r="A328" t="s">
        <v>259</v>
      </c>
      <c r="B328">
        <v>40</v>
      </c>
      <c r="C328">
        <v>16</v>
      </c>
      <c r="D328">
        <v>3</v>
      </c>
      <c r="E328" t="s">
        <v>23</v>
      </c>
      <c r="F328" t="s">
        <v>30</v>
      </c>
      <c r="G328" t="s">
        <v>82</v>
      </c>
    </row>
    <row r="329" spans="1:7" x14ac:dyDescent="0.25">
      <c r="A329" t="s">
        <v>260</v>
      </c>
      <c r="B329">
        <v>41</v>
      </c>
      <c r="C329">
        <v>19</v>
      </c>
      <c r="D329">
        <v>2</v>
      </c>
      <c r="E329" t="s">
        <v>23</v>
      </c>
      <c r="F329" t="s">
        <v>81</v>
      </c>
      <c r="G329" t="s">
        <v>82</v>
      </c>
    </row>
    <row r="330" spans="1:7" x14ac:dyDescent="0.25">
      <c r="A330" t="s">
        <v>222</v>
      </c>
      <c r="B330">
        <v>253</v>
      </c>
      <c r="C330">
        <v>-63</v>
      </c>
      <c r="D330">
        <v>2</v>
      </c>
      <c r="E330" t="s">
        <v>23</v>
      </c>
      <c r="F330" t="s">
        <v>26</v>
      </c>
      <c r="G330" t="s">
        <v>28</v>
      </c>
    </row>
    <row r="331" spans="1:7" x14ac:dyDescent="0.25">
      <c r="A331" t="s">
        <v>261</v>
      </c>
      <c r="B331">
        <v>406</v>
      </c>
      <c r="C331">
        <v>97</v>
      </c>
      <c r="D331">
        <v>7</v>
      </c>
      <c r="E331" t="s">
        <v>12</v>
      </c>
      <c r="F331" t="s">
        <v>13</v>
      </c>
      <c r="G331" t="s">
        <v>19</v>
      </c>
    </row>
    <row r="332" spans="1:7" x14ac:dyDescent="0.25">
      <c r="A332" t="s">
        <v>262</v>
      </c>
      <c r="B332">
        <v>32</v>
      </c>
      <c r="C332">
        <v>7</v>
      </c>
      <c r="D332">
        <v>3</v>
      </c>
      <c r="E332" t="s">
        <v>23</v>
      </c>
      <c r="F332" t="s">
        <v>30</v>
      </c>
      <c r="G332" t="s">
        <v>10</v>
      </c>
    </row>
    <row r="333" spans="1:7" x14ac:dyDescent="0.25">
      <c r="A333" t="s">
        <v>177</v>
      </c>
      <c r="B333">
        <v>260</v>
      </c>
      <c r="C333">
        <v>68</v>
      </c>
      <c r="D333">
        <v>2</v>
      </c>
      <c r="E333" t="s">
        <v>8</v>
      </c>
      <c r="F333" t="s">
        <v>18</v>
      </c>
      <c r="G333" t="s">
        <v>10</v>
      </c>
    </row>
    <row r="334" spans="1:7" x14ac:dyDescent="0.25">
      <c r="A334" t="s">
        <v>263</v>
      </c>
      <c r="B334">
        <v>41</v>
      </c>
      <c r="C334">
        <v>19</v>
      </c>
      <c r="D334">
        <v>5</v>
      </c>
      <c r="E334" t="s">
        <v>23</v>
      </c>
      <c r="F334" t="s">
        <v>30</v>
      </c>
      <c r="G334" t="s">
        <v>82</v>
      </c>
    </row>
    <row r="335" spans="1:7" x14ac:dyDescent="0.25">
      <c r="A335" t="s">
        <v>55</v>
      </c>
      <c r="B335">
        <v>401</v>
      </c>
      <c r="C335">
        <v>13</v>
      </c>
      <c r="D335">
        <v>6</v>
      </c>
      <c r="E335" t="s">
        <v>12</v>
      </c>
      <c r="F335" t="s">
        <v>13</v>
      </c>
      <c r="G335" t="s">
        <v>19</v>
      </c>
    </row>
    <row r="336" spans="1:7" x14ac:dyDescent="0.25">
      <c r="A336" t="s">
        <v>259</v>
      </c>
      <c r="B336">
        <v>382</v>
      </c>
      <c r="C336">
        <v>30</v>
      </c>
      <c r="D336">
        <v>3</v>
      </c>
      <c r="E336" t="s">
        <v>23</v>
      </c>
      <c r="F336" t="s">
        <v>26</v>
      </c>
      <c r="G336" t="s">
        <v>19</v>
      </c>
    </row>
    <row r="337" spans="1:7" x14ac:dyDescent="0.25">
      <c r="A337" t="s">
        <v>264</v>
      </c>
      <c r="B337">
        <v>867</v>
      </c>
      <c r="C337">
        <v>251</v>
      </c>
      <c r="D337">
        <v>5</v>
      </c>
      <c r="E337" t="s">
        <v>8</v>
      </c>
      <c r="F337" t="s">
        <v>21</v>
      </c>
      <c r="G337" t="s">
        <v>10</v>
      </c>
    </row>
    <row r="338" spans="1:7" x14ac:dyDescent="0.25">
      <c r="A338" t="s">
        <v>265</v>
      </c>
      <c r="B338">
        <v>43</v>
      </c>
      <c r="C338">
        <v>0</v>
      </c>
      <c r="D338">
        <v>3</v>
      </c>
      <c r="E338" t="s">
        <v>23</v>
      </c>
      <c r="F338" t="s">
        <v>26</v>
      </c>
      <c r="G338" t="s">
        <v>82</v>
      </c>
    </row>
    <row r="339" spans="1:7" x14ac:dyDescent="0.25">
      <c r="A339" t="s">
        <v>266</v>
      </c>
      <c r="B339">
        <v>43</v>
      </c>
      <c r="C339">
        <v>-43</v>
      </c>
      <c r="D339">
        <v>7</v>
      </c>
      <c r="E339" t="s">
        <v>23</v>
      </c>
      <c r="F339" t="s">
        <v>57</v>
      </c>
      <c r="G339" t="s">
        <v>82</v>
      </c>
    </row>
    <row r="340" spans="1:7" x14ac:dyDescent="0.25">
      <c r="A340" t="s">
        <v>217</v>
      </c>
      <c r="B340">
        <v>74</v>
      </c>
      <c r="C340">
        <v>29</v>
      </c>
      <c r="D340">
        <v>3</v>
      </c>
      <c r="E340" t="s">
        <v>23</v>
      </c>
      <c r="F340" t="s">
        <v>57</v>
      </c>
      <c r="G340" t="s">
        <v>10</v>
      </c>
    </row>
    <row r="341" spans="1:7" x14ac:dyDescent="0.25">
      <c r="A341" t="s">
        <v>38</v>
      </c>
      <c r="B341">
        <v>44</v>
      </c>
      <c r="C341">
        <v>-26</v>
      </c>
      <c r="D341">
        <v>3</v>
      </c>
      <c r="E341" t="s">
        <v>23</v>
      </c>
      <c r="F341" t="s">
        <v>30</v>
      </c>
      <c r="G341" t="s">
        <v>82</v>
      </c>
    </row>
    <row r="342" spans="1:7" x14ac:dyDescent="0.25">
      <c r="A342" t="s">
        <v>267</v>
      </c>
      <c r="B342">
        <v>259</v>
      </c>
      <c r="C342">
        <v>-55</v>
      </c>
      <c r="D342">
        <v>2</v>
      </c>
      <c r="E342" t="s">
        <v>12</v>
      </c>
      <c r="F342" t="s">
        <v>13</v>
      </c>
      <c r="G342" t="s">
        <v>10</v>
      </c>
    </row>
    <row r="343" spans="1:7" x14ac:dyDescent="0.25">
      <c r="A343" t="s">
        <v>87</v>
      </c>
      <c r="B343">
        <v>257</v>
      </c>
      <c r="C343">
        <v>23</v>
      </c>
      <c r="D343">
        <v>5</v>
      </c>
      <c r="E343" t="s">
        <v>23</v>
      </c>
      <c r="F343" t="s">
        <v>30</v>
      </c>
      <c r="G343" t="s">
        <v>10</v>
      </c>
    </row>
    <row r="344" spans="1:7" x14ac:dyDescent="0.25">
      <c r="A344" t="s">
        <v>127</v>
      </c>
      <c r="B344">
        <v>76</v>
      </c>
      <c r="C344">
        <v>27</v>
      </c>
      <c r="D344">
        <v>5</v>
      </c>
      <c r="E344" t="s">
        <v>23</v>
      </c>
      <c r="F344" t="s">
        <v>57</v>
      </c>
      <c r="G344" t="s">
        <v>10</v>
      </c>
    </row>
    <row r="345" spans="1:7" x14ac:dyDescent="0.25">
      <c r="A345" t="s">
        <v>268</v>
      </c>
      <c r="B345">
        <v>44</v>
      </c>
      <c r="C345">
        <v>-32</v>
      </c>
      <c r="D345">
        <v>3</v>
      </c>
      <c r="E345" t="s">
        <v>23</v>
      </c>
      <c r="F345" t="s">
        <v>57</v>
      </c>
      <c r="G345" t="s">
        <v>82</v>
      </c>
    </row>
    <row r="346" spans="1:7" x14ac:dyDescent="0.25">
      <c r="A346" t="s">
        <v>269</v>
      </c>
      <c r="B346">
        <v>257</v>
      </c>
      <c r="C346">
        <v>3</v>
      </c>
      <c r="D346">
        <v>2</v>
      </c>
      <c r="E346" t="s">
        <v>23</v>
      </c>
      <c r="F346" t="s">
        <v>26</v>
      </c>
      <c r="G346" t="s">
        <v>10</v>
      </c>
    </row>
    <row r="347" spans="1:7" x14ac:dyDescent="0.25">
      <c r="A347" t="s">
        <v>270</v>
      </c>
      <c r="B347">
        <v>255</v>
      </c>
      <c r="C347">
        <v>76</v>
      </c>
      <c r="D347">
        <v>9</v>
      </c>
      <c r="E347" t="s">
        <v>23</v>
      </c>
      <c r="F347" t="s">
        <v>30</v>
      </c>
      <c r="G347" t="s">
        <v>10</v>
      </c>
    </row>
    <row r="348" spans="1:7" x14ac:dyDescent="0.25">
      <c r="A348" t="s">
        <v>271</v>
      </c>
      <c r="B348">
        <v>44</v>
      </c>
      <c r="C348">
        <v>14</v>
      </c>
      <c r="D348">
        <v>3</v>
      </c>
      <c r="E348" t="s">
        <v>23</v>
      </c>
      <c r="F348" t="s">
        <v>30</v>
      </c>
      <c r="G348" t="s">
        <v>82</v>
      </c>
    </row>
    <row r="349" spans="1:7" x14ac:dyDescent="0.25">
      <c r="A349" t="s">
        <v>221</v>
      </c>
      <c r="B349">
        <v>45</v>
      </c>
      <c r="C349">
        <v>-2</v>
      </c>
      <c r="D349">
        <v>4</v>
      </c>
      <c r="E349" t="s">
        <v>23</v>
      </c>
      <c r="F349" t="s">
        <v>142</v>
      </c>
      <c r="G349" t="s">
        <v>10</v>
      </c>
    </row>
    <row r="350" spans="1:7" x14ac:dyDescent="0.25">
      <c r="A350" t="s">
        <v>7</v>
      </c>
      <c r="B350">
        <v>44</v>
      </c>
      <c r="C350">
        <v>-3</v>
      </c>
      <c r="D350">
        <v>1</v>
      </c>
      <c r="E350" t="s">
        <v>23</v>
      </c>
      <c r="F350" t="s">
        <v>26</v>
      </c>
      <c r="G350" t="s">
        <v>82</v>
      </c>
    </row>
    <row r="351" spans="1:7" x14ac:dyDescent="0.25">
      <c r="A351" t="s">
        <v>88</v>
      </c>
      <c r="B351">
        <v>382</v>
      </c>
      <c r="C351">
        <v>119</v>
      </c>
      <c r="D351">
        <v>2</v>
      </c>
      <c r="E351" t="s">
        <v>23</v>
      </c>
      <c r="F351" t="s">
        <v>26</v>
      </c>
      <c r="G351" t="s">
        <v>19</v>
      </c>
    </row>
    <row r="352" spans="1:7" x14ac:dyDescent="0.25">
      <c r="A352" t="s">
        <v>179</v>
      </c>
      <c r="B352">
        <v>250</v>
      </c>
      <c r="C352">
        <v>100</v>
      </c>
      <c r="D352">
        <v>3</v>
      </c>
      <c r="E352" t="s">
        <v>23</v>
      </c>
      <c r="F352" t="s">
        <v>24</v>
      </c>
      <c r="G352" t="s">
        <v>10</v>
      </c>
    </row>
    <row r="353" spans="1:7" x14ac:dyDescent="0.25">
      <c r="A353" t="s">
        <v>272</v>
      </c>
      <c r="B353">
        <v>45</v>
      </c>
      <c r="C353">
        <v>-15</v>
      </c>
      <c r="D353">
        <v>2</v>
      </c>
      <c r="E353" t="s">
        <v>12</v>
      </c>
      <c r="F353" t="s">
        <v>13</v>
      </c>
      <c r="G353" t="s">
        <v>10</v>
      </c>
    </row>
    <row r="354" spans="1:7" x14ac:dyDescent="0.25">
      <c r="A354" t="s">
        <v>167</v>
      </c>
      <c r="B354">
        <v>246</v>
      </c>
      <c r="C354">
        <v>61</v>
      </c>
      <c r="D354">
        <v>2</v>
      </c>
      <c r="E354" t="s">
        <v>12</v>
      </c>
      <c r="F354" t="s">
        <v>16</v>
      </c>
      <c r="G354" t="s">
        <v>10</v>
      </c>
    </row>
    <row r="355" spans="1:7" x14ac:dyDescent="0.25">
      <c r="A355" t="s">
        <v>254</v>
      </c>
      <c r="B355">
        <v>50</v>
      </c>
      <c r="C355">
        <v>25</v>
      </c>
      <c r="D355">
        <v>5</v>
      </c>
      <c r="E355" t="s">
        <v>23</v>
      </c>
      <c r="F355" t="s">
        <v>57</v>
      </c>
      <c r="G355" t="s">
        <v>10</v>
      </c>
    </row>
    <row r="356" spans="1:7" x14ac:dyDescent="0.25">
      <c r="A356" t="s">
        <v>273</v>
      </c>
      <c r="B356">
        <v>246</v>
      </c>
      <c r="C356">
        <v>98</v>
      </c>
      <c r="D356">
        <v>5</v>
      </c>
      <c r="E356" t="s">
        <v>23</v>
      </c>
      <c r="F356" t="s">
        <v>30</v>
      </c>
      <c r="G356" t="s">
        <v>10</v>
      </c>
    </row>
    <row r="357" spans="1:7" x14ac:dyDescent="0.25">
      <c r="A357" t="s">
        <v>25</v>
      </c>
      <c r="B357">
        <v>44</v>
      </c>
      <c r="C357">
        <v>99</v>
      </c>
      <c r="D357">
        <v>3</v>
      </c>
      <c r="E357" t="s">
        <v>23</v>
      </c>
      <c r="F357" t="s">
        <v>32</v>
      </c>
      <c r="G357" t="s">
        <v>82</v>
      </c>
    </row>
    <row r="358" spans="1:7" x14ac:dyDescent="0.25">
      <c r="A358" t="s">
        <v>274</v>
      </c>
      <c r="B358">
        <v>245</v>
      </c>
      <c r="C358">
        <v>-78</v>
      </c>
      <c r="D358">
        <v>3</v>
      </c>
      <c r="E358" t="s">
        <v>23</v>
      </c>
      <c r="F358" t="s">
        <v>26</v>
      </c>
      <c r="G358" t="s">
        <v>10</v>
      </c>
    </row>
    <row r="359" spans="1:7" x14ac:dyDescent="0.25">
      <c r="A359" t="s">
        <v>187</v>
      </c>
      <c r="B359">
        <v>245</v>
      </c>
      <c r="C359">
        <v>30</v>
      </c>
      <c r="D359">
        <v>2</v>
      </c>
      <c r="E359" t="s">
        <v>23</v>
      </c>
      <c r="F359" t="s">
        <v>26</v>
      </c>
      <c r="G359" t="s">
        <v>10</v>
      </c>
    </row>
    <row r="360" spans="1:7" x14ac:dyDescent="0.25">
      <c r="A360" t="s">
        <v>275</v>
      </c>
      <c r="B360">
        <v>376</v>
      </c>
      <c r="C360">
        <v>0</v>
      </c>
      <c r="D360">
        <v>7</v>
      </c>
      <c r="E360" t="s">
        <v>23</v>
      </c>
      <c r="F360" t="s">
        <v>57</v>
      </c>
      <c r="G360" t="s">
        <v>19</v>
      </c>
    </row>
    <row r="361" spans="1:7" x14ac:dyDescent="0.25">
      <c r="A361" t="s">
        <v>111</v>
      </c>
      <c r="B361">
        <v>45</v>
      </c>
      <c r="C361">
        <v>1</v>
      </c>
      <c r="D361">
        <v>3</v>
      </c>
      <c r="E361" t="s">
        <v>23</v>
      </c>
      <c r="F361" t="s">
        <v>81</v>
      </c>
      <c r="G361" t="s">
        <v>82</v>
      </c>
    </row>
    <row r="362" spans="1:7" x14ac:dyDescent="0.25">
      <c r="A362" t="s">
        <v>276</v>
      </c>
      <c r="B362">
        <v>45</v>
      </c>
      <c r="C362">
        <v>-28</v>
      </c>
      <c r="D362">
        <v>2</v>
      </c>
      <c r="E362" t="s">
        <v>23</v>
      </c>
      <c r="F362" t="s">
        <v>57</v>
      </c>
      <c r="G362" t="s">
        <v>82</v>
      </c>
    </row>
    <row r="363" spans="1:7" x14ac:dyDescent="0.25">
      <c r="A363" t="s">
        <v>277</v>
      </c>
      <c r="B363">
        <v>244</v>
      </c>
      <c r="C363">
        <v>-122</v>
      </c>
      <c r="D363">
        <v>5</v>
      </c>
      <c r="E363" t="s">
        <v>12</v>
      </c>
      <c r="F363" t="s">
        <v>131</v>
      </c>
      <c r="G363" t="s">
        <v>10</v>
      </c>
    </row>
    <row r="364" spans="1:7" x14ac:dyDescent="0.25">
      <c r="A364" t="s">
        <v>278</v>
      </c>
      <c r="B364">
        <v>244</v>
      </c>
      <c r="C364">
        <v>83</v>
      </c>
      <c r="D364">
        <v>2</v>
      </c>
      <c r="E364" t="s">
        <v>12</v>
      </c>
      <c r="F364" t="s">
        <v>16</v>
      </c>
      <c r="G364" t="s">
        <v>10</v>
      </c>
    </row>
    <row r="365" spans="1:7" x14ac:dyDescent="0.25">
      <c r="A365" t="s">
        <v>170</v>
      </c>
      <c r="B365">
        <v>10</v>
      </c>
      <c r="C365">
        <v>4</v>
      </c>
      <c r="D365">
        <v>1</v>
      </c>
      <c r="E365" t="s">
        <v>23</v>
      </c>
      <c r="F365" t="s">
        <v>32</v>
      </c>
      <c r="G365" t="s">
        <v>28</v>
      </c>
    </row>
    <row r="366" spans="1:7" x14ac:dyDescent="0.25">
      <c r="A366" t="s">
        <v>249</v>
      </c>
      <c r="B366">
        <v>375</v>
      </c>
      <c r="C366">
        <v>180</v>
      </c>
      <c r="D366">
        <v>3</v>
      </c>
      <c r="E366" t="s">
        <v>12</v>
      </c>
      <c r="F366" t="s">
        <v>16</v>
      </c>
      <c r="G366" t="s">
        <v>19</v>
      </c>
    </row>
    <row r="367" spans="1:7" x14ac:dyDescent="0.25">
      <c r="A367" t="s">
        <v>104</v>
      </c>
      <c r="B367">
        <v>46</v>
      </c>
      <c r="C367">
        <v>14</v>
      </c>
      <c r="D367">
        <v>5</v>
      </c>
      <c r="E367" t="s">
        <v>23</v>
      </c>
      <c r="F367" t="s">
        <v>43</v>
      </c>
      <c r="G367" t="s">
        <v>82</v>
      </c>
    </row>
    <row r="368" spans="1:7" x14ac:dyDescent="0.25">
      <c r="A368" t="s">
        <v>279</v>
      </c>
      <c r="B368">
        <v>49</v>
      </c>
      <c r="C368">
        <v>-31</v>
      </c>
      <c r="D368">
        <v>2</v>
      </c>
      <c r="E368" t="s">
        <v>23</v>
      </c>
      <c r="F368" t="s">
        <v>57</v>
      </c>
      <c r="G368" t="s">
        <v>28</v>
      </c>
    </row>
    <row r="369" spans="1:7" x14ac:dyDescent="0.25">
      <c r="A369" t="s">
        <v>280</v>
      </c>
      <c r="B369">
        <v>47</v>
      </c>
      <c r="C369">
        <v>-20</v>
      </c>
      <c r="D369">
        <v>2</v>
      </c>
      <c r="E369" t="s">
        <v>23</v>
      </c>
      <c r="F369" t="s">
        <v>32</v>
      </c>
      <c r="G369" t="s">
        <v>82</v>
      </c>
    </row>
    <row r="370" spans="1:7" x14ac:dyDescent="0.25">
      <c r="A370" t="s">
        <v>202</v>
      </c>
      <c r="B370">
        <v>355</v>
      </c>
      <c r="C370">
        <v>-114</v>
      </c>
      <c r="D370">
        <v>7</v>
      </c>
      <c r="E370" t="s">
        <v>23</v>
      </c>
      <c r="F370" t="s">
        <v>57</v>
      </c>
      <c r="G370" t="s">
        <v>19</v>
      </c>
    </row>
    <row r="371" spans="1:7" x14ac:dyDescent="0.25">
      <c r="A371" t="s">
        <v>281</v>
      </c>
      <c r="B371">
        <v>32</v>
      </c>
      <c r="C371">
        <v>8</v>
      </c>
      <c r="D371">
        <v>5</v>
      </c>
      <c r="E371" t="s">
        <v>23</v>
      </c>
      <c r="F371" t="s">
        <v>30</v>
      </c>
      <c r="G371" t="s">
        <v>28</v>
      </c>
    </row>
    <row r="372" spans="1:7" x14ac:dyDescent="0.25">
      <c r="A372" t="s">
        <v>7</v>
      </c>
      <c r="B372">
        <v>243</v>
      </c>
      <c r="C372">
        <v>-14</v>
      </c>
      <c r="D372">
        <v>2</v>
      </c>
      <c r="E372" t="s">
        <v>12</v>
      </c>
      <c r="F372" t="s">
        <v>13</v>
      </c>
      <c r="G372" t="s">
        <v>10</v>
      </c>
    </row>
    <row r="373" spans="1:7" x14ac:dyDescent="0.25">
      <c r="A373" t="s">
        <v>282</v>
      </c>
      <c r="B373">
        <v>241</v>
      </c>
      <c r="C373">
        <v>-77</v>
      </c>
      <c r="D373">
        <v>4</v>
      </c>
      <c r="E373" t="s">
        <v>8</v>
      </c>
      <c r="F373" t="s">
        <v>9</v>
      </c>
      <c r="G373" t="s">
        <v>10</v>
      </c>
    </row>
    <row r="374" spans="1:7" x14ac:dyDescent="0.25">
      <c r="A374" t="s">
        <v>283</v>
      </c>
      <c r="B374">
        <v>47</v>
      </c>
      <c r="C374">
        <v>15</v>
      </c>
      <c r="D374">
        <v>5</v>
      </c>
      <c r="E374" t="s">
        <v>23</v>
      </c>
      <c r="F374" t="s">
        <v>26</v>
      </c>
      <c r="G374" t="s">
        <v>82</v>
      </c>
    </row>
    <row r="375" spans="1:7" x14ac:dyDescent="0.25">
      <c r="A375" t="s">
        <v>49</v>
      </c>
      <c r="B375">
        <v>50</v>
      </c>
      <c r="C375">
        <v>-10</v>
      </c>
      <c r="D375">
        <v>6</v>
      </c>
      <c r="E375" t="s">
        <v>23</v>
      </c>
      <c r="F375" t="s">
        <v>43</v>
      </c>
      <c r="G375" t="s">
        <v>82</v>
      </c>
    </row>
    <row r="376" spans="1:7" x14ac:dyDescent="0.25">
      <c r="A376" t="s">
        <v>211</v>
      </c>
      <c r="B376">
        <v>15</v>
      </c>
      <c r="C376">
        <v>6</v>
      </c>
      <c r="D376">
        <v>2</v>
      </c>
      <c r="E376" t="s">
        <v>23</v>
      </c>
      <c r="F376" t="s">
        <v>30</v>
      </c>
      <c r="G376" t="s">
        <v>10</v>
      </c>
    </row>
    <row r="377" spans="1:7" x14ac:dyDescent="0.25">
      <c r="A377" t="s">
        <v>111</v>
      </c>
      <c r="B377">
        <v>148</v>
      </c>
      <c r="C377">
        <v>24</v>
      </c>
      <c r="D377">
        <v>3</v>
      </c>
      <c r="E377" t="s">
        <v>23</v>
      </c>
      <c r="F377" t="s">
        <v>57</v>
      </c>
      <c r="G377" t="s">
        <v>10</v>
      </c>
    </row>
    <row r="378" spans="1:7" x14ac:dyDescent="0.25">
      <c r="A378" t="s">
        <v>284</v>
      </c>
      <c r="B378">
        <v>299</v>
      </c>
      <c r="C378">
        <v>-28</v>
      </c>
      <c r="D378">
        <v>3</v>
      </c>
      <c r="E378" t="s">
        <v>8</v>
      </c>
      <c r="F378" t="s">
        <v>9</v>
      </c>
      <c r="G378" t="s">
        <v>28</v>
      </c>
    </row>
    <row r="379" spans="1:7" x14ac:dyDescent="0.25">
      <c r="A379" t="s">
        <v>112</v>
      </c>
      <c r="B379">
        <v>68</v>
      </c>
      <c r="C379">
        <v>-30</v>
      </c>
      <c r="D379">
        <v>1</v>
      </c>
      <c r="E379" t="s">
        <v>8</v>
      </c>
      <c r="F379" t="s">
        <v>21</v>
      </c>
      <c r="G379" t="s">
        <v>28</v>
      </c>
    </row>
    <row r="380" spans="1:7" x14ac:dyDescent="0.25">
      <c r="A380" t="s">
        <v>111</v>
      </c>
      <c r="B380">
        <v>52</v>
      </c>
      <c r="C380">
        <v>18</v>
      </c>
      <c r="D380">
        <v>5</v>
      </c>
      <c r="E380" t="s">
        <v>23</v>
      </c>
      <c r="F380" t="s">
        <v>63</v>
      </c>
      <c r="G380" t="s">
        <v>82</v>
      </c>
    </row>
    <row r="381" spans="1:7" x14ac:dyDescent="0.25">
      <c r="A381" t="s">
        <v>163</v>
      </c>
      <c r="B381">
        <v>239</v>
      </c>
      <c r="C381">
        <v>-162</v>
      </c>
      <c r="D381">
        <v>5</v>
      </c>
      <c r="E381" t="s">
        <v>12</v>
      </c>
      <c r="F381" t="s">
        <v>13</v>
      </c>
      <c r="G381" t="s">
        <v>10</v>
      </c>
    </row>
    <row r="382" spans="1:7" x14ac:dyDescent="0.25">
      <c r="A382" t="s">
        <v>167</v>
      </c>
      <c r="B382">
        <v>27</v>
      </c>
      <c r="C382">
        <v>6</v>
      </c>
      <c r="D382">
        <v>3</v>
      </c>
      <c r="E382" t="s">
        <v>23</v>
      </c>
      <c r="F382" t="s">
        <v>43</v>
      </c>
      <c r="G382" t="s">
        <v>10</v>
      </c>
    </row>
    <row r="383" spans="1:7" x14ac:dyDescent="0.25">
      <c r="A383" t="s">
        <v>135</v>
      </c>
      <c r="B383">
        <v>238</v>
      </c>
      <c r="C383">
        <v>20</v>
      </c>
      <c r="D383">
        <v>2</v>
      </c>
      <c r="E383" t="s">
        <v>23</v>
      </c>
      <c r="F383" t="s">
        <v>26</v>
      </c>
      <c r="G383" t="s">
        <v>10</v>
      </c>
    </row>
    <row r="384" spans="1:7" x14ac:dyDescent="0.25">
      <c r="A384" t="s">
        <v>209</v>
      </c>
      <c r="B384">
        <v>48</v>
      </c>
      <c r="C384">
        <v>16</v>
      </c>
      <c r="D384">
        <v>3</v>
      </c>
      <c r="E384" t="s">
        <v>23</v>
      </c>
      <c r="F384" t="s">
        <v>142</v>
      </c>
      <c r="G384" t="s">
        <v>10</v>
      </c>
    </row>
    <row r="385" spans="1:7" x14ac:dyDescent="0.25">
      <c r="A385" t="s">
        <v>285</v>
      </c>
      <c r="B385">
        <v>66</v>
      </c>
      <c r="C385">
        <v>22</v>
      </c>
      <c r="D385">
        <v>3</v>
      </c>
      <c r="E385" t="s">
        <v>23</v>
      </c>
      <c r="F385" t="s">
        <v>57</v>
      </c>
      <c r="G385" t="s">
        <v>28</v>
      </c>
    </row>
    <row r="386" spans="1:7" x14ac:dyDescent="0.25">
      <c r="A386" t="s">
        <v>286</v>
      </c>
      <c r="B386">
        <v>53</v>
      </c>
      <c r="C386">
        <v>24</v>
      </c>
      <c r="D386">
        <v>1</v>
      </c>
      <c r="E386" t="s">
        <v>23</v>
      </c>
      <c r="F386" t="s">
        <v>30</v>
      </c>
      <c r="G386" t="s">
        <v>82</v>
      </c>
    </row>
    <row r="387" spans="1:7" x14ac:dyDescent="0.25">
      <c r="A387" t="s">
        <v>239</v>
      </c>
      <c r="B387">
        <v>233</v>
      </c>
      <c r="C387">
        <v>-10</v>
      </c>
      <c r="D387">
        <v>5</v>
      </c>
      <c r="E387" t="s">
        <v>8</v>
      </c>
      <c r="F387" t="s">
        <v>9</v>
      </c>
      <c r="G387" t="s">
        <v>10</v>
      </c>
    </row>
    <row r="388" spans="1:7" x14ac:dyDescent="0.25">
      <c r="A388" t="s">
        <v>234</v>
      </c>
      <c r="B388">
        <v>53</v>
      </c>
      <c r="C388">
        <v>-2</v>
      </c>
      <c r="D388">
        <v>3</v>
      </c>
      <c r="E388" t="s">
        <v>23</v>
      </c>
      <c r="F388" t="s">
        <v>26</v>
      </c>
      <c r="G388" t="s">
        <v>82</v>
      </c>
    </row>
    <row r="389" spans="1:7" x14ac:dyDescent="0.25">
      <c r="A389" t="s">
        <v>207</v>
      </c>
      <c r="B389">
        <v>54</v>
      </c>
      <c r="C389">
        <v>8</v>
      </c>
      <c r="D389">
        <v>4</v>
      </c>
      <c r="E389" t="s">
        <v>23</v>
      </c>
      <c r="F389" t="s">
        <v>81</v>
      </c>
      <c r="G389" t="s">
        <v>82</v>
      </c>
    </row>
    <row r="390" spans="1:7" x14ac:dyDescent="0.25">
      <c r="A390" t="s">
        <v>287</v>
      </c>
      <c r="B390">
        <v>352</v>
      </c>
      <c r="C390">
        <v>-345</v>
      </c>
      <c r="D390">
        <v>5</v>
      </c>
      <c r="E390" t="s">
        <v>23</v>
      </c>
      <c r="F390" t="s">
        <v>26</v>
      </c>
      <c r="G390" t="s">
        <v>19</v>
      </c>
    </row>
    <row r="391" spans="1:7" x14ac:dyDescent="0.25">
      <c r="A391" t="s">
        <v>146</v>
      </c>
      <c r="B391">
        <v>349</v>
      </c>
      <c r="C391">
        <v>0</v>
      </c>
      <c r="D391">
        <v>7</v>
      </c>
      <c r="E391" t="s">
        <v>23</v>
      </c>
      <c r="F391" t="s">
        <v>57</v>
      </c>
      <c r="G391" t="s">
        <v>19</v>
      </c>
    </row>
    <row r="392" spans="1:7" x14ac:dyDescent="0.25">
      <c r="A392" t="s">
        <v>288</v>
      </c>
      <c r="B392">
        <v>341</v>
      </c>
      <c r="C392">
        <v>-85</v>
      </c>
      <c r="D392">
        <v>6</v>
      </c>
      <c r="E392" t="s">
        <v>23</v>
      </c>
      <c r="F392" t="s">
        <v>24</v>
      </c>
      <c r="G392" t="s">
        <v>19</v>
      </c>
    </row>
    <row r="393" spans="1:7" x14ac:dyDescent="0.25">
      <c r="A393" t="s">
        <v>264</v>
      </c>
      <c r="B393">
        <v>54</v>
      </c>
      <c r="C393">
        <v>12</v>
      </c>
      <c r="D393">
        <v>3</v>
      </c>
      <c r="E393" t="s">
        <v>23</v>
      </c>
      <c r="F393" t="s">
        <v>26</v>
      </c>
      <c r="G393" t="s">
        <v>82</v>
      </c>
    </row>
    <row r="394" spans="1:7" x14ac:dyDescent="0.25">
      <c r="A394" t="s">
        <v>11</v>
      </c>
      <c r="B394">
        <v>57</v>
      </c>
      <c r="C394">
        <v>7</v>
      </c>
      <c r="D394">
        <v>2</v>
      </c>
      <c r="E394" t="s">
        <v>23</v>
      </c>
      <c r="F394" t="s">
        <v>142</v>
      </c>
      <c r="G394" t="s">
        <v>28</v>
      </c>
    </row>
    <row r="395" spans="1:7" x14ac:dyDescent="0.25">
      <c r="A395" t="s">
        <v>85</v>
      </c>
      <c r="B395">
        <v>340</v>
      </c>
      <c r="C395">
        <v>20</v>
      </c>
      <c r="D395">
        <v>7</v>
      </c>
      <c r="E395" t="s">
        <v>23</v>
      </c>
      <c r="F395" t="s">
        <v>142</v>
      </c>
      <c r="G395" t="s">
        <v>19</v>
      </c>
    </row>
    <row r="396" spans="1:7" x14ac:dyDescent="0.25">
      <c r="A396" t="s">
        <v>11</v>
      </c>
      <c r="B396">
        <v>227</v>
      </c>
      <c r="C396">
        <v>48</v>
      </c>
      <c r="D396">
        <v>5</v>
      </c>
      <c r="E396" t="s">
        <v>23</v>
      </c>
      <c r="F396" t="s">
        <v>57</v>
      </c>
      <c r="G396" t="s">
        <v>10</v>
      </c>
    </row>
    <row r="397" spans="1:7" x14ac:dyDescent="0.25">
      <c r="A397" t="s">
        <v>255</v>
      </c>
      <c r="B397">
        <v>330</v>
      </c>
      <c r="C397">
        <v>81</v>
      </c>
      <c r="D397">
        <v>1</v>
      </c>
      <c r="E397" t="s">
        <v>12</v>
      </c>
      <c r="F397" t="s">
        <v>16</v>
      </c>
      <c r="G397" t="s">
        <v>19</v>
      </c>
    </row>
    <row r="398" spans="1:7" x14ac:dyDescent="0.25">
      <c r="A398" t="s">
        <v>62</v>
      </c>
      <c r="B398">
        <v>216</v>
      </c>
      <c r="C398">
        <v>-38</v>
      </c>
      <c r="D398">
        <v>6</v>
      </c>
      <c r="E398" t="s">
        <v>12</v>
      </c>
      <c r="F398" t="s">
        <v>131</v>
      </c>
      <c r="G398" t="s">
        <v>28</v>
      </c>
    </row>
    <row r="399" spans="1:7" x14ac:dyDescent="0.25">
      <c r="A399" t="s">
        <v>289</v>
      </c>
      <c r="B399">
        <v>224</v>
      </c>
      <c r="C399">
        <v>-143</v>
      </c>
      <c r="D399">
        <v>3</v>
      </c>
      <c r="E399" t="s">
        <v>12</v>
      </c>
      <c r="F399" t="s">
        <v>13</v>
      </c>
      <c r="G399" t="s">
        <v>10</v>
      </c>
    </row>
    <row r="400" spans="1:7" x14ac:dyDescent="0.25">
      <c r="A400" t="s">
        <v>290</v>
      </c>
      <c r="B400">
        <v>55</v>
      </c>
      <c r="C400">
        <v>-33</v>
      </c>
      <c r="D400">
        <v>2</v>
      </c>
      <c r="E400" t="s">
        <v>12</v>
      </c>
      <c r="F400" t="s">
        <v>13</v>
      </c>
      <c r="G400" t="s">
        <v>82</v>
      </c>
    </row>
    <row r="401" spans="1:7" x14ac:dyDescent="0.25">
      <c r="A401" t="s">
        <v>153</v>
      </c>
      <c r="B401">
        <v>49</v>
      </c>
      <c r="C401">
        <v>21</v>
      </c>
      <c r="D401">
        <v>1</v>
      </c>
      <c r="E401" t="s">
        <v>23</v>
      </c>
      <c r="F401" t="s">
        <v>57</v>
      </c>
      <c r="G401" t="s">
        <v>28</v>
      </c>
    </row>
    <row r="402" spans="1:7" x14ac:dyDescent="0.25">
      <c r="A402" t="s">
        <v>207</v>
      </c>
      <c r="B402">
        <v>224</v>
      </c>
      <c r="C402">
        <v>87</v>
      </c>
      <c r="D402">
        <v>3</v>
      </c>
      <c r="E402" t="s">
        <v>23</v>
      </c>
      <c r="F402" t="s">
        <v>24</v>
      </c>
      <c r="G402" t="s">
        <v>10</v>
      </c>
    </row>
    <row r="403" spans="1:7" x14ac:dyDescent="0.25">
      <c r="A403" t="s">
        <v>187</v>
      </c>
      <c r="B403">
        <v>223</v>
      </c>
      <c r="C403">
        <v>27</v>
      </c>
      <c r="D403">
        <v>2</v>
      </c>
      <c r="E403" t="s">
        <v>12</v>
      </c>
      <c r="F403" t="s">
        <v>16</v>
      </c>
      <c r="G403" t="s">
        <v>10</v>
      </c>
    </row>
    <row r="404" spans="1:7" x14ac:dyDescent="0.25">
      <c r="A404" t="s">
        <v>291</v>
      </c>
      <c r="B404">
        <v>324</v>
      </c>
      <c r="C404">
        <v>39</v>
      </c>
      <c r="D404">
        <v>8</v>
      </c>
      <c r="E404" t="s">
        <v>8</v>
      </c>
      <c r="F404" t="s">
        <v>73</v>
      </c>
      <c r="G404" t="s">
        <v>19</v>
      </c>
    </row>
    <row r="405" spans="1:7" x14ac:dyDescent="0.25">
      <c r="A405" t="s">
        <v>123</v>
      </c>
      <c r="B405">
        <v>56</v>
      </c>
      <c r="C405">
        <v>18</v>
      </c>
      <c r="D405">
        <v>2</v>
      </c>
      <c r="E405" t="s">
        <v>23</v>
      </c>
      <c r="F405" t="s">
        <v>30</v>
      </c>
      <c r="G405" t="s">
        <v>82</v>
      </c>
    </row>
    <row r="406" spans="1:7" x14ac:dyDescent="0.25">
      <c r="A406" t="s">
        <v>292</v>
      </c>
      <c r="B406">
        <v>223</v>
      </c>
      <c r="C406">
        <v>62</v>
      </c>
      <c r="D406">
        <v>7</v>
      </c>
      <c r="E406" t="s">
        <v>23</v>
      </c>
      <c r="F406" t="s">
        <v>142</v>
      </c>
      <c r="G406" t="s">
        <v>10</v>
      </c>
    </row>
    <row r="407" spans="1:7" x14ac:dyDescent="0.25">
      <c r="A407" t="s">
        <v>269</v>
      </c>
      <c r="B407">
        <v>10</v>
      </c>
      <c r="C407">
        <v>2</v>
      </c>
      <c r="D407">
        <v>2</v>
      </c>
      <c r="E407" t="s">
        <v>23</v>
      </c>
      <c r="F407" t="s">
        <v>43</v>
      </c>
      <c r="G407" t="s">
        <v>10</v>
      </c>
    </row>
    <row r="408" spans="1:7" x14ac:dyDescent="0.25">
      <c r="A408" t="s">
        <v>293</v>
      </c>
      <c r="B408">
        <v>57</v>
      </c>
      <c r="C408">
        <v>6</v>
      </c>
      <c r="D408">
        <v>5</v>
      </c>
      <c r="E408" t="s">
        <v>23</v>
      </c>
      <c r="F408" t="s">
        <v>63</v>
      </c>
      <c r="G408" t="s">
        <v>82</v>
      </c>
    </row>
    <row r="409" spans="1:7" x14ac:dyDescent="0.25">
      <c r="A409" t="s">
        <v>103</v>
      </c>
      <c r="B409">
        <v>322</v>
      </c>
      <c r="C409">
        <v>-113</v>
      </c>
      <c r="D409">
        <v>4</v>
      </c>
      <c r="E409" t="s">
        <v>23</v>
      </c>
      <c r="F409" t="s">
        <v>26</v>
      </c>
      <c r="G409" t="s">
        <v>19</v>
      </c>
    </row>
    <row r="410" spans="1:7" x14ac:dyDescent="0.25">
      <c r="A410" t="s">
        <v>294</v>
      </c>
      <c r="B410">
        <v>219</v>
      </c>
      <c r="C410">
        <v>4</v>
      </c>
      <c r="D410">
        <v>2</v>
      </c>
      <c r="E410" t="s">
        <v>23</v>
      </c>
      <c r="F410" t="s">
        <v>26</v>
      </c>
      <c r="G410" t="s">
        <v>10</v>
      </c>
    </row>
    <row r="411" spans="1:7" x14ac:dyDescent="0.25">
      <c r="A411" t="s">
        <v>295</v>
      </c>
      <c r="B411">
        <v>103</v>
      </c>
      <c r="C411">
        <v>21</v>
      </c>
      <c r="D411">
        <v>7</v>
      </c>
      <c r="E411" t="s">
        <v>23</v>
      </c>
      <c r="F411" t="s">
        <v>57</v>
      </c>
      <c r="G411" t="s">
        <v>28</v>
      </c>
    </row>
    <row r="412" spans="1:7" x14ac:dyDescent="0.25">
      <c r="A412" t="s">
        <v>33</v>
      </c>
      <c r="B412">
        <v>47</v>
      </c>
      <c r="C412">
        <v>-27</v>
      </c>
      <c r="D412">
        <v>4</v>
      </c>
      <c r="E412" t="s">
        <v>23</v>
      </c>
      <c r="F412" t="s">
        <v>26</v>
      </c>
      <c r="G412" t="s">
        <v>10</v>
      </c>
    </row>
    <row r="413" spans="1:7" x14ac:dyDescent="0.25">
      <c r="A413" t="s">
        <v>187</v>
      </c>
      <c r="B413">
        <v>219</v>
      </c>
      <c r="C413">
        <v>0</v>
      </c>
      <c r="D413">
        <v>1</v>
      </c>
      <c r="E413" t="s">
        <v>23</v>
      </c>
      <c r="F413" t="s">
        <v>26</v>
      </c>
      <c r="G413" t="s">
        <v>10</v>
      </c>
    </row>
    <row r="414" spans="1:7" x14ac:dyDescent="0.25">
      <c r="A414" t="s">
        <v>240</v>
      </c>
      <c r="B414">
        <v>57</v>
      </c>
      <c r="C414">
        <v>-48</v>
      </c>
      <c r="D414">
        <v>6</v>
      </c>
      <c r="E414" t="s">
        <v>23</v>
      </c>
      <c r="F414" t="s">
        <v>63</v>
      </c>
      <c r="G414" t="s">
        <v>82</v>
      </c>
    </row>
    <row r="415" spans="1:7" x14ac:dyDescent="0.25">
      <c r="A415" t="s">
        <v>296</v>
      </c>
      <c r="B415">
        <v>319</v>
      </c>
      <c r="C415">
        <v>102</v>
      </c>
      <c r="D415">
        <v>6</v>
      </c>
      <c r="E415" t="s">
        <v>8</v>
      </c>
      <c r="F415" t="s">
        <v>73</v>
      </c>
      <c r="G415" t="s">
        <v>19</v>
      </c>
    </row>
    <row r="416" spans="1:7" x14ac:dyDescent="0.25">
      <c r="A416" t="s">
        <v>60</v>
      </c>
      <c r="B416">
        <v>315</v>
      </c>
      <c r="C416">
        <v>-8</v>
      </c>
      <c r="D416">
        <v>3</v>
      </c>
      <c r="E416" t="s">
        <v>12</v>
      </c>
      <c r="F416" t="s">
        <v>13</v>
      </c>
      <c r="G416" t="s">
        <v>19</v>
      </c>
    </row>
    <row r="417" spans="1:7" x14ac:dyDescent="0.25">
      <c r="A417" t="s">
        <v>216</v>
      </c>
      <c r="B417">
        <v>314</v>
      </c>
      <c r="C417">
        <v>-41</v>
      </c>
      <c r="D417">
        <v>3</v>
      </c>
      <c r="E417" t="s">
        <v>8</v>
      </c>
      <c r="F417" t="s">
        <v>9</v>
      </c>
      <c r="G417" t="s">
        <v>19</v>
      </c>
    </row>
    <row r="418" spans="1:7" x14ac:dyDescent="0.25">
      <c r="A418" t="s">
        <v>194</v>
      </c>
      <c r="B418">
        <v>311</v>
      </c>
      <c r="C418">
        <v>40</v>
      </c>
      <c r="D418">
        <v>1</v>
      </c>
      <c r="E418" t="s">
        <v>8</v>
      </c>
      <c r="F418" t="s">
        <v>9</v>
      </c>
      <c r="G418" t="s">
        <v>14</v>
      </c>
    </row>
    <row r="419" spans="1:7" x14ac:dyDescent="0.25">
      <c r="A419" t="s">
        <v>79</v>
      </c>
      <c r="B419">
        <v>307</v>
      </c>
      <c r="C419">
        <v>74</v>
      </c>
      <c r="D419">
        <v>3</v>
      </c>
      <c r="E419" t="s">
        <v>8</v>
      </c>
      <c r="F419" t="s">
        <v>73</v>
      </c>
      <c r="G419" t="s">
        <v>14</v>
      </c>
    </row>
    <row r="420" spans="1:7" x14ac:dyDescent="0.25">
      <c r="A420" t="s">
        <v>187</v>
      </c>
      <c r="B420">
        <v>294</v>
      </c>
      <c r="C420">
        <v>109</v>
      </c>
      <c r="D420">
        <v>7</v>
      </c>
      <c r="E420" t="s">
        <v>8</v>
      </c>
      <c r="F420" t="s">
        <v>73</v>
      </c>
      <c r="G420" t="s">
        <v>14</v>
      </c>
    </row>
    <row r="421" spans="1:7" x14ac:dyDescent="0.25">
      <c r="A421" t="s">
        <v>271</v>
      </c>
      <c r="B421">
        <v>216</v>
      </c>
      <c r="C421">
        <v>-83</v>
      </c>
      <c r="D421">
        <v>3</v>
      </c>
      <c r="E421" t="s">
        <v>8</v>
      </c>
      <c r="F421" t="s">
        <v>9</v>
      </c>
      <c r="G421" t="s">
        <v>10</v>
      </c>
    </row>
    <row r="422" spans="1:7" x14ac:dyDescent="0.25">
      <c r="A422" t="s">
        <v>290</v>
      </c>
      <c r="B422">
        <v>58</v>
      </c>
      <c r="C422">
        <v>-42</v>
      </c>
      <c r="D422">
        <v>2</v>
      </c>
      <c r="E422" t="s">
        <v>12</v>
      </c>
      <c r="F422" t="s">
        <v>13</v>
      </c>
      <c r="G422" t="s">
        <v>82</v>
      </c>
    </row>
    <row r="423" spans="1:7" x14ac:dyDescent="0.25">
      <c r="A423" t="s">
        <v>72</v>
      </c>
      <c r="B423">
        <v>48</v>
      </c>
      <c r="C423">
        <v>20</v>
      </c>
      <c r="D423">
        <v>4</v>
      </c>
      <c r="E423" t="s">
        <v>23</v>
      </c>
      <c r="F423" t="s">
        <v>57</v>
      </c>
      <c r="G423" t="s">
        <v>28</v>
      </c>
    </row>
    <row r="424" spans="1:7" x14ac:dyDescent="0.25">
      <c r="A424" t="s">
        <v>15</v>
      </c>
      <c r="B424">
        <v>54</v>
      </c>
      <c r="C424">
        <v>14</v>
      </c>
      <c r="D424">
        <v>3</v>
      </c>
      <c r="E424" t="s">
        <v>23</v>
      </c>
      <c r="F424" t="s">
        <v>81</v>
      </c>
      <c r="G424" t="s">
        <v>28</v>
      </c>
    </row>
    <row r="425" spans="1:7" x14ac:dyDescent="0.25">
      <c r="A425" t="s">
        <v>88</v>
      </c>
      <c r="B425">
        <v>216</v>
      </c>
      <c r="C425">
        <v>50</v>
      </c>
      <c r="D425">
        <v>4</v>
      </c>
      <c r="E425" t="s">
        <v>23</v>
      </c>
      <c r="F425" t="s">
        <v>57</v>
      </c>
      <c r="G425" t="s">
        <v>10</v>
      </c>
    </row>
    <row r="426" spans="1:7" x14ac:dyDescent="0.25">
      <c r="A426" t="s">
        <v>292</v>
      </c>
      <c r="B426">
        <v>215</v>
      </c>
      <c r="C426">
        <v>-30</v>
      </c>
      <c r="D426">
        <v>2</v>
      </c>
      <c r="E426" t="s">
        <v>23</v>
      </c>
      <c r="F426" t="s">
        <v>26</v>
      </c>
      <c r="G426" t="s">
        <v>10</v>
      </c>
    </row>
    <row r="427" spans="1:7" x14ac:dyDescent="0.25">
      <c r="A427" t="s">
        <v>297</v>
      </c>
      <c r="B427">
        <v>43</v>
      </c>
      <c r="C427">
        <v>8</v>
      </c>
      <c r="D427">
        <v>3</v>
      </c>
      <c r="E427" t="s">
        <v>23</v>
      </c>
      <c r="F427" t="s">
        <v>63</v>
      </c>
      <c r="G427" t="s">
        <v>10</v>
      </c>
    </row>
    <row r="428" spans="1:7" x14ac:dyDescent="0.25">
      <c r="A428" t="s">
        <v>46</v>
      </c>
      <c r="B428">
        <v>136</v>
      </c>
      <c r="C428">
        <v>-33</v>
      </c>
      <c r="D428">
        <v>5</v>
      </c>
      <c r="E428" t="s">
        <v>23</v>
      </c>
      <c r="F428" t="s">
        <v>26</v>
      </c>
      <c r="G428" t="s">
        <v>10</v>
      </c>
    </row>
    <row r="429" spans="1:7" x14ac:dyDescent="0.25">
      <c r="A429" t="s">
        <v>298</v>
      </c>
      <c r="B429">
        <v>59</v>
      </c>
      <c r="C429">
        <v>-30</v>
      </c>
      <c r="D429">
        <v>3</v>
      </c>
      <c r="E429" t="s">
        <v>23</v>
      </c>
      <c r="F429" t="s">
        <v>63</v>
      </c>
      <c r="G429" t="s">
        <v>82</v>
      </c>
    </row>
    <row r="430" spans="1:7" x14ac:dyDescent="0.25">
      <c r="A430" t="s">
        <v>11</v>
      </c>
      <c r="B430">
        <v>213</v>
      </c>
      <c r="C430">
        <v>4</v>
      </c>
      <c r="D430">
        <v>14</v>
      </c>
      <c r="E430" t="s">
        <v>23</v>
      </c>
      <c r="F430" t="s">
        <v>142</v>
      </c>
      <c r="G430" t="s">
        <v>10</v>
      </c>
    </row>
    <row r="431" spans="1:7" x14ac:dyDescent="0.25">
      <c r="A431" t="s">
        <v>285</v>
      </c>
      <c r="B431">
        <v>59</v>
      </c>
      <c r="C431">
        <v>21</v>
      </c>
      <c r="D431">
        <v>2</v>
      </c>
      <c r="E431" t="s">
        <v>23</v>
      </c>
      <c r="F431" t="s">
        <v>57</v>
      </c>
      <c r="G431" t="s">
        <v>82</v>
      </c>
    </row>
    <row r="432" spans="1:7" x14ac:dyDescent="0.25">
      <c r="A432" t="s">
        <v>299</v>
      </c>
      <c r="B432">
        <v>55</v>
      </c>
      <c r="C432">
        <v>3</v>
      </c>
      <c r="D432">
        <v>3</v>
      </c>
      <c r="E432" t="s">
        <v>23</v>
      </c>
      <c r="F432" t="s">
        <v>81</v>
      </c>
      <c r="G432" t="s">
        <v>10</v>
      </c>
    </row>
    <row r="433" spans="1:7" x14ac:dyDescent="0.25">
      <c r="A433" t="s">
        <v>15</v>
      </c>
      <c r="B433">
        <v>294</v>
      </c>
      <c r="C433">
        <v>62</v>
      </c>
      <c r="D433">
        <v>9</v>
      </c>
      <c r="E433" t="s">
        <v>23</v>
      </c>
      <c r="F433" t="s">
        <v>81</v>
      </c>
      <c r="G433" t="s">
        <v>14</v>
      </c>
    </row>
    <row r="434" spans="1:7" x14ac:dyDescent="0.25">
      <c r="A434" t="s">
        <v>89</v>
      </c>
      <c r="B434">
        <v>210</v>
      </c>
      <c r="C434">
        <v>62</v>
      </c>
      <c r="D434">
        <v>2</v>
      </c>
      <c r="E434" t="s">
        <v>8</v>
      </c>
      <c r="F434" t="s">
        <v>21</v>
      </c>
      <c r="G434" t="s">
        <v>10</v>
      </c>
    </row>
    <row r="435" spans="1:7" x14ac:dyDescent="0.25">
      <c r="A435" t="s">
        <v>238</v>
      </c>
      <c r="B435">
        <v>59</v>
      </c>
      <c r="C435">
        <v>24</v>
      </c>
      <c r="D435">
        <v>6</v>
      </c>
      <c r="E435" t="s">
        <v>23</v>
      </c>
      <c r="F435" t="s">
        <v>32</v>
      </c>
      <c r="G435" t="s">
        <v>82</v>
      </c>
    </row>
    <row r="436" spans="1:7" x14ac:dyDescent="0.25">
      <c r="A436" t="s">
        <v>38</v>
      </c>
      <c r="B436">
        <v>396</v>
      </c>
      <c r="C436">
        <v>-31</v>
      </c>
      <c r="D436">
        <v>9</v>
      </c>
      <c r="E436" t="s">
        <v>23</v>
      </c>
      <c r="F436" t="s">
        <v>26</v>
      </c>
      <c r="G436" t="s">
        <v>10</v>
      </c>
    </row>
    <row r="437" spans="1:7" x14ac:dyDescent="0.25">
      <c r="A437" t="s">
        <v>300</v>
      </c>
      <c r="B437">
        <v>284</v>
      </c>
      <c r="C437">
        <v>45</v>
      </c>
      <c r="D437">
        <v>2</v>
      </c>
      <c r="E437" t="s">
        <v>12</v>
      </c>
      <c r="F437" t="s">
        <v>16</v>
      </c>
      <c r="G437" t="s">
        <v>14</v>
      </c>
    </row>
    <row r="438" spans="1:7" x14ac:dyDescent="0.25">
      <c r="A438" t="s">
        <v>301</v>
      </c>
      <c r="B438">
        <v>276</v>
      </c>
      <c r="C438">
        <v>52</v>
      </c>
      <c r="D438">
        <v>5</v>
      </c>
      <c r="E438" t="s">
        <v>23</v>
      </c>
      <c r="F438" t="s">
        <v>26</v>
      </c>
      <c r="G438" t="s">
        <v>14</v>
      </c>
    </row>
    <row r="439" spans="1:7" x14ac:dyDescent="0.25">
      <c r="A439" t="s">
        <v>259</v>
      </c>
      <c r="B439">
        <v>23</v>
      </c>
      <c r="C439">
        <v>2</v>
      </c>
      <c r="D439">
        <v>2</v>
      </c>
      <c r="E439" t="s">
        <v>23</v>
      </c>
      <c r="F439" t="s">
        <v>43</v>
      </c>
      <c r="G439" t="s">
        <v>28</v>
      </c>
    </row>
    <row r="440" spans="1:7" x14ac:dyDescent="0.25">
      <c r="A440" t="s">
        <v>302</v>
      </c>
      <c r="B440">
        <v>209</v>
      </c>
      <c r="C440">
        <v>-63</v>
      </c>
      <c r="D440">
        <v>4</v>
      </c>
      <c r="E440" t="s">
        <v>8</v>
      </c>
      <c r="F440" t="s">
        <v>9</v>
      </c>
      <c r="G440" t="s">
        <v>10</v>
      </c>
    </row>
    <row r="441" spans="1:7" x14ac:dyDescent="0.25">
      <c r="A441" t="s">
        <v>303</v>
      </c>
      <c r="B441">
        <v>50</v>
      </c>
      <c r="C441">
        <v>-28</v>
      </c>
      <c r="D441">
        <v>5</v>
      </c>
      <c r="E441" t="s">
        <v>12</v>
      </c>
      <c r="F441" t="s">
        <v>131</v>
      </c>
      <c r="G441" t="s">
        <v>10</v>
      </c>
    </row>
    <row r="442" spans="1:7" x14ac:dyDescent="0.25">
      <c r="A442" t="s">
        <v>304</v>
      </c>
      <c r="B442">
        <v>57</v>
      </c>
      <c r="C442">
        <v>27</v>
      </c>
      <c r="D442">
        <v>2</v>
      </c>
      <c r="E442" t="s">
        <v>23</v>
      </c>
      <c r="F442" t="s">
        <v>142</v>
      </c>
      <c r="G442" t="s">
        <v>10</v>
      </c>
    </row>
    <row r="443" spans="1:7" x14ac:dyDescent="0.25">
      <c r="A443" t="s">
        <v>305</v>
      </c>
      <c r="B443">
        <v>276</v>
      </c>
      <c r="C443">
        <v>-21</v>
      </c>
      <c r="D443">
        <v>2</v>
      </c>
      <c r="E443" t="s">
        <v>8</v>
      </c>
      <c r="F443" t="s">
        <v>21</v>
      </c>
      <c r="G443" t="s">
        <v>14</v>
      </c>
    </row>
    <row r="444" spans="1:7" x14ac:dyDescent="0.25">
      <c r="A444" t="s">
        <v>306</v>
      </c>
      <c r="B444">
        <v>268</v>
      </c>
      <c r="C444">
        <v>6</v>
      </c>
      <c r="D444">
        <v>2</v>
      </c>
      <c r="E444" t="s">
        <v>12</v>
      </c>
      <c r="F444" t="s">
        <v>16</v>
      </c>
      <c r="G444" t="s">
        <v>28</v>
      </c>
    </row>
    <row r="445" spans="1:7" x14ac:dyDescent="0.25">
      <c r="A445" t="s">
        <v>135</v>
      </c>
      <c r="B445">
        <v>269</v>
      </c>
      <c r="C445">
        <v>111</v>
      </c>
      <c r="D445">
        <v>3</v>
      </c>
      <c r="E445" t="s">
        <v>23</v>
      </c>
      <c r="F445" t="s">
        <v>24</v>
      </c>
      <c r="G445" t="s">
        <v>14</v>
      </c>
    </row>
    <row r="446" spans="1:7" x14ac:dyDescent="0.25">
      <c r="A446" t="s">
        <v>105</v>
      </c>
      <c r="B446">
        <v>209</v>
      </c>
      <c r="C446">
        <v>2</v>
      </c>
      <c r="D446">
        <v>1</v>
      </c>
      <c r="E446" t="s">
        <v>23</v>
      </c>
      <c r="F446" t="s">
        <v>26</v>
      </c>
      <c r="G446" t="s">
        <v>10</v>
      </c>
    </row>
    <row r="447" spans="1:7" x14ac:dyDescent="0.25">
      <c r="A447" t="s">
        <v>307</v>
      </c>
      <c r="B447">
        <v>60</v>
      </c>
      <c r="C447">
        <v>-12</v>
      </c>
      <c r="D447">
        <v>4</v>
      </c>
      <c r="E447" t="s">
        <v>23</v>
      </c>
      <c r="F447" t="s">
        <v>30</v>
      </c>
      <c r="G447" t="s">
        <v>82</v>
      </c>
    </row>
    <row r="448" spans="1:7" x14ac:dyDescent="0.25">
      <c r="A448" t="s">
        <v>205</v>
      </c>
      <c r="B448">
        <v>269</v>
      </c>
      <c r="C448">
        <v>-86</v>
      </c>
      <c r="D448">
        <v>2</v>
      </c>
      <c r="E448" t="s">
        <v>8</v>
      </c>
      <c r="F448" t="s">
        <v>9</v>
      </c>
      <c r="G448" t="s">
        <v>14</v>
      </c>
    </row>
    <row r="449" spans="1:7" x14ac:dyDescent="0.25">
      <c r="A449" t="s">
        <v>141</v>
      </c>
      <c r="B449">
        <v>208</v>
      </c>
      <c r="C449">
        <v>-25</v>
      </c>
      <c r="D449">
        <v>2</v>
      </c>
      <c r="E449" t="s">
        <v>23</v>
      </c>
      <c r="F449" t="s">
        <v>26</v>
      </c>
      <c r="G449" t="s">
        <v>10</v>
      </c>
    </row>
    <row r="450" spans="1:7" x14ac:dyDescent="0.25">
      <c r="A450" t="s">
        <v>199</v>
      </c>
      <c r="B450">
        <v>27</v>
      </c>
      <c r="C450">
        <v>2</v>
      </c>
      <c r="D450">
        <v>2</v>
      </c>
      <c r="E450" t="s">
        <v>23</v>
      </c>
      <c r="F450" t="s">
        <v>63</v>
      </c>
      <c r="G450" t="s">
        <v>28</v>
      </c>
    </row>
    <row r="451" spans="1:7" x14ac:dyDescent="0.25">
      <c r="A451" t="s">
        <v>308</v>
      </c>
      <c r="B451">
        <v>206</v>
      </c>
      <c r="C451">
        <v>-206</v>
      </c>
      <c r="D451">
        <v>3</v>
      </c>
      <c r="E451" t="s">
        <v>23</v>
      </c>
      <c r="F451" t="s">
        <v>26</v>
      </c>
      <c r="G451" t="s">
        <v>10</v>
      </c>
    </row>
    <row r="452" spans="1:7" x14ac:dyDescent="0.25">
      <c r="A452" t="s">
        <v>309</v>
      </c>
      <c r="B452">
        <v>61</v>
      </c>
      <c r="C452">
        <v>8</v>
      </c>
      <c r="D452">
        <v>4</v>
      </c>
      <c r="E452" t="s">
        <v>23</v>
      </c>
      <c r="F452" t="s">
        <v>30</v>
      </c>
      <c r="G452" t="s">
        <v>82</v>
      </c>
    </row>
    <row r="453" spans="1:7" x14ac:dyDescent="0.25">
      <c r="A453" t="s">
        <v>141</v>
      </c>
      <c r="B453">
        <v>212</v>
      </c>
      <c r="C453">
        <v>-24</v>
      </c>
      <c r="D453">
        <v>2</v>
      </c>
      <c r="E453" t="s">
        <v>12</v>
      </c>
      <c r="F453" t="s">
        <v>13</v>
      </c>
      <c r="G453" t="s">
        <v>10</v>
      </c>
    </row>
    <row r="454" spans="1:7" x14ac:dyDescent="0.25">
      <c r="A454" t="s">
        <v>250</v>
      </c>
      <c r="B454">
        <v>262</v>
      </c>
      <c r="C454">
        <v>64</v>
      </c>
      <c r="D454">
        <v>6</v>
      </c>
      <c r="E454" t="s">
        <v>23</v>
      </c>
      <c r="F454" t="s">
        <v>26</v>
      </c>
      <c r="G454" t="s">
        <v>14</v>
      </c>
    </row>
    <row r="455" spans="1:7" x14ac:dyDescent="0.25">
      <c r="A455" t="s">
        <v>36</v>
      </c>
      <c r="B455">
        <v>204</v>
      </c>
      <c r="C455">
        <v>276</v>
      </c>
      <c r="D455">
        <v>3</v>
      </c>
      <c r="E455" t="s">
        <v>12</v>
      </c>
      <c r="F455" t="s">
        <v>16</v>
      </c>
      <c r="G455" t="s">
        <v>10</v>
      </c>
    </row>
    <row r="456" spans="1:7" x14ac:dyDescent="0.25">
      <c r="A456" t="s">
        <v>97</v>
      </c>
      <c r="B456">
        <v>59</v>
      </c>
      <c r="C456">
        <v>-46</v>
      </c>
      <c r="D456">
        <v>7</v>
      </c>
      <c r="E456" t="s">
        <v>23</v>
      </c>
      <c r="F456" t="s">
        <v>81</v>
      </c>
      <c r="G456" t="s">
        <v>28</v>
      </c>
    </row>
    <row r="457" spans="1:7" x14ac:dyDescent="0.25">
      <c r="A457" t="s">
        <v>141</v>
      </c>
      <c r="B457">
        <v>199</v>
      </c>
      <c r="C457">
        <v>-18</v>
      </c>
      <c r="D457">
        <v>2</v>
      </c>
      <c r="E457" t="s">
        <v>23</v>
      </c>
      <c r="F457" t="s">
        <v>26</v>
      </c>
      <c r="G457" t="s">
        <v>10</v>
      </c>
    </row>
    <row r="458" spans="1:7" x14ac:dyDescent="0.25">
      <c r="A458" t="s">
        <v>310</v>
      </c>
      <c r="B458">
        <v>59</v>
      </c>
      <c r="C458">
        <v>6</v>
      </c>
      <c r="D458">
        <v>1</v>
      </c>
      <c r="E458" t="s">
        <v>8</v>
      </c>
      <c r="F458" t="s">
        <v>73</v>
      </c>
      <c r="G458" t="s">
        <v>28</v>
      </c>
    </row>
    <row r="459" spans="1:7" x14ac:dyDescent="0.25">
      <c r="A459" t="s">
        <v>243</v>
      </c>
      <c r="B459">
        <v>45</v>
      </c>
      <c r="C459">
        <v>9</v>
      </c>
      <c r="D459">
        <v>3</v>
      </c>
      <c r="E459" t="s">
        <v>23</v>
      </c>
      <c r="F459" t="s">
        <v>63</v>
      </c>
      <c r="G459" t="s">
        <v>28</v>
      </c>
    </row>
    <row r="460" spans="1:7" x14ac:dyDescent="0.25">
      <c r="A460" t="s">
        <v>104</v>
      </c>
      <c r="B460">
        <v>211</v>
      </c>
      <c r="C460">
        <v>19</v>
      </c>
      <c r="D460">
        <v>8</v>
      </c>
      <c r="E460" t="s">
        <v>23</v>
      </c>
      <c r="F460" t="s">
        <v>57</v>
      </c>
      <c r="G460" t="s">
        <v>10</v>
      </c>
    </row>
    <row r="461" spans="1:7" x14ac:dyDescent="0.25">
      <c r="A461" t="s">
        <v>182</v>
      </c>
      <c r="B461">
        <v>65</v>
      </c>
      <c r="C461">
        <v>-16</v>
      </c>
      <c r="D461">
        <v>2</v>
      </c>
      <c r="E461" t="s">
        <v>8</v>
      </c>
      <c r="F461" t="s">
        <v>21</v>
      </c>
      <c r="G461" t="s">
        <v>82</v>
      </c>
    </row>
    <row r="462" spans="1:7" x14ac:dyDescent="0.25">
      <c r="A462" t="s">
        <v>62</v>
      </c>
      <c r="B462">
        <v>25</v>
      </c>
      <c r="C462">
        <v>0</v>
      </c>
      <c r="D462">
        <v>4</v>
      </c>
      <c r="E462" t="s">
        <v>23</v>
      </c>
      <c r="F462" t="s">
        <v>43</v>
      </c>
      <c r="G462" t="s">
        <v>28</v>
      </c>
    </row>
    <row r="463" spans="1:7" x14ac:dyDescent="0.25">
      <c r="A463" t="s">
        <v>311</v>
      </c>
      <c r="B463">
        <v>196</v>
      </c>
      <c r="C463">
        <v>-7</v>
      </c>
      <c r="D463">
        <v>5</v>
      </c>
      <c r="E463" t="s">
        <v>8</v>
      </c>
      <c r="F463" t="s">
        <v>21</v>
      </c>
      <c r="G463" t="s">
        <v>10</v>
      </c>
    </row>
    <row r="464" spans="1:7" x14ac:dyDescent="0.25">
      <c r="A464" t="s">
        <v>46</v>
      </c>
      <c r="B464">
        <v>261</v>
      </c>
      <c r="C464">
        <v>13</v>
      </c>
      <c r="D464">
        <v>6</v>
      </c>
      <c r="E464" t="s">
        <v>23</v>
      </c>
      <c r="F464" t="s">
        <v>142</v>
      </c>
      <c r="G464" t="s">
        <v>19</v>
      </c>
    </row>
    <row r="465" spans="1:7" x14ac:dyDescent="0.25">
      <c r="A465" t="s">
        <v>117</v>
      </c>
      <c r="B465">
        <v>195</v>
      </c>
      <c r="C465">
        <v>-117</v>
      </c>
      <c r="D465">
        <v>5</v>
      </c>
      <c r="E465" t="s">
        <v>8</v>
      </c>
      <c r="F465" t="s">
        <v>21</v>
      </c>
      <c r="G465" t="s">
        <v>10</v>
      </c>
    </row>
    <row r="466" spans="1:7" x14ac:dyDescent="0.25">
      <c r="A466" t="s">
        <v>166</v>
      </c>
      <c r="B466">
        <v>192</v>
      </c>
      <c r="C466">
        <v>-146</v>
      </c>
      <c r="D466">
        <v>3</v>
      </c>
      <c r="E466" t="s">
        <v>23</v>
      </c>
      <c r="F466" t="s">
        <v>26</v>
      </c>
      <c r="G466" t="s">
        <v>10</v>
      </c>
    </row>
    <row r="467" spans="1:7" x14ac:dyDescent="0.25">
      <c r="A467" t="s">
        <v>312</v>
      </c>
      <c r="B467">
        <v>189</v>
      </c>
      <c r="C467">
        <v>87</v>
      </c>
      <c r="D467">
        <v>7</v>
      </c>
      <c r="E467" t="s">
        <v>23</v>
      </c>
      <c r="F467" t="s">
        <v>57</v>
      </c>
      <c r="G467" t="s">
        <v>10</v>
      </c>
    </row>
    <row r="468" spans="1:7" x14ac:dyDescent="0.25">
      <c r="A468" t="s">
        <v>157</v>
      </c>
      <c r="B468">
        <v>32</v>
      </c>
      <c r="C468">
        <v>2</v>
      </c>
      <c r="D468">
        <v>2</v>
      </c>
      <c r="E468" t="s">
        <v>23</v>
      </c>
      <c r="F468" t="s">
        <v>32</v>
      </c>
      <c r="G468" t="s">
        <v>28</v>
      </c>
    </row>
    <row r="469" spans="1:7" x14ac:dyDescent="0.25">
      <c r="A469" t="s">
        <v>69</v>
      </c>
      <c r="B469">
        <v>188</v>
      </c>
      <c r="C469">
        <v>13</v>
      </c>
      <c r="D469">
        <v>7</v>
      </c>
      <c r="E469" t="s">
        <v>23</v>
      </c>
      <c r="F469" t="s">
        <v>142</v>
      </c>
      <c r="G469" t="s">
        <v>10</v>
      </c>
    </row>
    <row r="470" spans="1:7" x14ac:dyDescent="0.25">
      <c r="A470" t="s">
        <v>313</v>
      </c>
      <c r="B470">
        <v>73</v>
      </c>
      <c r="C470">
        <v>-25</v>
      </c>
      <c r="D470">
        <v>3</v>
      </c>
      <c r="E470" t="s">
        <v>23</v>
      </c>
      <c r="F470" t="s">
        <v>26</v>
      </c>
      <c r="G470" t="s">
        <v>10</v>
      </c>
    </row>
    <row r="471" spans="1:7" x14ac:dyDescent="0.25">
      <c r="A471" t="s">
        <v>44</v>
      </c>
      <c r="B471">
        <v>259</v>
      </c>
      <c r="C471">
        <v>47</v>
      </c>
      <c r="D471">
        <v>5</v>
      </c>
      <c r="E471" t="s">
        <v>23</v>
      </c>
      <c r="F471" t="s">
        <v>30</v>
      </c>
      <c r="G471" t="s">
        <v>19</v>
      </c>
    </row>
    <row r="472" spans="1:7" x14ac:dyDescent="0.25">
      <c r="A472" t="s">
        <v>314</v>
      </c>
      <c r="B472">
        <v>187</v>
      </c>
      <c r="C472">
        <v>-15</v>
      </c>
      <c r="D472">
        <v>3</v>
      </c>
      <c r="E472" t="s">
        <v>23</v>
      </c>
      <c r="F472" t="s">
        <v>24</v>
      </c>
      <c r="G472" t="s">
        <v>10</v>
      </c>
    </row>
    <row r="473" spans="1:7" x14ac:dyDescent="0.25">
      <c r="A473" t="s">
        <v>41</v>
      </c>
      <c r="B473">
        <v>26</v>
      </c>
      <c r="C473">
        <v>11</v>
      </c>
      <c r="D473">
        <v>2</v>
      </c>
      <c r="E473" t="s">
        <v>23</v>
      </c>
      <c r="F473" t="s">
        <v>30</v>
      </c>
      <c r="G473" t="s">
        <v>28</v>
      </c>
    </row>
    <row r="474" spans="1:7" x14ac:dyDescent="0.25">
      <c r="A474" t="s">
        <v>61</v>
      </c>
      <c r="B474">
        <v>185</v>
      </c>
      <c r="C474">
        <v>-26</v>
      </c>
      <c r="D474">
        <v>6</v>
      </c>
      <c r="E474" t="s">
        <v>12</v>
      </c>
      <c r="F474" t="s">
        <v>13</v>
      </c>
      <c r="G474" t="s">
        <v>10</v>
      </c>
    </row>
    <row r="475" spans="1:7" x14ac:dyDescent="0.25">
      <c r="A475" t="s">
        <v>315</v>
      </c>
      <c r="B475">
        <v>248</v>
      </c>
      <c r="C475">
        <v>8</v>
      </c>
      <c r="D475">
        <v>2</v>
      </c>
      <c r="E475" t="s">
        <v>23</v>
      </c>
      <c r="F475" t="s">
        <v>26</v>
      </c>
      <c r="G475" t="s">
        <v>19</v>
      </c>
    </row>
    <row r="476" spans="1:7" x14ac:dyDescent="0.25">
      <c r="A476" t="s">
        <v>316</v>
      </c>
      <c r="B476">
        <v>67</v>
      </c>
      <c r="C476">
        <v>9</v>
      </c>
      <c r="D476">
        <v>4</v>
      </c>
      <c r="E476" t="s">
        <v>23</v>
      </c>
      <c r="F476" t="s">
        <v>63</v>
      </c>
      <c r="G476" t="s">
        <v>82</v>
      </c>
    </row>
    <row r="477" spans="1:7" x14ac:dyDescent="0.25">
      <c r="A477" t="s">
        <v>289</v>
      </c>
      <c r="B477">
        <v>248</v>
      </c>
      <c r="C477">
        <v>-70</v>
      </c>
      <c r="D477">
        <v>3</v>
      </c>
      <c r="E477" t="s">
        <v>12</v>
      </c>
      <c r="F477" t="s">
        <v>13</v>
      </c>
      <c r="G477" t="s">
        <v>19</v>
      </c>
    </row>
    <row r="478" spans="1:7" x14ac:dyDescent="0.25">
      <c r="A478" t="s">
        <v>250</v>
      </c>
      <c r="B478">
        <v>246</v>
      </c>
      <c r="C478">
        <v>61</v>
      </c>
      <c r="D478">
        <v>2</v>
      </c>
      <c r="E478" t="s">
        <v>12</v>
      </c>
      <c r="F478" t="s">
        <v>16</v>
      </c>
      <c r="G478" t="s">
        <v>19</v>
      </c>
    </row>
    <row r="479" spans="1:7" x14ac:dyDescent="0.25">
      <c r="A479" t="s">
        <v>317</v>
      </c>
      <c r="B479">
        <v>179</v>
      </c>
      <c r="C479">
        <v>-25</v>
      </c>
      <c r="D479">
        <v>5</v>
      </c>
      <c r="E479" t="s">
        <v>23</v>
      </c>
      <c r="F479" t="s">
        <v>32</v>
      </c>
      <c r="G479" t="s">
        <v>10</v>
      </c>
    </row>
    <row r="480" spans="1:7" x14ac:dyDescent="0.25">
      <c r="A480" t="s">
        <v>318</v>
      </c>
      <c r="B480">
        <v>176</v>
      </c>
      <c r="C480">
        <v>-28</v>
      </c>
      <c r="D480">
        <v>5</v>
      </c>
      <c r="E480" t="s">
        <v>12</v>
      </c>
      <c r="F480" t="s">
        <v>131</v>
      </c>
      <c r="G480" t="s">
        <v>10</v>
      </c>
    </row>
    <row r="481" spans="1:7" x14ac:dyDescent="0.25">
      <c r="A481" t="s">
        <v>299</v>
      </c>
      <c r="B481">
        <v>176</v>
      </c>
      <c r="C481">
        <v>-13</v>
      </c>
      <c r="D481">
        <v>5</v>
      </c>
      <c r="E481" t="s">
        <v>12</v>
      </c>
      <c r="F481" t="s">
        <v>131</v>
      </c>
      <c r="G481" t="s">
        <v>10</v>
      </c>
    </row>
    <row r="482" spans="1:7" x14ac:dyDescent="0.25">
      <c r="A482" t="s">
        <v>78</v>
      </c>
      <c r="B482">
        <v>68</v>
      </c>
      <c r="C482">
        <v>-62</v>
      </c>
      <c r="D482">
        <v>2</v>
      </c>
      <c r="E482" t="s">
        <v>23</v>
      </c>
      <c r="F482" t="s">
        <v>24</v>
      </c>
      <c r="G482" t="s">
        <v>82</v>
      </c>
    </row>
    <row r="483" spans="1:7" x14ac:dyDescent="0.25">
      <c r="A483" t="s">
        <v>319</v>
      </c>
      <c r="B483">
        <v>176</v>
      </c>
      <c r="C483">
        <v>37</v>
      </c>
      <c r="D483">
        <v>6</v>
      </c>
      <c r="E483" t="s">
        <v>8</v>
      </c>
      <c r="F483" t="s">
        <v>73</v>
      </c>
      <c r="G483" t="s">
        <v>10</v>
      </c>
    </row>
    <row r="484" spans="1:7" x14ac:dyDescent="0.25">
      <c r="A484" t="s">
        <v>248</v>
      </c>
      <c r="B484">
        <v>88</v>
      </c>
      <c r="C484">
        <v>11</v>
      </c>
      <c r="D484">
        <v>7</v>
      </c>
      <c r="E484" t="s">
        <v>23</v>
      </c>
      <c r="F484" t="s">
        <v>30</v>
      </c>
      <c r="G484" t="s">
        <v>28</v>
      </c>
    </row>
    <row r="485" spans="1:7" x14ac:dyDescent="0.25">
      <c r="A485" t="s">
        <v>320</v>
      </c>
      <c r="B485">
        <v>68</v>
      </c>
      <c r="C485">
        <v>20</v>
      </c>
      <c r="D485">
        <v>5</v>
      </c>
      <c r="E485" t="s">
        <v>23</v>
      </c>
      <c r="F485" t="s">
        <v>30</v>
      </c>
      <c r="G485" t="s">
        <v>82</v>
      </c>
    </row>
    <row r="486" spans="1:7" x14ac:dyDescent="0.25">
      <c r="A486" t="s">
        <v>321</v>
      </c>
      <c r="B486">
        <v>231</v>
      </c>
      <c r="C486">
        <v>99</v>
      </c>
      <c r="D486">
        <v>2</v>
      </c>
      <c r="E486" t="s">
        <v>8</v>
      </c>
      <c r="F486" t="s">
        <v>9</v>
      </c>
      <c r="G486" t="s">
        <v>19</v>
      </c>
    </row>
    <row r="487" spans="1:7" x14ac:dyDescent="0.25">
      <c r="A487" t="s">
        <v>264</v>
      </c>
      <c r="B487">
        <v>62</v>
      </c>
      <c r="C487">
        <v>8</v>
      </c>
      <c r="D487">
        <v>2</v>
      </c>
      <c r="E487" t="s">
        <v>23</v>
      </c>
      <c r="F487" t="s">
        <v>81</v>
      </c>
      <c r="G487" t="s">
        <v>28</v>
      </c>
    </row>
    <row r="488" spans="1:7" x14ac:dyDescent="0.25">
      <c r="A488" t="s">
        <v>222</v>
      </c>
      <c r="B488">
        <v>175</v>
      </c>
      <c r="C488">
        <v>77</v>
      </c>
      <c r="D488">
        <v>3</v>
      </c>
      <c r="E488" t="s">
        <v>23</v>
      </c>
      <c r="F488" t="s">
        <v>26</v>
      </c>
      <c r="G488" t="s">
        <v>10</v>
      </c>
    </row>
    <row r="489" spans="1:7" x14ac:dyDescent="0.25">
      <c r="A489" t="s">
        <v>130</v>
      </c>
      <c r="B489">
        <v>71</v>
      </c>
      <c r="C489">
        <v>4</v>
      </c>
      <c r="D489">
        <v>5</v>
      </c>
      <c r="E489" t="s">
        <v>23</v>
      </c>
      <c r="F489" t="s">
        <v>63</v>
      </c>
      <c r="G489" t="s">
        <v>82</v>
      </c>
    </row>
    <row r="490" spans="1:7" x14ac:dyDescent="0.25">
      <c r="A490" t="s">
        <v>308</v>
      </c>
      <c r="B490">
        <v>174</v>
      </c>
      <c r="C490">
        <v>-70</v>
      </c>
      <c r="D490">
        <v>3</v>
      </c>
      <c r="E490" t="s">
        <v>8</v>
      </c>
      <c r="F490" t="s">
        <v>73</v>
      </c>
      <c r="G490" t="s">
        <v>10</v>
      </c>
    </row>
    <row r="491" spans="1:7" x14ac:dyDescent="0.25">
      <c r="A491" t="s">
        <v>133</v>
      </c>
      <c r="B491">
        <v>173</v>
      </c>
      <c r="C491">
        <v>69</v>
      </c>
      <c r="D491">
        <v>3</v>
      </c>
      <c r="E491" t="s">
        <v>12</v>
      </c>
      <c r="F491" t="s">
        <v>13</v>
      </c>
      <c r="G491" t="s">
        <v>10</v>
      </c>
    </row>
    <row r="492" spans="1:7" x14ac:dyDescent="0.25">
      <c r="A492" t="s">
        <v>115</v>
      </c>
      <c r="B492">
        <v>171</v>
      </c>
      <c r="C492">
        <v>2</v>
      </c>
      <c r="D492">
        <v>2</v>
      </c>
      <c r="E492" t="s">
        <v>8</v>
      </c>
      <c r="F492" t="s">
        <v>9</v>
      </c>
      <c r="G492" t="s">
        <v>10</v>
      </c>
    </row>
    <row r="493" spans="1:7" x14ac:dyDescent="0.25">
      <c r="A493" t="s">
        <v>166</v>
      </c>
      <c r="B493">
        <v>268</v>
      </c>
      <c r="C493">
        <v>-25</v>
      </c>
      <c r="D493">
        <v>3</v>
      </c>
      <c r="E493" t="s">
        <v>23</v>
      </c>
      <c r="F493" t="s">
        <v>26</v>
      </c>
      <c r="G493" t="s">
        <v>10</v>
      </c>
    </row>
    <row r="494" spans="1:7" x14ac:dyDescent="0.25">
      <c r="A494" t="s">
        <v>322</v>
      </c>
      <c r="B494">
        <v>71</v>
      </c>
      <c r="C494">
        <v>32</v>
      </c>
      <c r="D494">
        <v>3</v>
      </c>
      <c r="E494" t="s">
        <v>23</v>
      </c>
      <c r="F494" t="s">
        <v>26</v>
      </c>
      <c r="G494" t="s">
        <v>82</v>
      </c>
    </row>
    <row r="495" spans="1:7" x14ac:dyDescent="0.25">
      <c r="A495" t="s">
        <v>323</v>
      </c>
      <c r="B495">
        <v>29</v>
      </c>
      <c r="C495">
        <v>10</v>
      </c>
      <c r="D495">
        <v>4</v>
      </c>
      <c r="E495" t="s">
        <v>23</v>
      </c>
      <c r="F495" t="s">
        <v>30</v>
      </c>
      <c r="G495" t="s">
        <v>28</v>
      </c>
    </row>
    <row r="496" spans="1:7" x14ac:dyDescent="0.25">
      <c r="A496" t="s">
        <v>324</v>
      </c>
      <c r="B496">
        <v>65</v>
      </c>
      <c r="C496">
        <v>17</v>
      </c>
      <c r="D496">
        <v>2</v>
      </c>
      <c r="E496" t="s">
        <v>23</v>
      </c>
      <c r="F496" t="s">
        <v>81</v>
      </c>
      <c r="G496" t="s">
        <v>28</v>
      </c>
    </row>
    <row r="497" spans="1:7" x14ac:dyDescent="0.25">
      <c r="A497" t="s">
        <v>54</v>
      </c>
      <c r="B497">
        <v>72</v>
      </c>
      <c r="C497">
        <v>-46</v>
      </c>
      <c r="D497">
        <v>7</v>
      </c>
      <c r="E497" t="s">
        <v>23</v>
      </c>
      <c r="F497" t="s">
        <v>32</v>
      </c>
      <c r="G497" t="s">
        <v>82</v>
      </c>
    </row>
    <row r="498" spans="1:7" x14ac:dyDescent="0.25">
      <c r="A498" t="s">
        <v>325</v>
      </c>
      <c r="B498">
        <v>168</v>
      </c>
      <c r="C498">
        <v>-51</v>
      </c>
      <c r="D498">
        <v>2</v>
      </c>
      <c r="E498" t="s">
        <v>12</v>
      </c>
      <c r="F498" t="s">
        <v>16</v>
      </c>
      <c r="G498" t="s">
        <v>10</v>
      </c>
    </row>
    <row r="499" spans="1:7" x14ac:dyDescent="0.25">
      <c r="A499" t="s">
        <v>104</v>
      </c>
      <c r="B499">
        <v>165</v>
      </c>
      <c r="C499">
        <v>30</v>
      </c>
      <c r="D499">
        <v>3</v>
      </c>
      <c r="E499" t="s">
        <v>23</v>
      </c>
      <c r="F499" t="s">
        <v>57</v>
      </c>
      <c r="G499" t="s">
        <v>10</v>
      </c>
    </row>
    <row r="500" spans="1:7" x14ac:dyDescent="0.25">
      <c r="A500" t="s">
        <v>284</v>
      </c>
      <c r="B500">
        <v>74</v>
      </c>
      <c r="C500">
        <v>-59</v>
      </c>
      <c r="D500">
        <v>2</v>
      </c>
      <c r="E500" t="s">
        <v>8</v>
      </c>
      <c r="F500" t="s">
        <v>73</v>
      </c>
      <c r="G500" t="s">
        <v>82</v>
      </c>
    </row>
    <row r="501" spans="1:7" x14ac:dyDescent="0.25">
      <c r="A501" t="s">
        <v>184</v>
      </c>
      <c r="B501">
        <v>89</v>
      </c>
      <c r="C501">
        <v>17</v>
      </c>
      <c r="D501">
        <v>2</v>
      </c>
      <c r="E501" t="s">
        <v>23</v>
      </c>
      <c r="F501" t="s">
        <v>57</v>
      </c>
      <c r="G501" t="s">
        <v>28</v>
      </c>
    </row>
    <row r="502" spans="1:7" x14ac:dyDescent="0.25">
      <c r="A502" t="s">
        <v>239</v>
      </c>
      <c r="B502">
        <v>228</v>
      </c>
      <c r="C502">
        <v>63</v>
      </c>
      <c r="D502">
        <v>3</v>
      </c>
      <c r="E502" t="s">
        <v>8</v>
      </c>
      <c r="F502" t="s">
        <v>9</v>
      </c>
      <c r="G502" t="s">
        <v>19</v>
      </c>
    </row>
    <row r="503" spans="1:7" x14ac:dyDescent="0.25">
      <c r="A503" t="s">
        <v>94</v>
      </c>
      <c r="B503">
        <v>119</v>
      </c>
      <c r="C503">
        <v>-24</v>
      </c>
      <c r="D503">
        <v>4</v>
      </c>
      <c r="E503" t="s">
        <v>12</v>
      </c>
      <c r="F503" t="s">
        <v>131</v>
      </c>
      <c r="G503" t="s">
        <v>10</v>
      </c>
    </row>
    <row r="504" spans="1:7" x14ac:dyDescent="0.25">
      <c r="A504" t="s">
        <v>150</v>
      </c>
      <c r="B504">
        <v>75</v>
      </c>
      <c r="C504">
        <v>-25</v>
      </c>
      <c r="D504">
        <v>3</v>
      </c>
      <c r="E504" t="s">
        <v>23</v>
      </c>
      <c r="F504" t="s">
        <v>57</v>
      </c>
      <c r="G504" t="s">
        <v>28</v>
      </c>
    </row>
    <row r="505" spans="1:7" x14ac:dyDescent="0.25">
      <c r="A505" t="s">
        <v>132</v>
      </c>
      <c r="B505">
        <v>67</v>
      </c>
      <c r="C505">
        <v>20</v>
      </c>
      <c r="D505">
        <v>4</v>
      </c>
      <c r="E505" t="s">
        <v>23</v>
      </c>
      <c r="F505" t="s">
        <v>81</v>
      </c>
      <c r="G505" t="s">
        <v>28</v>
      </c>
    </row>
    <row r="506" spans="1:7" x14ac:dyDescent="0.25">
      <c r="A506" t="s">
        <v>119</v>
      </c>
      <c r="B506">
        <v>7</v>
      </c>
      <c r="C506">
        <v>0</v>
      </c>
      <c r="D506">
        <v>1</v>
      </c>
      <c r="E506" t="s">
        <v>23</v>
      </c>
      <c r="F506" t="s">
        <v>63</v>
      </c>
      <c r="G506" t="s">
        <v>10</v>
      </c>
    </row>
    <row r="507" spans="1:7" x14ac:dyDescent="0.25">
      <c r="A507" t="s">
        <v>180</v>
      </c>
      <c r="B507">
        <v>222</v>
      </c>
      <c r="C507">
        <v>35</v>
      </c>
      <c r="D507">
        <v>5</v>
      </c>
      <c r="E507" t="s">
        <v>23</v>
      </c>
      <c r="F507" t="s">
        <v>26</v>
      </c>
      <c r="G507" t="s">
        <v>19</v>
      </c>
    </row>
    <row r="508" spans="1:7" x14ac:dyDescent="0.25">
      <c r="A508" t="s">
        <v>236</v>
      </c>
      <c r="B508">
        <v>219</v>
      </c>
      <c r="C508">
        <v>-9</v>
      </c>
      <c r="D508">
        <v>4</v>
      </c>
      <c r="E508" t="s">
        <v>23</v>
      </c>
      <c r="F508" t="s">
        <v>26</v>
      </c>
      <c r="G508" t="s">
        <v>19</v>
      </c>
    </row>
    <row r="509" spans="1:7" x14ac:dyDescent="0.25">
      <c r="A509" t="s">
        <v>33</v>
      </c>
      <c r="B509">
        <v>42</v>
      </c>
      <c r="C509">
        <v>-23</v>
      </c>
      <c r="D509">
        <v>2</v>
      </c>
      <c r="E509" t="s">
        <v>12</v>
      </c>
      <c r="F509" t="s">
        <v>131</v>
      </c>
      <c r="G509" t="s">
        <v>28</v>
      </c>
    </row>
    <row r="510" spans="1:7" x14ac:dyDescent="0.25">
      <c r="A510" t="s">
        <v>96</v>
      </c>
      <c r="B510">
        <v>216</v>
      </c>
      <c r="C510">
        <v>-135</v>
      </c>
      <c r="D510">
        <v>3</v>
      </c>
      <c r="E510" t="s">
        <v>12</v>
      </c>
      <c r="F510" t="s">
        <v>13</v>
      </c>
      <c r="G510" t="s">
        <v>19</v>
      </c>
    </row>
    <row r="511" spans="1:7" x14ac:dyDescent="0.25">
      <c r="A511" t="s">
        <v>326</v>
      </c>
      <c r="B511">
        <v>47</v>
      </c>
      <c r="C511">
        <v>-21</v>
      </c>
      <c r="D511">
        <v>2</v>
      </c>
      <c r="E511" t="s">
        <v>8</v>
      </c>
      <c r="F511" t="s">
        <v>9</v>
      </c>
      <c r="G511" t="s">
        <v>10</v>
      </c>
    </row>
    <row r="512" spans="1:7" x14ac:dyDescent="0.25">
      <c r="A512" t="s">
        <v>265</v>
      </c>
      <c r="B512">
        <v>68</v>
      </c>
      <c r="C512">
        <v>-55</v>
      </c>
      <c r="D512">
        <v>5</v>
      </c>
      <c r="E512" t="s">
        <v>8</v>
      </c>
      <c r="F512" t="s">
        <v>73</v>
      </c>
      <c r="G512" t="s">
        <v>28</v>
      </c>
    </row>
    <row r="513" spans="1:7" x14ac:dyDescent="0.25">
      <c r="A513" t="s">
        <v>134</v>
      </c>
      <c r="B513">
        <v>74</v>
      </c>
      <c r="C513">
        <v>33</v>
      </c>
      <c r="D513">
        <v>2</v>
      </c>
      <c r="E513" t="s">
        <v>23</v>
      </c>
      <c r="F513" t="s">
        <v>142</v>
      </c>
      <c r="G513" t="s">
        <v>82</v>
      </c>
    </row>
    <row r="514" spans="1:7" x14ac:dyDescent="0.25">
      <c r="A514" t="s">
        <v>140</v>
      </c>
      <c r="B514">
        <v>165</v>
      </c>
      <c r="C514">
        <v>46</v>
      </c>
      <c r="D514">
        <v>3</v>
      </c>
      <c r="E514" t="s">
        <v>12</v>
      </c>
      <c r="F514" t="s">
        <v>131</v>
      </c>
      <c r="G514" t="s">
        <v>10</v>
      </c>
    </row>
    <row r="515" spans="1:7" x14ac:dyDescent="0.25">
      <c r="A515" t="s">
        <v>211</v>
      </c>
      <c r="B515">
        <v>101</v>
      </c>
      <c r="C515">
        <v>11</v>
      </c>
      <c r="D515">
        <v>2</v>
      </c>
      <c r="E515" t="s">
        <v>23</v>
      </c>
      <c r="F515" t="s">
        <v>30</v>
      </c>
      <c r="G515" t="s">
        <v>28</v>
      </c>
    </row>
    <row r="516" spans="1:7" x14ac:dyDescent="0.25">
      <c r="A516" t="s">
        <v>327</v>
      </c>
      <c r="B516">
        <v>162</v>
      </c>
      <c r="C516">
        <v>73</v>
      </c>
      <c r="D516">
        <v>2</v>
      </c>
      <c r="E516" t="s">
        <v>8</v>
      </c>
      <c r="F516" t="s">
        <v>9</v>
      </c>
      <c r="G516" t="s">
        <v>10</v>
      </c>
    </row>
    <row r="517" spans="1:7" x14ac:dyDescent="0.25">
      <c r="A517" t="s">
        <v>279</v>
      </c>
      <c r="B517">
        <v>20</v>
      </c>
      <c r="C517">
        <v>-22</v>
      </c>
      <c r="D517">
        <v>1</v>
      </c>
      <c r="E517" t="s">
        <v>12</v>
      </c>
      <c r="F517" t="s">
        <v>131</v>
      </c>
      <c r="G517" t="s">
        <v>28</v>
      </c>
    </row>
    <row r="518" spans="1:7" x14ac:dyDescent="0.25">
      <c r="A518" t="s">
        <v>167</v>
      </c>
      <c r="B518">
        <v>162</v>
      </c>
      <c r="C518">
        <v>55</v>
      </c>
      <c r="D518">
        <v>3</v>
      </c>
      <c r="E518" t="s">
        <v>23</v>
      </c>
      <c r="F518" t="s">
        <v>57</v>
      </c>
      <c r="G518" t="s">
        <v>10</v>
      </c>
    </row>
    <row r="519" spans="1:7" x14ac:dyDescent="0.25">
      <c r="A519" t="s">
        <v>205</v>
      </c>
      <c r="B519">
        <v>229</v>
      </c>
      <c r="C519">
        <v>-23</v>
      </c>
      <c r="D519">
        <v>2</v>
      </c>
      <c r="E519" t="s">
        <v>23</v>
      </c>
      <c r="F519" t="s">
        <v>26</v>
      </c>
      <c r="G519" t="s">
        <v>28</v>
      </c>
    </row>
    <row r="520" spans="1:7" x14ac:dyDescent="0.25">
      <c r="A520" t="s">
        <v>328</v>
      </c>
      <c r="B520">
        <v>27</v>
      </c>
      <c r="C520">
        <v>0</v>
      </c>
      <c r="D520">
        <v>2</v>
      </c>
      <c r="E520" t="s">
        <v>23</v>
      </c>
      <c r="F520" t="s">
        <v>63</v>
      </c>
      <c r="G520" t="s">
        <v>10</v>
      </c>
    </row>
    <row r="521" spans="1:7" x14ac:dyDescent="0.25">
      <c r="A521" t="s">
        <v>44</v>
      </c>
      <c r="B521">
        <v>685</v>
      </c>
      <c r="C521">
        <v>7</v>
      </c>
      <c r="D521">
        <v>7</v>
      </c>
      <c r="E521" t="s">
        <v>23</v>
      </c>
      <c r="F521" t="s">
        <v>24</v>
      </c>
      <c r="G521" t="s">
        <v>28</v>
      </c>
    </row>
    <row r="522" spans="1:7" x14ac:dyDescent="0.25">
      <c r="A522" t="s">
        <v>228</v>
      </c>
      <c r="B522">
        <v>75</v>
      </c>
      <c r="C522">
        <v>2</v>
      </c>
      <c r="D522">
        <v>5</v>
      </c>
      <c r="E522" t="s">
        <v>23</v>
      </c>
      <c r="F522" t="s">
        <v>63</v>
      </c>
      <c r="G522" t="s">
        <v>82</v>
      </c>
    </row>
    <row r="523" spans="1:7" x14ac:dyDescent="0.25">
      <c r="A523" t="s">
        <v>223</v>
      </c>
      <c r="B523">
        <v>161</v>
      </c>
      <c r="C523">
        <v>-229</v>
      </c>
      <c r="D523">
        <v>8</v>
      </c>
      <c r="E523" t="s">
        <v>12</v>
      </c>
      <c r="F523" t="s">
        <v>131</v>
      </c>
      <c r="G523" t="s">
        <v>10</v>
      </c>
    </row>
    <row r="524" spans="1:7" x14ac:dyDescent="0.25">
      <c r="A524" t="s">
        <v>301</v>
      </c>
      <c r="B524">
        <v>71</v>
      </c>
      <c r="C524">
        <v>19</v>
      </c>
      <c r="D524">
        <v>3</v>
      </c>
      <c r="E524" t="s">
        <v>23</v>
      </c>
      <c r="F524" t="s">
        <v>81</v>
      </c>
      <c r="G524" t="s">
        <v>10</v>
      </c>
    </row>
    <row r="525" spans="1:7" x14ac:dyDescent="0.25">
      <c r="A525" t="s">
        <v>135</v>
      </c>
      <c r="B525">
        <v>211</v>
      </c>
      <c r="C525">
        <v>-105</v>
      </c>
      <c r="D525">
        <v>2</v>
      </c>
      <c r="E525" t="s">
        <v>23</v>
      </c>
      <c r="F525" t="s">
        <v>26</v>
      </c>
      <c r="G525" t="s">
        <v>19</v>
      </c>
    </row>
    <row r="526" spans="1:7" x14ac:dyDescent="0.25">
      <c r="A526" t="s">
        <v>329</v>
      </c>
      <c r="B526">
        <v>79</v>
      </c>
      <c r="C526">
        <v>5</v>
      </c>
      <c r="D526">
        <v>6</v>
      </c>
      <c r="E526" t="s">
        <v>23</v>
      </c>
      <c r="F526" t="s">
        <v>30</v>
      </c>
      <c r="G526" t="s">
        <v>82</v>
      </c>
    </row>
    <row r="527" spans="1:7" x14ac:dyDescent="0.25">
      <c r="A527" t="s">
        <v>143</v>
      </c>
      <c r="B527">
        <v>32</v>
      </c>
      <c r="C527">
        <v>-22</v>
      </c>
      <c r="D527">
        <v>5</v>
      </c>
      <c r="E527" t="s">
        <v>23</v>
      </c>
      <c r="F527" t="s">
        <v>26</v>
      </c>
      <c r="G527" t="s">
        <v>28</v>
      </c>
    </row>
    <row r="528" spans="1:7" x14ac:dyDescent="0.25">
      <c r="A528" t="s">
        <v>330</v>
      </c>
      <c r="B528">
        <v>161</v>
      </c>
      <c r="C528">
        <v>40</v>
      </c>
      <c r="D528">
        <v>3</v>
      </c>
      <c r="E528" t="s">
        <v>23</v>
      </c>
      <c r="F528" t="s">
        <v>57</v>
      </c>
      <c r="G528" t="s">
        <v>10</v>
      </c>
    </row>
    <row r="529" spans="1:7" x14ac:dyDescent="0.25">
      <c r="A529" t="s">
        <v>119</v>
      </c>
      <c r="B529">
        <v>159</v>
      </c>
      <c r="C529">
        <v>4</v>
      </c>
      <c r="D529">
        <v>1</v>
      </c>
      <c r="E529" t="s">
        <v>23</v>
      </c>
      <c r="F529" t="s">
        <v>26</v>
      </c>
      <c r="G529" t="s">
        <v>10</v>
      </c>
    </row>
    <row r="530" spans="1:7" x14ac:dyDescent="0.25">
      <c r="A530" t="s">
        <v>145</v>
      </c>
      <c r="B530">
        <v>210</v>
      </c>
      <c r="C530">
        <v>-50</v>
      </c>
      <c r="D530">
        <v>4</v>
      </c>
      <c r="E530" t="s">
        <v>23</v>
      </c>
      <c r="F530" t="s">
        <v>30</v>
      </c>
      <c r="G530" t="s">
        <v>19</v>
      </c>
    </row>
    <row r="531" spans="1:7" x14ac:dyDescent="0.25">
      <c r="A531" t="s">
        <v>225</v>
      </c>
      <c r="B531">
        <v>79</v>
      </c>
      <c r="C531">
        <v>39</v>
      </c>
      <c r="D531">
        <v>2</v>
      </c>
      <c r="E531" t="s">
        <v>23</v>
      </c>
      <c r="F531" t="s">
        <v>142</v>
      </c>
      <c r="G531" t="s">
        <v>82</v>
      </c>
    </row>
    <row r="532" spans="1:7" x14ac:dyDescent="0.25">
      <c r="A532" t="s">
        <v>182</v>
      </c>
      <c r="B532">
        <v>207</v>
      </c>
      <c r="C532">
        <v>153</v>
      </c>
      <c r="D532">
        <v>3</v>
      </c>
      <c r="E532" t="s">
        <v>23</v>
      </c>
      <c r="F532" t="s">
        <v>26</v>
      </c>
      <c r="G532" t="s">
        <v>19</v>
      </c>
    </row>
    <row r="533" spans="1:7" x14ac:dyDescent="0.25">
      <c r="A533" t="s">
        <v>198</v>
      </c>
      <c r="B533">
        <v>36</v>
      </c>
      <c r="C533">
        <v>0</v>
      </c>
      <c r="D533">
        <v>4</v>
      </c>
      <c r="E533" t="s">
        <v>23</v>
      </c>
      <c r="F533" t="s">
        <v>32</v>
      </c>
      <c r="G533" t="s">
        <v>10</v>
      </c>
    </row>
    <row r="534" spans="1:7" x14ac:dyDescent="0.25">
      <c r="A534" t="s">
        <v>106</v>
      </c>
      <c r="B534">
        <v>206</v>
      </c>
      <c r="C534">
        <v>12</v>
      </c>
      <c r="D534">
        <v>1</v>
      </c>
      <c r="E534" t="s">
        <v>8</v>
      </c>
      <c r="F534" t="s">
        <v>18</v>
      </c>
      <c r="G534" t="s">
        <v>19</v>
      </c>
    </row>
    <row r="535" spans="1:7" x14ac:dyDescent="0.25">
      <c r="A535" t="s">
        <v>140</v>
      </c>
      <c r="B535">
        <v>46</v>
      </c>
      <c r="C535">
        <v>0</v>
      </c>
      <c r="D535">
        <v>4</v>
      </c>
      <c r="E535" t="s">
        <v>23</v>
      </c>
      <c r="F535" t="s">
        <v>63</v>
      </c>
      <c r="G535" t="s">
        <v>10</v>
      </c>
    </row>
    <row r="536" spans="1:7" x14ac:dyDescent="0.25">
      <c r="A536" t="s">
        <v>273</v>
      </c>
      <c r="B536">
        <v>156</v>
      </c>
      <c r="C536">
        <v>23</v>
      </c>
      <c r="D536">
        <v>3</v>
      </c>
      <c r="E536" t="s">
        <v>23</v>
      </c>
      <c r="F536" t="s">
        <v>57</v>
      </c>
      <c r="G536" t="s">
        <v>10</v>
      </c>
    </row>
    <row r="537" spans="1:7" x14ac:dyDescent="0.25">
      <c r="A537" t="s">
        <v>286</v>
      </c>
      <c r="B537">
        <v>154</v>
      </c>
      <c r="C537">
        <v>54</v>
      </c>
      <c r="D537">
        <v>3</v>
      </c>
      <c r="E537" t="s">
        <v>23</v>
      </c>
      <c r="F537" t="s">
        <v>30</v>
      </c>
      <c r="G537" t="s">
        <v>10</v>
      </c>
    </row>
    <row r="538" spans="1:7" x14ac:dyDescent="0.25">
      <c r="A538" t="s">
        <v>331</v>
      </c>
      <c r="B538">
        <v>36</v>
      </c>
      <c r="C538">
        <v>15</v>
      </c>
      <c r="D538">
        <v>3</v>
      </c>
      <c r="E538" t="s">
        <v>23</v>
      </c>
      <c r="F538" t="s">
        <v>57</v>
      </c>
      <c r="G538" t="s">
        <v>28</v>
      </c>
    </row>
    <row r="539" spans="1:7" x14ac:dyDescent="0.25">
      <c r="A539" t="s">
        <v>332</v>
      </c>
      <c r="B539">
        <v>206</v>
      </c>
      <c r="C539">
        <v>51</v>
      </c>
      <c r="D539">
        <v>4</v>
      </c>
      <c r="E539" t="s">
        <v>23</v>
      </c>
      <c r="F539" t="s">
        <v>30</v>
      </c>
      <c r="G539" t="s">
        <v>19</v>
      </c>
    </row>
    <row r="540" spans="1:7" x14ac:dyDescent="0.25">
      <c r="A540" t="s">
        <v>333</v>
      </c>
      <c r="B540">
        <v>200</v>
      </c>
      <c r="C540">
        <v>7</v>
      </c>
      <c r="D540">
        <v>4</v>
      </c>
      <c r="E540" t="s">
        <v>8</v>
      </c>
      <c r="F540" t="s">
        <v>9</v>
      </c>
      <c r="G540" t="s">
        <v>19</v>
      </c>
    </row>
    <row r="541" spans="1:7" x14ac:dyDescent="0.25">
      <c r="A541" t="s">
        <v>332</v>
      </c>
      <c r="B541">
        <v>199</v>
      </c>
      <c r="C541">
        <v>-1</v>
      </c>
      <c r="D541">
        <v>1</v>
      </c>
      <c r="E541" t="s">
        <v>23</v>
      </c>
      <c r="F541" t="s">
        <v>26</v>
      </c>
      <c r="G541" t="s">
        <v>19</v>
      </c>
    </row>
    <row r="542" spans="1:7" x14ac:dyDescent="0.25">
      <c r="A542" t="s">
        <v>288</v>
      </c>
      <c r="B542">
        <v>154</v>
      </c>
      <c r="C542">
        <v>22</v>
      </c>
      <c r="D542">
        <v>7</v>
      </c>
      <c r="E542" t="s">
        <v>23</v>
      </c>
      <c r="F542" t="s">
        <v>81</v>
      </c>
      <c r="G542" t="s">
        <v>10</v>
      </c>
    </row>
    <row r="543" spans="1:7" x14ac:dyDescent="0.25">
      <c r="A543" t="s">
        <v>334</v>
      </c>
      <c r="B543">
        <v>152</v>
      </c>
      <c r="C543">
        <v>23</v>
      </c>
      <c r="D543">
        <v>3</v>
      </c>
      <c r="E543" t="s">
        <v>12</v>
      </c>
      <c r="F543" t="s">
        <v>131</v>
      </c>
      <c r="G543" t="s">
        <v>10</v>
      </c>
    </row>
    <row r="544" spans="1:7" x14ac:dyDescent="0.25">
      <c r="A544" t="s">
        <v>335</v>
      </c>
      <c r="B544">
        <v>152</v>
      </c>
      <c r="C544">
        <v>50</v>
      </c>
      <c r="D544">
        <v>6</v>
      </c>
      <c r="E544" t="s">
        <v>23</v>
      </c>
      <c r="F544" t="s">
        <v>57</v>
      </c>
      <c r="G544" t="s">
        <v>10</v>
      </c>
    </row>
    <row r="545" spans="1:7" x14ac:dyDescent="0.25">
      <c r="A545" t="s">
        <v>205</v>
      </c>
      <c r="B545">
        <v>122</v>
      </c>
      <c r="C545">
        <v>-21</v>
      </c>
      <c r="D545">
        <v>3</v>
      </c>
      <c r="E545" t="s">
        <v>12</v>
      </c>
      <c r="F545" t="s">
        <v>131</v>
      </c>
      <c r="G545" t="s">
        <v>28</v>
      </c>
    </row>
    <row r="546" spans="1:7" x14ac:dyDescent="0.25">
      <c r="A546" t="s">
        <v>234</v>
      </c>
      <c r="B546">
        <v>149</v>
      </c>
      <c r="C546">
        <v>48</v>
      </c>
      <c r="D546">
        <v>6</v>
      </c>
      <c r="E546" t="s">
        <v>23</v>
      </c>
      <c r="F546" t="s">
        <v>57</v>
      </c>
      <c r="G546" t="s">
        <v>10</v>
      </c>
    </row>
    <row r="547" spans="1:7" x14ac:dyDescent="0.25">
      <c r="A547" t="s">
        <v>336</v>
      </c>
      <c r="B547">
        <v>149</v>
      </c>
      <c r="C547">
        <v>-87</v>
      </c>
      <c r="D547">
        <v>4</v>
      </c>
      <c r="E547" t="s">
        <v>23</v>
      </c>
      <c r="F547" t="s">
        <v>26</v>
      </c>
      <c r="G547" t="s">
        <v>10</v>
      </c>
    </row>
    <row r="548" spans="1:7" x14ac:dyDescent="0.25">
      <c r="A548" t="s">
        <v>281</v>
      </c>
      <c r="B548">
        <v>197</v>
      </c>
      <c r="C548">
        <v>20</v>
      </c>
      <c r="D548">
        <v>4</v>
      </c>
      <c r="E548" t="s">
        <v>23</v>
      </c>
      <c r="F548" t="s">
        <v>32</v>
      </c>
      <c r="G548" t="s">
        <v>19</v>
      </c>
    </row>
    <row r="549" spans="1:7" x14ac:dyDescent="0.25">
      <c r="A549" t="s">
        <v>66</v>
      </c>
      <c r="B549">
        <v>76</v>
      </c>
      <c r="C549">
        <v>-54</v>
      </c>
      <c r="D549">
        <v>3</v>
      </c>
      <c r="E549" t="s">
        <v>8</v>
      </c>
      <c r="F549" t="s">
        <v>9</v>
      </c>
      <c r="G549" t="s">
        <v>10</v>
      </c>
    </row>
    <row r="550" spans="1:7" x14ac:dyDescent="0.25">
      <c r="A550" t="s">
        <v>262</v>
      </c>
      <c r="B550">
        <v>221</v>
      </c>
      <c r="C550">
        <v>-15</v>
      </c>
      <c r="D550">
        <v>2</v>
      </c>
      <c r="E550" t="s">
        <v>8</v>
      </c>
      <c r="F550" t="s">
        <v>9</v>
      </c>
      <c r="G550" t="s">
        <v>10</v>
      </c>
    </row>
    <row r="551" spans="1:7" x14ac:dyDescent="0.25">
      <c r="A551" t="s">
        <v>230</v>
      </c>
      <c r="B551">
        <v>79</v>
      </c>
      <c r="C551">
        <v>32</v>
      </c>
      <c r="D551">
        <v>3</v>
      </c>
      <c r="E551" t="s">
        <v>23</v>
      </c>
      <c r="F551" t="s">
        <v>26</v>
      </c>
      <c r="G551" t="s">
        <v>82</v>
      </c>
    </row>
    <row r="552" spans="1:7" x14ac:dyDescent="0.25">
      <c r="A552" t="s">
        <v>337</v>
      </c>
      <c r="B552">
        <v>45</v>
      </c>
      <c r="C552">
        <v>12</v>
      </c>
      <c r="D552">
        <v>7</v>
      </c>
      <c r="E552" t="s">
        <v>23</v>
      </c>
      <c r="F552" t="s">
        <v>30</v>
      </c>
      <c r="G552" t="s">
        <v>28</v>
      </c>
    </row>
    <row r="553" spans="1:7" x14ac:dyDescent="0.25">
      <c r="A553" t="s">
        <v>221</v>
      </c>
      <c r="B553">
        <v>149</v>
      </c>
      <c r="C553">
        <v>-1</v>
      </c>
      <c r="D553">
        <v>1</v>
      </c>
      <c r="E553" t="s">
        <v>23</v>
      </c>
      <c r="F553" t="s">
        <v>26</v>
      </c>
      <c r="G553" t="s">
        <v>10</v>
      </c>
    </row>
    <row r="554" spans="1:7" x14ac:dyDescent="0.25">
      <c r="A554" t="s">
        <v>301</v>
      </c>
      <c r="B554">
        <v>80</v>
      </c>
      <c r="C554">
        <v>22</v>
      </c>
      <c r="D554">
        <v>3</v>
      </c>
      <c r="E554" t="s">
        <v>23</v>
      </c>
      <c r="F554" t="s">
        <v>57</v>
      </c>
      <c r="G554" t="s">
        <v>82</v>
      </c>
    </row>
    <row r="555" spans="1:7" x14ac:dyDescent="0.25">
      <c r="A555" t="s">
        <v>256</v>
      </c>
      <c r="B555">
        <v>195</v>
      </c>
      <c r="C555">
        <v>12</v>
      </c>
      <c r="D555">
        <v>9</v>
      </c>
      <c r="E555" t="s">
        <v>23</v>
      </c>
      <c r="F555" t="s">
        <v>142</v>
      </c>
      <c r="G555" t="s">
        <v>19</v>
      </c>
    </row>
    <row r="556" spans="1:7" x14ac:dyDescent="0.25">
      <c r="A556" t="s">
        <v>54</v>
      </c>
      <c r="B556">
        <v>19</v>
      </c>
      <c r="C556">
        <v>0</v>
      </c>
      <c r="D556">
        <v>3</v>
      </c>
      <c r="E556" t="s">
        <v>23</v>
      </c>
      <c r="F556" t="s">
        <v>43</v>
      </c>
      <c r="G556" t="s">
        <v>28</v>
      </c>
    </row>
    <row r="557" spans="1:7" x14ac:dyDescent="0.25">
      <c r="A557" t="s">
        <v>132</v>
      </c>
      <c r="B557">
        <v>81</v>
      </c>
      <c r="C557">
        <v>41</v>
      </c>
      <c r="D557">
        <v>3</v>
      </c>
      <c r="E557" t="s">
        <v>23</v>
      </c>
      <c r="F557" t="s">
        <v>57</v>
      </c>
      <c r="G557" t="s">
        <v>82</v>
      </c>
    </row>
    <row r="558" spans="1:7" x14ac:dyDescent="0.25">
      <c r="A558" t="s">
        <v>338</v>
      </c>
      <c r="B558">
        <v>83</v>
      </c>
      <c r="C558">
        <v>34</v>
      </c>
      <c r="D558">
        <v>5</v>
      </c>
      <c r="E558" t="s">
        <v>23</v>
      </c>
      <c r="F558" t="s">
        <v>142</v>
      </c>
      <c r="G558" t="s">
        <v>82</v>
      </c>
    </row>
    <row r="559" spans="1:7" x14ac:dyDescent="0.25">
      <c r="A559" t="s">
        <v>49</v>
      </c>
      <c r="B559">
        <v>149</v>
      </c>
      <c r="C559">
        <v>17</v>
      </c>
      <c r="D559">
        <v>4</v>
      </c>
      <c r="E559" t="s">
        <v>12</v>
      </c>
      <c r="F559" t="s">
        <v>131</v>
      </c>
      <c r="G559" t="s">
        <v>10</v>
      </c>
    </row>
    <row r="560" spans="1:7" x14ac:dyDescent="0.25">
      <c r="A560" t="s">
        <v>339</v>
      </c>
      <c r="B560">
        <v>193</v>
      </c>
      <c r="C560">
        <v>46</v>
      </c>
      <c r="D560">
        <v>1</v>
      </c>
      <c r="E560" t="s">
        <v>8</v>
      </c>
      <c r="F560" t="s">
        <v>18</v>
      </c>
      <c r="G560" t="s">
        <v>19</v>
      </c>
    </row>
    <row r="561" spans="1:7" x14ac:dyDescent="0.25">
      <c r="A561" t="s">
        <v>88</v>
      </c>
      <c r="B561">
        <v>85</v>
      </c>
      <c r="C561">
        <v>24</v>
      </c>
      <c r="D561">
        <v>10</v>
      </c>
      <c r="E561" t="s">
        <v>23</v>
      </c>
      <c r="F561" t="s">
        <v>30</v>
      </c>
      <c r="G561" t="s">
        <v>82</v>
      </c>
    </row>
    <row r="562" spans="1:7" x14ac:dyDescent="0.25">
      <c r="A562" t="s">
        <v>221</v>
      </c>
      <c r="B562">
        <v>44</v>
      </c>
      <c r="C562">
        <v>-17</v>
      </c>
      <c r="D562">
        <v>5</v>
      </c>
      <c r="E562" t="s">
        <v>23</v>
      </c>
      <c r="F562" t="s">
        <v>26</v>
      </c>
      <c r="G562" t="s">
        <v>28</v>
      </c>
    </row>
    <row r="563" spans="1:7" x14ac:dyDescent="0.25">
      <c r="A563" t="s">
        <v>340</v>
      </c>
      <c r="B563">
        <v>149</v>
      </c>
      <c r="C563">
        <v>-40</v>
      </c>
      <c r="D563">
        <v>2</v>
      </c>
      <c r="E563" t="s">
        <v>8</v>
      </c>
      <c r="F563" t="s">
        <v>21</v>
      </c>
      <c r="G563" t="s">
        <v>10</v>
      </c>
    </row>
    <row r="564" spans="1:7" x14ac:dyDescent="0.25">
      <c r="A564" t="s">
        <v>341</v>
      </c>
      <c r="B564">
        <v>26</v>
      </c>
      <c r="C564">
        <v>0</v>
      </c>
      <c r="D564">
        <v>2</v>
      </c>
      <c r="E564" t="s">
        <v>23</v>
      </c>
      <c r="F564" t="s">
        <v>32</v>
      </c>
      <c r="G564" t="s">
        <v>10</v>
      </c>
    </row>
    <row r="565" spans="1:7" x14ac:dyDescent="0.25">
      <c r="A565" t="s">
        <v>258</v>
      </c>
      <c r="B565">
        <v>86</v>
      </c>
      <c r="C565">
        <v>0</v>
      </c>
      <c r="D565">
        <v>4</v>
      </c>
      <c r="E565" t="s">
        <v>23</v>
      </c>
      <c r="F565" t="s">
        <v>81</v>
      </c>
      <c r="G565" t="s">
        <v>82</v>
      </c>
    </row>
    <row r="566" spans="1:7" x14ac:dyDescent="0.25">
      <c r="A566" t="s">
        <v>342</v>
      </c>
      <c r="B566">
        <v>86</v>
      </c>
      <c r="C566">
        <v>22</v>
      </c>
      <c r="D566">
        <v>2</v>
      </c>
      <c r="E566" t="s">
        <v>23</v>
      </c>
      <c r="F566" t="s">
        <v>26</v>
      </c>
      <c r="G566" t="s">
        <v>82</v>
      </c>
    </row>
    <row r="567" spans="1:7" x14ac:dyDescent="0.25">
      <c r="A567" t="s">
        <v>60</v>
      </c>
      <c r="B567">
        <v>79</v>
      </c>
      <c r="C567">
        <v>16</v>
      </c>
      <c r="D567">
        <v>3</v>
      </c>
      <c r="E567" t="s">
        <v>23</v>
      </c>
      <c r="F567" t="s">
        <v>81</v>
      </c>
      <c r="G567" t="s">
        <v>10</v>
      </c>
    </row>
    <row r="568" spans="1:7" x14ac:dyDescent="0.25">
      <c r="A568" t="s">
        <v>343</v>
      </c>
      <c r="B568">
        <v>193</v>
      </c>
      <c r="C568">
        <v>-275</v>
      </c>
      <c r="D568">
        <v>3</v>
      </c>
      <c r="E568" t="s">
        <v>8</v>
      </c>
      <c r="F568" t="s">
        <v>21</v>
      </c>
      <c r="G568" t="s">
        <v>19</v>
      </c>
    </row>
    <row r="569" spans="1:7" x14ac:dyDescent="0.25">
      <c r="A569" t="s">
        <v>163</v>
      </c>
      <c r="B569">
        <v>148</v>
      </c>
      <c r="C569">
        <v>0</v>
      </c>
      <c r="D569">
        <v>3</v>
      </c>
      <c r="E569" t="s">
        <v>23</v>
      </c>
      <c r="F569" t="s">
        <v>26</v>
      </c>
      <c r="G569" t="s">
        <v>10</v>
      </c>
    </row>
    <row r="570" spans="1:7" x14ac:dyDescent="0.25">
      <c r="A570" t="s">
        <v>344</v>
      </c>
      <c r="B570">
        <v>70</v>
      </c>
      <c r="C570">
        <v>-14</v>
      </c>
      <c r="D570">
        <v>2</v>
      </c>
      <c r="E570" t="s">
        <v>12</v>
      </c>
      <c r="F570" t="s">
        <v>131</v>
      </c>
      <c r="G570" t="s">
        <v>28</v>
      </c>
    </row>
    <row r="571" spans="1:7" x14ac:dyDescent="0.25">
      <c r="A571" t="s">
        <v>345</v>
      </c>
      <c r="B571">
        <v>148</v>
      </c>
      <c r="C571">
        <v>59</v>
      </c>
      <c r="D571">
        <v>3</v>
      </c>
      <c r="E571" t="s">
        <v>23</v>
      </c>
      <c r="F571" t="s">
        <v>30</v>
      </c>
      <c r="G571" t="s">
        <v>10</v>
      </c>
    </row>
    <row r="572" spans="1:7" x14ac:dyDescent="0.25">
      <c r="A572" t="s">
        <v>46</v>
      </c>
      <c r="B572">
        <v>190</v>
      </c>
      <c r="C572">
        <v>19</v>
      </c>
      <c r="D572">
        <v>9</v>
      </c>
      <c r="E572" t="s">
        <v>12</v>
      </c>
      <c r="F572" t="s">
        <v>131</v>
      </c>
      <c r="G572" t="s">
        <v>19</v>
      </c>
    </row>
    <row r="573" spans="1:7" x14ac:dyDescent="0.25">
      <c r="A573" t="s">
        <v>260</v>
      </c>
      <c r="B573">
        <v>52</v>
      </c>
      <c r="C573">
        <v>14</v>
      </c>
      <c r="D573">
        <v>2</v>
      </c>
      <c r="E573" t="s">
        <v>23</v>
      </c>
      <c r="F573" t="s">
        <v>57</v>
      </c>
      <c r="G573" t="s">
        <v>10</v>
      </c>
    </row>
    <row r="574" spans="1:7" x14ac:dyDescent="0.25">
      <c r="A574" t="s">
        <v>327</v>
      </c>
      <c r="B574">
        <v>147</v>
      </c>
      <c r="C574">
        <v>44</v>
      </c>
      <c r="D574">
        <v>3</v>
      </c>
      <c r="E574" t="s">
        <v>23</v>
      </c>
      <c r="F574" t="s">
        <v>26</v>
      </c>
      <c r="G574" t="s">
        <v>10</v>
      </c>
    </row>
    <row r="575" spans="1:7" x14ac:dyDescent="0.25">
      <c r="A575" t="s">
        <v>191</v>
      </c>
      <c r="B575">
        <v>190</v>
      </c>
      <c r="C575">
        <v>68</v>
      </c>
      <c r="D575">
        <v>8</v>
      </c>
      <c r="E575" t="s">
        <v>23</v>
      </c>
      <c r="F575" t="s">
        <v>81</v>
      </c>
      <c r="G575" t="s">
        <v>19</v>
      </c>
    </row>
    <row r="576" spans="1:7" x14ac:dyDescent="0.25">
      <c r="A576" t="s">
        <v>346</v>
      </c>
      <c r="B576">
        <v>80</v>
      </c>
      <c r="C576">
        <v>-56</v>
      </c>
      <c r="D576">
        <v>4</v>
      </c>
      <c r="E576" t="s">
        <v>8</v>
      </c>
      <c r="F576" t="s">
        <v>9</v>
      </c>
      <c r="G576" t="s">
        <v>28</v>
      </c>
    </row>
    <row r="577" spans="1:7" x14ac:dyDescent="0.25">
      <c r="A577" t="s">
        <v>133</v>
      </c>
      <c r="B577">
        <v>147</v>
      </c>
      <c r="C577">
        <v>48</v>
      </c>
      <c r="D577">
        <v>3</v>
      </c>
      <c r="E577" t="s">
        <v>23</v>
      </c>
      <c r="F577" t="s">
        <v>26</v>
      </c>
      <c r="G577" t="s">
        <v>10</v>
      </c>
    </row>
    <row r="578" spans="1:7" x14ac:dyDescent="0.25">
      <c r="A578" t="s">
        <v>186</v>
      </c>
      <c r="B578">
        <v>66</v>
      </c>
      <c r="C578">
        <v>12</v>
      </c>
      <c r="D578">
        <v>3</v>
      </c>
      <c r="E578" t="s">
        <v>23</v>
      </c>
      <c r="F578" t="s">
        <v>57</v>
      </c>
      <c r="G578" t="s">
        <v>10</v>
      </c>
    </row>
    <row r="579" spans="1:7" x14ac:dyDescent="0.25">
      <c r="A579" t="s">
        <v>347</v>
      </c>
      <c r="B579">
        <v>86</v>
      </c>
      <c r="C579">
        <v>8</v>
      </c>
      <c r="D579">
        <v>2</v>
      </c>
      <c r="E579" t="s">
        <v>23</v>
      </c>
      <c r="F579" t="s">
        <v>26</v>
      </c>
      <c r="G579" t="s">
        <v>82</v>
      </c>
    </row>
    <row r="580" spans="1:7" x14ac:dyDescent="0.25">
      <c r="A580" t="s">
        <v>273</v>
      </c>
      <c r="B580">
        <v>88</v>
      </c>
      <c r="C580">
        <v>19</v>
      </c>
      <c r="D580">
        <v>2</v>
      </c>
      <c r="E580" t="s">
        <v>23</v>
      </c>
      <c r="F580" t="s">
        <v>142</v>
      </c>
      <c r="G580" t="s">
        <v>82</v>
      </c>
    </row>
    <row r="581" spans="1:7" x14ac:dyDescent="0.25">
      <c r="A581" t="s">
        <v>132</v>
      </c>
      <c r="B581">
        <v>188</v>
      </c>
      <c r="C581">
        <v>-193</v>
      </c>
      <c r="D581">
        <v>2</v>
      </c>
      <c r="E581" t="s">
        <v>8</v>
      </c>
      <c r="F581" t="s">
        <v>9</v>
      </c>
      <c r="G581" t="s">
        <v>19</v>
      </c>
    </row>
    <row r="582" spans="1:7" x14ac:dyDescent="0.25">
      <c r="A582" t="s">
        <v>179</v>
      </c>
      <c r="B582">
        <v>89</v>
      </c>
      <c r="C582">
        <v>29</v>
      </c>
      <c r="D582">
        <v>2</v>
      </c>
      <c r="E582" t="s">
        <v>23</v>
      </c>
      <c r="F582" t="s">
        <v>57</v>
      </c>
      <c r="G582" t="s">
        <v>28</v>
      </c>
    </row>
    <row r="583" spans="1:7" x14ac:dyDescent="0.25">
      <c r="A583" t="s">
        <v>348</v>
      </c>
      <c r="B583">
        <v>146</v>
      </c>
      <c r="C583">
        <v>19</v>
      </c>
      <c r="D583">
        <v>5</v>
      </c>
      <c r="E583" t="s">
        <v>23</v>
      </c>
      <c r="F583" t="s">
        <v>57</v>
      </c>
      <c r="G583" t="s">
        <v>10</v>
      </c>
    </row>
    <row r="584" spans="1:7" x14ac:dyDescent="0.25">
      <c r="A584" t="s">
        <v>124</v>
      </c>
      <c r="B584">
        <v>143</v>
      </c>
      <c r="C584">
        <v>32</v>
      </c>
      <c r="D584">
        <v>1</v>
      </c>
      <c r="E584" t="s">
        <v>12</v>
      </c>
      <c r="F584" t="s">
        <v>16</v>
      </c>
      <c r="G584" t="s">
        <v>10</v>
      </c>
    </row>
    <row r="585" spans="1:7" x14ac:dyDescent="0.25">
      <c r="A585" t="s">
        <v>276</v>
      </c>
      <c r="B585">
        <v>25</v>
      </c>
      <c r="C585">
        <v>-1</v>
      </c>
      <c r="D585">
        <v>4</v>
      </c>
      <c r="E585" t="s">
        <v>23</v>
      </c>
      <c r="F585" t="s">
        <v>32</v>
      </c>
      <c r="G585" t="s">
        <v>10</v>
      </c>
    </row>
    <row r="586" spans="1:7" x14ac:dyDescent="0.25">
      <c r="A586" t="s">
        <v>329</v>
      </c>
      <c r="B586">
        <v>30</v>
      </c>
      <c r="C586">
        <v>12</v>
      </c>
      <c r="D586">
        <v>3</v>
      </c>
      <c r="E586" t="s">
        <v>23</v>
      </c>
      <c r="F586" t="s">
        <v>43</v>
      </c>
      <c r="G586" t="s">
        <v>28</v>
      </c>
    </row>
    <row r="587" spans="1:7" x14ac:dyDescent="0.25">
      <c r="A587" t="s">
        <v>144</v>
      </c>
      <c r="B587">
        <v>140</v>
      </c>
      <c r="C587">
        <v>-58</v>
      </c>
      <c r="D587">
        <v>4</v>
      </c>
      <c r="E587" t="s">
        <v>12</v>
      </c>
      <c r="F587" t="s">
        <v>131</v>
      </c>
      <c r="G587" t="s">
        <v>10</v>
      </c>
    </row>
    <row r="588" spans="1:7" x14ac:dyDescent="0.25">
      <c r="A588" t="s">
        <v>246</v>
      </c>
      <c r="B588">
        <v>83</v>
      </c>
      <c r="C588">
        <v>-48</v>
      </c>
      <c r="D588">
        <v>1</v>
      </c>
      <c r="E588" t="s">
        <v>12</v>
      </c>
      <c r="F588" t="s">
        <v>16</v>
      </c>
      <c r="G588" t="s">
        <v>28</v>
      </c>
    </row>
    <row r="589" spans="1:7" x14ac:dyDescent="0.25">
      <c r="A589" t="s">
        <v>349</v>
      </c>
      <c r="B589">
        <v>140</v>
      </c>
      <c r="C589">
        <v>6</v>
      </c>
      <c r="D589">
        <v>5</v>
      </c>
      <c r="E589" t="s">
        <v>23</v>
      </c>
      <c r="F589" t="s">
        <v>26</v>
      </c>
      <c r="G589" t="s">
        <v>10</v>
      </c>
    </row>
    <row r="590" spans="1:7" x14ac:dyDescent="0.25">
      <c r="A590" t="s">
        <v>198</v>
      </c>
      <c r="B590">
        <v>28</v>
      </c>
      <c r="C590">
        <v>14</v>
      </c>
      <c r="D590">
        <v>4</v>
      </c>
      <c r="E590" t="s">
        <v>23</v>
      </c>
      <c r="F590" t="s">
        <v>30</v>
      </c>
      <c r="G590" t="s">
        <v>10</v>
      </c>
    </row>
    <row r="591" spans="1:7" x14ac:dyDescent="0.25">
      <c r="A591" t="s">
        <v>350</v>
      </c>
      <c r="B591">
        <v>139</v>
      </c>
      <c r="C591">
        <v>14</v>
      </c>
      <c r="D591">
        <v>3</v>
      </c>
      <c r="E591" t="s">
        <v>23</v>
      </c>
      <c r="F591" t="s">
        <v>57</v>
      </c>
      <c r="G591" t="s">
        <v>10</v>
      </c>
    </row>
    <row r="592" spans="1:7" x14ac:dyDescent="0.25">
      <c r="A592" t="s">
        <v>41</v>
      </c>
      <c r="B592">
        <v>30</v>
      </c>
      <c r="C592">
        <v>14</v>
      </c>
      <c r="D592">
        <v>3</v>
      </c>
      <c r="E592" t="s">
        <v>23</v>
      </c>
      <c r="F592" t="s">
        <v>30</v>
      </c>
      <c r="G592" t="s">
        <v>28</v>
      </c>
    </row>
    <row r="593" spans="1:7" x14ac:dyDescent="0.25">
      <c r="A593" t="s">
        <v>254</v>
      </c>
      <c r="B593">
        <v>89</v>
      </c>
      <c r="C593">
        <v>36</v>
      </c>
      <c r="D593">
        <v>3</v>
      </c>
      <c r="E593" t="s">
        <v>23</v>
      </c>
      <c r="F593" t="s">
        <v>142</v>
      </c>
      <c r="G593" t="s">
        <v>28</v>
      </c>
    </row>
    <row r="594" spans="1:7" x14ac:dyDescent="0.25">
      <c r="A594" t="s">
        <v>121</v>
      </c>
      <c r="B594">
        <v>187</v>
      </c>
      <c r="C594">
        <v>30</v>
      </c>
      <c r="D594">
        <v>4</v>
      </c>
      <c r="E594" t="s">
        <v>8</v>
      </c>
      <c r="F594" t="s">
        <v>73</v>
      </c>
      <c r="G594" t="s">
        <v>19</v>
      </c>
    </row>
    <row r="595" spans="1:7" x14ac:dyDescent="0.25">
      <c r="A595" t="s">
        <v>273</v>
      </c>
      <c r="B595">
        <v>139</v>
      </c>
      <c r="C595">
        <v>21</v>
      </c>
      <c r="D595">
        <v>3</v>
      </c>
      <c r="E595" t="s">
        <v>8</v>
      </c>
      <c r="F595" t="s">
        <v>73</v>
      </c>
      <c r="G595" t="s">
        <v>10</v>
      </c>
    </row>
    <row r="596" spans="1:7" x14ac:dyDescent="0.25">
      <c r="A596" t="s">
        <v>289</v>
      </c>
      <c r="B596">
        <v>437</v>
      </c>
      <c r="C596">
        <v>-14</v>
      </c>
      <c r="D596">
        <v>2</v>
      </c>
      <c r="E596" t="s">
        <v>23</v>
      </c>
      <c r="F596" t="s">
        <v>26</v>
      </c>
      <c r="G596" t="s">
        <v>28</v>
      </c>
    </row>
    <row r="597" spans="1:7" x14ac:dyDescent="0.25">
      <c r="A597" t="s">
        <v>227</v>
      </c>
      <c r="B597">
        <v>138</v>
      </c>
      <c r="C597">
        <v>-3</v>
      </c>
      <c r="D597">
        <v>5</v>
      </c>
      <c r="E597" t="s">
        <v>23</v>
      </c>
      <c r="F597" t="s">
        <v>26</v>
      </c>
      <c r="G597" t="s">
        <v>10</v>
      </c>
    </row>
    <row r="598" spans="1:7" x14ac:dyDescent="0.25">
      <c r="A598" t="s">
        <v>299</v>
      </c>
      <c r="B598">
        <v>85</v>
      </c>
      <c r="C598">
        <v>13</v>
      </c>
      <c r="D598">
        <v>2</v>
      </c>
      <c r="E598" t="s">
        <v>23</v>
      </c>
      <c r="F598" t="s">
        <v>142</v>
      </c>
      <c r="G598" t="s">
        <v>28</v>
      </c>
    </row>
    <row r="599" spans="1:7" x14ac:dyDescent="0.25">
      <c r="A599" t="s">
        <v>202</v>
      </c>
      <c r="B599">
        <v>83</v>
      </c>
      <c r="C599">
        <v>12</v>
      </c>
      <c r="D599">
        <v>3</v>
      </c>
      <c r="E599" t="s">
        <v>23</v>
      </c>
      <c r="F599" t="s">
        <v>57</v>
      </c>
      <c r="G599" t="s">
        <v>28</v>
      </c>
    </row>
    <row r="600" spans="1:7" x14ac:dyDescent="0.25">
      <c r="A600" t="s">
        <v>294</v>
      </c>
      <c r="B600">
        <v>91</v>
      </c>
      <c r="C600">
        <v>22</v>
      </c>
      <c r="D600">
        <v>2</v>
      </c>
      <c r="E600" t="s">
        <v>23</v>
      </c>
      <c r="F600" t="s">
        <v>57</v>
      </c>
      <c r="G600" t="s">
        <v>28</v>
      </c>
    </row>
    <row r="601" spans="1:7" x14ac:dyDescent="0.25">
      <c r="A601" t="s">
        <v>172</v>
      </c>
      <c r="B601">
        <v>137</v>
      </c>
      <c r="C601">
        <v>5</v>
      </c>
      <c r="D601">
        <v>5</v>
      </c>
      <c r="E601" t="s">
        <v>23</v>
      </c>
      <c r="F601" t="s">
        <v>142</v>
      </c>
      <c r="G601" t="s">
        <v>10</v>
      </c>
    </row>
    <row r="602" spans="1:7" x14ac:dyDescent="0.25">
      <c r="A602" t="s">
        <v>351</v>
      </c>
      <c r="B602">
        <v>33</v>
      </c>
      <c r="C602">
        <v>-12</v>
      </c>
      <c r="D602">
        <v>7</v>
      </c>
      <c r="E602" t="s">
        <v>23</v>
      </c>
      <c r="F602" t="s">
        <v>26</v>
      </c>
      <c r="G602" t="s">
        <v>28</v>
      </c>
    </row>
    <row r="603" spans="1:7" x14ac:dyDescent="0.25">
      <c r="A603" t="s">
        <v>67</v>
      </c>
      <c r="B603">
        <v>134</v>
      </c>
      <c r="C603">
        <v>-34</v>
      </c>
      <c r="D603">
        <v>2</v>
      </c>
      <c r="E603" t="s">
        <v>12</v>
      </c>
      <c r="F603" t="s">
        <v>13</v>
      </c>
      <c r="G603" t="s">
        <v>10</v>
      </c>
    </row>
    <row r="604" spans="1:7" x14ac:dyDescent="0.25">
      <c r="A604" t="s">
        <v>352</v>
      </c>
      <c r="B604">
        <v>134</v>
      </c>
      <c r="C604">
        <v>42</v>
      </c>
      <c r="D604">
        <v>2</v>
      </c>
      <c r="E604" t="s">
        <v>12</v>
      </c>
      <c r="F604" t="s">
        <v>13</v>
      </c>
      <c r="G604" t="s">
        <v>10</v>
      </c>
    </row>
    <row r="605" spans="1:7" x14ac:dyDescent="0.25">
      <c r="A605" t="s">
        <v>353</v>
      </c>
      <c r="B605">
        <v>133</v>
      </c>
      <c r="C605">
        <v>-56</v>
      </c>
      <c r="D605">
        <v>2</v>
      </c>
      <c r="E605" t="s">
        <v>12</v>
      </c>
      <c r="F605" t="s">
        <v>13</v>
      </c>
      <c r="G605" t="s">
        <v>10</v>
      </c>
    </row>
    <row r="606" spans="1:7" x14ac:dyDescent="0.25">
      <c r="A606" t="s">
        <v>200</v>
      </c>
      <c r="B606">
        <v>93</v>
      </c>
      <c r="C606">
        <v>-84</v>
      </c>
      <c r="D606">
        <v>3</v>
      </c>
      <c r="E606" t="s">
        <v>23</v>
      </c>
      <c r="F606" t="s">
        <v>26</v>
      </c>
      <c r="G606" t="s">
        <v>28</v>
      </c>
    </row>
    <row r="607" spans="1:7" x14ac:dyDescent="0.25">
      <c r="A607" t="s">
        <v>161</v>
      </c>
      <c r="B607">
        <v>86</v>
      </c>
      <c r="C607">
        <v>-21</v>
      </c>
      <c r="D607">
        <v>1</v>
      </c>
      <c r="E607" t="s">
        <v>8</v>
      </c>
      <c r="F607" t="s">
        <v>9</v>
      </c>
      <c r="G607" t="s">
        <v>28</v>
      </c>
    </row>
    <row r="608" spans="1:7" x14ac:dyDescent="0.25">
      <c r="A608" t="s">
        <v>48</v>
      </c>
      <c r="B608">
        <v>132</v>
      </c>
      <c r="C608">
        <v>54</v>
      </c>
      <c r="D608">
        <v>5</v>
      </c>
      <c r="E608" t="s">
        <v>23</v>
      </c>
      <c r="F608" t="s">
        <v>57</v>
      </c>
      <c r="G608" t="s">
        <v>10</v>
      </c>
    </row>
    <row r="609" spans="1:7" x14ac:dyDescent="0.25">
      <c r="A609" t="s">
        <v>83</v>
      </c>
      <c r="B609">
        <v>132</v>
      </c>
      <c r="C609">
        <v>-10</v>
      </c>
      <c r="D609">
        <v>3</v>
      </c>
      <c r="E609" t="s">
        <v>23</v>
      </c>
      <c r="F609" t="s">
        <v>26</v>
      </c>
      <c r="G609" t="s">
        <v>10</v>
      </c>
    </row>
    <row r="610" spans="1:7" x14ac:dyDescent="0.25">
      <c r="A610" t="s">
        <v>252</v>
      </c>
      <c r="B610">
        <v>132</v>
      </c>
      <c r="C610">
        <v>-79</v>
      </c>
      <c r="D610">
        <v>5</v>
      </c>
      <c r="E610" t="s">
        <v>12</v>
      </c>
      <c r="F610" t="s">
        <v>131</v>
      </c>
      <c r="G610" t="s">
        <v>10</v>
      </c>
    </row>
    <row r="611" spans="1:7" x14ac:dyDescent="0.25">
      <c r="A611" t="s">
        <v>292</v>
      </c>
      <c r="B611">
        <v>93</v>
      </c>
      <c r="C611">
        <v>-65</v>
      </c>
      <c r="D611">
        <v>4</v>
      </c>
      <c r="E611" t="s">
        <v>23</v>
      </c>
      <c r="F611" t="s">
        <v>57</v>
      </c>
      <c r="G611" t="s">
        <v>28</v>
      </c>
    </row>
    <row r="612" spans="1:7" x14ac:dyDescent="0.25">
      <c r="A612" t="s">
        <v>354</v>
      </c>
      <c r="B612">
        <v>95</v>
      </c>
      <c r="C612">
        <v>5</v>
      </c>
      <c r="D612">
        <v>2</v>
      </c>
      <c r="E612" t="s">
        <v>23</v>
      </c>
      <c r="F612" t="s">
        <v>57</v>
      </c>
      <c r="G612" t="s">
        <v>28</v>
      </c>
    </row>
    <row r="613" spans="1:7" x14ac:dyDescent="0.25">
      <c r="A613" t="s">
        <v>61</v>
      </c>
      <c r="B613">
        <v>97</v>
      </c>
      <c r="C613">
        <v>12</v>
      </c>
      <c r="D613">
        <v>2</v>
      </c>
      <c r="E613" t="s">
        <v>23</v>
      </c>
      <c r="F613" t="s">
        <v>30</v>
      </c>
      <c r="G613" t="s">
        <v>28</v>
      </c>
    </row>
    <row r="614" spans="1:7" x14ac:dyDescent="0.25">
      <c r="A614" t="s">
        <v>355</v>
      </c>
      <c r="B614">
        <v>131</v>
      </c>
      <c r="C614">
        <v>-154</v>
      </c>
      <c r="D614">
        <v>8</v>
      </c>
      <c r="E614" t="s">
        <v>12</v>
      </c>
      <c r="F614" t="s">
        <v>131</v>
      </c>
      <c r="G614" t="s">
        <v>10</v>
      </c>
    </row>
    <row r="615" spans="1:7" x14ac:dyDescent="0.25">
      <c r="A615" t="s">
        <v>298</v>
      </c>
      <c r="B615">
        <v>97</v>
      </c>
      <c r="C615">
        <v>29</v>
      </c>
      <c r="D615">
        <v>2</v>
      </c>
      <c r="E615" t="s">
        <v>23</v>
      </c>
      <c r="F615" t="s">
        <v>30</v>
      </c>
      <c r="G615" t="s">
        <v>28</v>
      </c>
    </row>
    <row r="616" spans="1:7" x14ac:dyDescent="0.25">
      <c r="A616" t="s">
        <v>41</v>
      </c>
      <c r="B616">
        <v>128</v>
      </c>
      <c r="C616">
        <v>4</v>
      </c>
      <c r="D616">
        <v>3</v>
      </c>
      <c r="E616" t="s">
        <v>23</v>
      </c>
      <c r="F616" t="s">
        <v>26</v>
      </c>
      <c r="G616" t="s">
        <v>10</v>
      </c>
    </row>
    <row r="617" spans="1:7" x14ac:dyDescent="0.25">
      <c r="A617" t="s">
        <v>33</v>
      </c>
      <c r="B617">
        <v>186</v>
      </c>
      <c r="C617">
        <v>241</v>
      </c>
      <c r="D617">
        <v>9</v>
      </c>
      <c r="E617" t="s">
        <v>23</v>
      </c>
      <c r="F617" t="s">
        <v>142</v>
      </c>
      <c r="G617" t="s">
        <v>19</v>
      </c>
    </row>
    <row r="618" spans="1:7" x14ac:dyDescent="0.25">
      <c r="A618" t="s">
        <v>60</v>
      </c>
      <c r="B618">
        <v>128</v>
      </c>
      <c r="C618">
        <v>47</v>
      </c>
      <c r="D618">
        <v>4</v>
      </c>
      <c r="E618" t="s">
        <v>23</v>
      </c>
      <c r="F618" t="s">
        <v>30</v>
      </c>
      <c r="G618" t="s">
        <v>10</v>
      </c>
    </row>
    <row r="619" spans="1:7" x14ac:dyDescent="0.25">
      <c r="A619" t="s">
        <v>172</v>
      </c>
      <c r="B619">
        <v>185</v>
      </c>
      <c r="C619">
        <v>48</v>
      </c>
      <c r="D619">
        <v>4</v>
      </c>
      <c r="E619" t="s">
        <v>23</v>
      </c>
      <c r="F619" t="s">
        <v>57</v>
      </c>
      <c r="G619" t="s">
        <v>19</v>
      </c>
    </row>
    <row r="620" spans="1:7" x14ac:dyDescent="0.25">
      <c r="A620" t="s">
        <v>356</v>
      </c>
      <c r="B620">
        <v>29</v>
      </c>
      <c r="C620">
        <v>10</v>
      </c>
      <c r="D620">
        <v>2</v>
      </c>
      <c r="E620" t="s">
        <v>23</v>
      </c>
      <c r="F620" t="s">
        <v>57</v>
      </c>
      <c r="G620" t="s">
        <v>10</v>
      </c>
    </row>
    <row r="621" spans="1:7" x14ac:dyDescent="0.25">
      <c r="A621" t="s">
        <v>59</v>
      </c>
      <c r="B621">
        <v>127</v>
      </c>
      <c r="C621">
        <v>29</v>
      </c>
      <c r="D621">
        <v>3</v>
      </c>
      <c r="E621" t="s">
        <v>12</v>
      </c>
      <c r="F621" t="s">
        <v>131</v>
      </c>
      <c r="G621" t="s">
        <v>10</v>
      </c>
    </row>
    <row r="622" spans="1:7" x14ac:dyDescent="0.25">
      <c r="A622" t="s">
        <v>237</v>
      </c>
      <c r="B622">
        <v>97</v>
      </c>
      <c r="C622">
        <v>36</v>
      </c>
      <c r="D622">
        <v>7</v>
      </c>
      <c r="E622" t="s">
        <v>23</v>
      </c>
      <c r="F622" t="s">
        <v>30</v>
      </c>
      <c r="G622" t="s">
        <v>28</v>
      </c>
    </row>
    <row r="623" spans="1:7" x14ac:dyDescent="0.25">
      <c r="A623" t="s">
        <v>139</v>
      </c>
      <c r="B623">
        <v>125</v>
      </c>
      <c r="C623">
        <v>0</v>
      </c>
      <c r="D623">
        <v>3</v>
      </c>
      <c r="E623" t="s">
        <v>8</v>
      </c>
      <c r="F623" t="s">
        <v>73</v>
      </c>
      <c r="G623" t="s">
        <v>10</v>
      </c>
    </row>
    <row r="624" spans="1:7" x14ac:dyDescent="0.25">
      <c r="A624" t="s">
        <v>357</v>
      </c>
      <c r="B624">
        <v>299</v>
      </c>
      <c r="C624">
        <v>-8</v>
      </c>
      <c r="D624">
        <v>2</v>
      </c>
      <c r="E624" t="s">
        <v>23</v>
      </c>
      <c r="F624" t="s">
        <v>26</v>
      </c>
      <c r="G624" t="s">
        <v>10</v>
      </c>
    </row>
    <row r="625" spans="1:7" x14ac:dyDescent="0.25">
      <c r="A625" t="s">
        <v>358</v>
      </c>
      <c r="B625">
        <v>124</v>
      </c>
      <c r="C625">
        <v>54</v>
      </c>
      <c r="D625">
        <v>5</v>
      </c>
      <c r="E625" t="s">
        <v>23</v>
      </c>
      <c r="F625" t="s">
        <v>81</v>
      </c>
      <c r="G625" t="s">
        <v>10</v>
      </c>
    </row>
    <row r="626" spans="1:7" x14ac:dyDescent="0.25">
      <c r="A626" t="s">
        <v>227</v>
      </c>
      <c r="B626">
        <v>90</v>
      </c>
      <c r="C626">
        <v>17</v>
      </c>
      <c r="D626">
        <v>3</v>
      </c>
      <c r="E626" t="s">
        <v>23</v>
      </c>
      <c r="F626" t="s">
        <v>142</v>
      </c>
      <c r="G626" t="s">
        <v>10</v>
      </c>
    </row>
    <row r="627" spans="1:7" x14ac:dyDescent="0.25">
      <c r="A627" t="s">
        <v>253</v>
      </c>
      <c r="B627">
        <v>122</v>
      </c>
      <c r="C627">
        <v>11</v>
      </c>
      <c r="D627">
        <v>4</v>
      </c>
      <c r="E627" t="s">
        <v>23</v>
      </c>
      <c r="F627" t="s">
        <v>30</v>
      </c>
      <c r="G627" t="s">
        <v>10</v>
      </c>
    </row>
    <row r="628" spans="1:7" x14ac:dyDescent="0.25">
      <c r="A628" t="s">
        <v>337</v>
      </c>
      <c r="B628">
        <v>122</v>
      </c>
      <c r="C628">
        <v>-66</v>
      </c>
      <c r="D628">
        <v>9</v>
      </c>
      <c r="E628" t="s">
        <v>8</v>
      </c>
      <c r="F628" t="s">
        <v>73</v>
      </c>
      <c r="G628" t="s">
        <v>10</v>
      </c>
    </row>
    <row r="629" spans="1:7" x14ac:dyDescent="0.25">
      <c r="A629" t="s">
        <v>69</v>
      </c>
      <c r="B629">
        <v>90</v>
      </c>
      <c r="C629">
        <v>30</v>
      </c>
      <c r="D629">
        <v>2</v>
      </c>
      <c r="E629" t="s">
        <v>12</v>
      </c>
      <c r="F629" t="s">
        <v>13</v>
      </c>
      <c r="G629" t="s">
        <v>28</v>
      </c>
    </row>
    <row r="630" spans="1:7" x14ac:dyDescent="0.25">
      <c r="A630" t="s">
        <v>359</v>
      </c>
      <c r="B630">
        <v>182</v>
      </c>
      <c r="C630">
        <v>-11</v>
      </c>
      <c r="D630">
        <v>3</v>
      </c>
      <c r="E630" t="s">
        <v>12</v>
      </c>
      <c r="F630" t="s">
        <v>16</v>
      </c>
      <c r="G630" t="s">
        <v>19</v>
      </c>
    </row>
    <row r="631" spans="1:7" x14ac:dyDescent="0.25">
      <c r="A631" t="s">
        <v>153</v>
      </c>
      <c r="B631">
        <v>122</v>
      </c>
      <c r="C631">
        <v>59</v>
      </c>
      <c r="D631">
        <v>7</v>
      </c>
      <c r="E631" t="s">
        <v>12</v>
      </c>
      <c r="F631" t="s">
        <v>131</v>
      </c>
      <c r="G631" t="s">
        <v>10</v>
      </c>
    </row>
    <row r="632" spans="1:7" x14ac:dyDescent="0.25">
      <c r="A632" t="s">
        <v>360</v>
      </c>
      <c r="B632">
        <v>121</v>
      </c>
      <c r="C632">
        <v>19</v>
      </c>
      <c r="D632">
        <v>4</v>
      </c>
      <c r="E632" t="s">
        <v>23</v>
      </c>
      <c r="F632" t="s">
        <v>57</v>
      </c>
      <c r="G632" t="s">
        <v>10</v>
      </c>
    </row>
    <row r="633" spans="1:7" x14ac:dyDescent="0.25">
      <c r="A633" t="s">
        <v>167</v>
      </c>
      <c r="B633">
        <v>120</v>
      </c>
      <c r="C633">
        <v>1</v>
      </c>
      <c r="D633">
        <v>1</v>
      </c>
      <c r="E633" t="s">
        <v>12</v>
      </c>
      <c r="F633" t="s">
        <v>13</v>
      </c>
      <c r="G633" t="s">
        <v>10</v>
      </c>
    </row>
    <row r="634" spans="1:7" x14ac:dyDescent="0.25">
      <c r="A634" t="s">
        <v>179</v>
      </c>
      <c r="B634">
        <v>120</v>
      </c>
      <c r="C634">
        <v>23</v>
      </c>
      <c r="D634">
        <v>5</v>
      </c>
      <c r="E634" t="s">
        <v>23</v>
      </c>
      <c r="F634" t="s">
        <v>57</v>
      </c>
      <c r="G634" t="s">
        <v>10</v>
      </c>
    </row>
    <row r="635" spans="1:7" x14ac:dyDescent="0.25">
      <c r="A635" t="s">
        <v>104</v>
      </c>
      <c r="B635">
        <v>34</v>
      </c>
      <c r="C635">
        <v>-11</v>
      </c>
      <c r="D635">
        <v>5</v>
      </c>
      <c r="E635" t="s">
        <v>23</v>
      </c>
      <c r="F635" t="s">
        <v>81</v>
      </c>
      <c r="G635" t="s">
        <v>10</v>
      </c>
    </row>
    <row r="636" spans="1:7" x14ac:dyDescent="0.25">
      <c r="A636" t="s">
        <v>97</v>
      </c>
      <c r="B636">
        <v>117</v>
      </c>
      <c r="C636">
        <v>17</v>
      </c>
      <c r="D636">
        <v>6</v>
      </c>
      <c r="E636" t="s">
        <v>23</v>
      </c>
      <c r="F636" t="s">
        <v>32</v>
      </c>
      <c r="G636" t="s">
        <v>10</v>
      </c>
    </row>
    <row r="637" spans="1:7" x14ac:dyDescent="0.25">
      <c r="A637" t="s">
        <v>361</v>
      </c>
      <c r="B637">
        <v>38</v>
      </c>
      <c r="C637">
        <v>9</v>
      </c>
      <c r="D637">
        <v>2</v>
      </c>
      <c r="E637" t="s">
        <v>23</v>
      </c>
      <c r="F637" t="s">
        <v>57</v>
      </c>
      <c r="G637" t="s">
        <v>10</v>
      </c>
    </row>
    <row r="638" spans="1:7" x14ac:dyDescent="0.25">
      <c r="A638" t="s">
        <v>25</v>
      </c>
      <c r="B638">
        <v>117</v>
      </c>
      <c r="C638">
        <v>-6</v>
      </c>
      <c r="D638">
        <v>3</v>
      </c>
      <c r="E638" t="s">
        <v>8</v>
      </c>
      <c r="F638" t="s">
        <v>21</v>
      </c>
      <c r="G638" t="s">
        <v>10</v>
      </c>
    </row>
    <row r="639" spans="1:7" x14ac:dyDescent="0.25">
      <c r="A639" t="s">
        <v>217</v>
      </c>
      <c r="B639">
        <v>180</v>
      </c>
      <c r="C639">
        <v>54</v>
      </c>
      <c r="D639">
        <v>4</v>
      </c>
      <c r="E639" t="s">
        <v>23</v>
      </c>
      <c r="F639" t="s">
        <v>81</v>
      </c>
      <c r="G639" t="s">
        <v>19</v>
      </c>
    </row>
    <row r="640" spans="1:7" x14ac:dyDescent="0.25">
      <c r="A640" t="s">
        <v>224</v>
      </c>
      <c r="B640">
        <v>99</v>
      </c>
      <c r="C640">
        <v>-5</v>
      </c>
      <c r="D640">
        <v>1</v>
      </c>
      <c r="E640" t="s">
        <v>23</v>
      </c>
      <c r="F640" t="s">
        <v>26</v>
      </c>
      <c r="G640" t="s">
        <v>28</v>
      </c>
    </row>
    <row r="641" spans="1:7" x14ac:dyDescent="0.25">
      <c r="A641" t="s">
        <v>119</v>
      </c>
      <c r="B641">
        <v>172</v>
      </c>
      <c r="C641">
        <v>-103</v>
      </c>
      <c r="D641">
        <v>3</v>
      </c>
      <c r="E641" t="s">
        <v>12</v>
      </c>
      <c r="F641" t="s">
        <v>13</v>
      </c>
      <c r="G641" t="s">
        <v>14</v>
      </c>
    </row>
    <row r="642" spans="1:7" x14ac:dyDescent="0.25">
      <c r="A642" t="s">
        <v>149</v>
      </c>
      <c r="B642">
        <v>116</v>
      </c>
      <c r="C642">
        <v>16</v>
      </c>
      <c r="D642">
        <v>4</v>
      </c>
      <c r="E642" t="s">
        <v>23</v>
      </c>
      <c r="F642" t="s">
        <v>57</v>
      </c>
      <c r="G642" t="s">
        <v>10</v>
      </c>
    </row>
    <row r="643" spans="1:7" x14ac:dyDescent="0.25">
      <c r="A643" t="s">
        <v>25</v>
      </c>
      <c r="B643">
        <v>116</v>
      </c>
      <c r="C643">
        <v>-4</v>
      </c>
      <c r="D643">
        <v>1</v>
      </c>
      <c r="E643" t="s">
        <v>23</v>
      </c>
      <c r="F643" t="s">
        <v>26</v>
      </c>
      <c r="G643" t="s">
        <v>10</v>
      </c>
    </row>
    <row r="644" spans="1:7" x14ac:dyDescent="0.25">
      <c r="A644" t="s">
        <v>362</v>
      </c>
      <c r="B644">
        <v>171</v>
      </c>
      <c r="C644">
        <v>68</v>
      </c>
      <c r="D644">
        <v>7</v>
      </c>
      <c r="E644" t="s">
        <v>23</v>
      </c>
      <c r="F644" t="s">
        <v>57</v>
      </c>
      <c r="G644" t="s">
        <v>14</v>
      </c>
    </row>
    <row r="645" spans="1:7" x14ac:dyDescent="0.25">
      <c r="A645" t="s">
        <v>128</v>
      </c>
      <c r="B645">
        <v>46</v>
      </c>
      <c r="C645">
        <v>14</v>
      </c>
      <c r="D645">
        <v>5</v>
      </c>
      <c r="E645" t="s">
        <v>23</v>
      </c>
      <c r="F645" t="s">
        <v>43</v>
      </c>
      <c r="G645" t="s">
        <v>10</v>
      </c>
    </row>
    <row r="646" spans="1:7" x14ac:dyDescent="0.25">
      <c r="A646" t="s">
        <v>99</v>
      </c>
      <c r="B646">
        <v>115</v>
      </c>
      <c r="C646">
        <v>-39</v>
      </c>
      <c r="D646">
        <v>3</v>
      </c>
      <c r="E646" t="s">
        <v>23</v>
      </c>
      <c r="F646" t="s">
        <v>24</v>
      </c>
      <c r="G646" t="s">
        <v>10</v>
      </c>
    </row>
    <row r="647" spans="1:7" x14ac:dyDescent="0.25">
      <c r="A647" t="s">
        <v>363</v>
      </c>
      <c r="B647">
        <v>100</v>
      </c>
      <c r="C647">
        <v>7</v>
      </c>
      <c r="D647">
        <v>2</v>
      </c>
      <c r="E647" t="s">
        <v>23</v>
      </c>
      <c r="F647" t="s">
        <v>81</v>
      </c>
      <c r="G647" t="s">
        <v>28</v>
      </c>
    </row>
    <row r="648" spans="1:7" x14ac:dyDescent="0.25">
      <c r="A648" t="s">
        <v>164</v>
      </c>
      <c r="B648">
        <v>44</v>
      </c>
      <c r="C648">
        <v>8</v>
      </c>
      <c r="D648">
        <v>2</v>
      </c>
      <c r="E648" t="s">
        <v>23</v>
      </c>
      <c r="F648" t="s">
        <v>57</v>
      </c>
      <c r="G648" t="s">
        <v>10</v>
      </c>
    </row>
    <row r="649" spans="1:7" x14ac:dyDescent="0.25">
      <c r="A649" t="s">
        <v>238</v>
      </c>
      <c r="B649">
        <v>139</v>
      </c>
      <c r="C649">
        <v>14</v>
      </c>
      <c r="D649">
        <v>3</v>
      </c>
      <c r="E649" t="s">
        <v>23</v>
      </c>
      <c r="F649" t="s">
        <v>32</v>
      </c>
      <c r="G649" t="s">
        <v>10</v>
      </c>
    </row>
    <row r="650" spans="1:7" x14ac:dyDescent="0.25">
      <c r="A650" t="s">
        <v>364</v>
      </c>
      <c r="B650">
        <v>171</v>
      </c>
      <c r="C650">
        <v>-140</v>
      </c>
      <c r="D650">
        <v>2</v>
      </c>
      <c r="E650" t="s">
        <v>12</v>
      </c>
      <c r="F650" t="s">
        <v>16</v>
      </c>
      <c r="G650" t="s">
        <v>14</v>
      </c>
    </row>
    <row r="651" spans="1:7" x14ac:dyDescent="0.25">
      <c r="A651" t="s">
        <v>365</v>
      </c>
      <c r="B651">
        <v>100</v>
      </c>
      <c r="C651">
        <v>12</v>
      </c>
      <c r="D651">
        <v>2</v>
      </c>
      <c r="E651" t="s">
        <v>23</v>
      </c>
      <c r="F651" t="s">
        <v>81</v>
      </c>
      <c r="G651" t="s">
        <v>28</v>
      </c>
    </row>
    <row r="652" spans="1:7" x14ac:dyDescent="0.25">
      <c r="A652" t="s">
        <v>349</v>
      </c>
      <c r="B652">
        <v>115</v>
      </c>
      <c r="C652">
        <v>25</v>
      </c>
      <c r="D652">
        <v>6</v>
      </c>
      <c r="E652" t="s">
        <v>23</v>
      </c>
      <c r="F652" t="s">
        <v>57</v>
      </c>
      <c r="G652" t="s">
        <v>10</v>
      </c>
    </row>
    <row r="653" spans="1:7" x14ac:dyDescent="0.25">
      <c r="A653" t="s">
        <v>25</v>
      </c>
      <c r="B653">
        <v>168</v>
      </c>
      <c r="C653">
        <v>-9</v>
      </c>
      <c r="D653">
        <v>3</v>
      </c>
      <c r="E653" t="s">
        <v>23</v>
      </c>
      <c r="F653" t="s">
        <v>26</v>
      </c>
      <c r="G653" t="s">
        <v>10</v>
      </c>
    </row>
    <row r="654" spans="1:7" x14ac:dyDescent="0.25">
      <c r="A654" t="s">
        <v>366</v>
      </c>
      <c r="B654">
        <v>115</v>
      </c>
      <c r="C654">
        <v>47</v>
      </c>
      <c r="D654">
        <v>2</v>
      </c>
      <c r="E654" t="s">
        <v>8</v>
      </c>
      <c r="F654" t="s">
        <v>73</v>
      </c>
      <c r="G654" t="s">
        <v>10</v>
      </c>
    </row>
    <row r="655" spans="1:7" x14ac:dyDescent="0.25">
      <c r="A655" t="s">
        <v>20</v>
      </c>
      <c r="B655">
        <v>168</v>
      </c>
      <c r="C655">
        <v>-111</v>
      </c>
      <c r="D655">
        <v>2</v>
      </c>
      <c r="E655" t="s">
        <v>8</v>
      </c>
      <c r="F655" t="s">
        <v>21</v>
      </c>
      <c r="G655" t="s">
        <v>14</v>
      </c>
    </row>
    <row r="656" spans="1:7" x14ac:dyDescent="0.25">
      <c r="A656" t="s">
        <v>367</v>
      </c>
      <c r="B656">
        <v>31</v>
      </c>
      <c r="C656">
        <v>-7</v>
      </c>
      <c r="D656">
        <v>5</v>
      </c>
      <c r="E656" t="s">
        <v>23</v>
      </c>
      <c r="F656" t="s">
        <v>43</v>
      </c>
      <c r="G656" t="s">
        <v>28</v>
      </c>
    </row>
    <row r="657" spans="1:7" x14ac:dyDescent="0.25">
      <c r="A657" t="s">
        <v>60</v>
      </c>
      <c r="B657">
        <v>114</v>
      </c>
      <c r="C657">
        <v>41</v>
      </c>
      <c r="D657">
        <v>6</v>
      </c>
      <c r="E657" t="s">
        <v>12</v>
      </c>
      <c r="F657" t="s">
        <v>131</v>
      </c>
      <c r="G657" t="s">
        <v>10</v>
      </c>
    </row>
    <row r="658" spans="1:7" x14ac:dyDescent="0.25">
      <c r="A658" t="s">
        <v>136</v>
      </c>
      <c r="B658">
        <v>111</v>
      </c>
      <c r="C658">
        <v>9</v>
      </c>
      <c r="D658">
        <v>4</v>
      </c>
      <c r="E658" t="s">
        <v>23</v>
      </c>
      <c r="F658" t="s">
        <v>57</v>
      </c>
      <c r="G658" t="s">
        <v>10</v>
      </c>
    </row>
    <row r="659" spans="1:7" x14ac:dyDescent="0.25">
      <c r="A659" t="s">
        <v>368</v>
      </c>
      <c r="B659">
        <v>11</v>
      </c>
      <c r="C659">
        <v>-8</v>
      </c>
      <c r="D659">
        <v>2</v>
      </c>
      <c r="E659" t="s">
        <v>23</v>
      </c>
      <c r="F659" t="s">
        <v>43</v>
      </c>
      <c r="G659" t="s">
        <v>28</v>
      </c>
    </row>
    <row r="660" spans="1:7" x14ac:dyDescent="0.25">
      <c r="A660" t="s">
        <v>249</v>
      </c>
      <c r="B660">
        <v>110</v>
      </c>
      <c r="C660">
        <v>35</v>
      </c>
      <c r="D660">
        <v>1</v>
      </c>
      <c r="E660" t="s">
        <v>12</v>
      </c>
      <c r="F660" t="s">
        <v>131</v>
      </c>
      <c r="G660" t="s">
        <v>10</v>
      </c>
    </row>
    <row r="661" spans="1:7" x14ac:dyDescent="0.25">
      <c r="A661" t="s">
        <v>128</v>
      </c>
      <c r="B661">
        <v>59</v>
      </c>
      <c r="C661">
        <v>15</v>
      </c>
      <c r="D661">
        <v>2</v>
      </c>
      <c r="E661" t="s">
        <v>23</v>
      </c>
      <c r="F661" t="s">
        <v>81</v>
      </c>
      <c r="G661" t="s">
        <v>28</v>
      </c>
    </row>
    <row r="662" spans="1:7" x14ac:dyDescent="0.25">
      <c r="A662" t="s">
        <v>230</v>
      </c>
      <c r="B662">
        <v>166</v>
      </c>
      <c r="C662">
        <v>27</v>
      </c>
      <c r="D662">
        <v>2</v>
      </c>
      <c r="E662" t="s">
        <v>8</v>
      </c>
      <c r="F662" t="s">
        <v>73</v>
      </c>
      <c r="G662" t="s">
        <v>14</v>
      </c>
    </row>
    <row r="663" spans="1:7" x14ac:dyDescent="0.25">
      <c r="A663" t="s">
        <v>52</v>
      </c>
      <c r="B663">
        <v>109</v>
      </c>
      <c r="C663">
        <v>-6</v>
      </c>
      <c r="D663">
        <v>6</v>
      </c>
      <c r="E663" t="s">
        <v>23</v>
      </c>
      <c r="F663" t="s">
        <v>26</v>
      </c>
      <c r="G663" t="s">
        <v>10</v>
      </c>
    </row>
    <row r="664" spans="1:7" x14ac:dyDescent="0.25">
      <c r="A664" t="s">
        <v>308</v>
      </c>
      <c r="B664">
        <v>34</v>
      </c>
      <c r="C664">
        <v>-6</v>
      </c>
      <c r="D664">
        <v>4</v>
      </c>
      <c r="E664" t="s">
        <v>23</v>
      </c>
      <c r="F664" t="s">
        <v>63</v>
      </c>
      <c r="G664" t="s">
        <v>10</v>
      </c>
    </row>
    <row r="665" spans="1:7" x14ac:dyDescent="0.25">
      <c r="A665" t="s">
        <v>292</v>
      </c>
      <c r="B665">
        <v>109</v>
      </c>
      <c r="C665">
        <v>40</v>
      </c>
      <c r="D665">
        <v>1</v>
      </c>
      <c r="E665" t="s">
        <v>12</v>
      </c>
      <c r="F665" t="s">
        <v>131</v>
      </c>
      <c r="G665" t="s">
        <v>10</v>
      </c>
    </row>
    <row r="666" spans="1:7" x14ac:dyDescent="0.25">
      <c r="A666" t="s">
        <v>71</v>
      </c>
      <c r="B666">
        <v>108</v>
      </c>
      <c r="C666">
        <v>22</v>
      </c>
      <c r="D666">
        <v>3</v>
      </c>
      <c r="E666" t="s">
        <v>8</v>
      </c>
      <c r="F666" t="s">
        <v>73</v>
      </c>
      <c r="G666" t="s">
        <v>10</v>
      </c>
    </row>
    <row r="667" spans="1:7" x14ac:dyDescent="0.25">
      <c r="A667" t="s">
        <v>310</v>
      </c>
      <c r="B667">
        <v>103</v>
      </c>
      <c r="C667">
        <v>50</v>
      </c>
      <c r="D667">
        <v>2</v>
      </c>
      <c r="E667" t="s">
        <v>12</v>
      </c>
      <c r="F667" t="s">
        <v>131</v>
      </c>
      <c r="G667" t="s">
        <v>28</v>
      </c>
    </row>
    <row r="668" spans="1:7" x14ac:dyDescent="0.25">
      <c r="A668" t="s">
        <v>210</v>
      </c>
      <c r="B668">
        <v>10</v>
      </c>
      <c r="C668">
        <v>-8</v>
      </c>
      <c r="D668">
        <v>2</v>
      </c>
      <c r="E668" t="s">
        <v>23</v>
      </c>
      <c r="F668" t="s">
        <v>43</v>
      </c>
      <c r="G668" t="s">
        <v>10</v>
      </c>
    </row>
    <row r="669" spans="1:7" x14ac:dyDescent="0.25">
      <c r="A669" t="s">
        <v>171</v>
      </c>
      <c r="B669">
        <v>90</v>
      </c>
      <c r="C669">
        <v>17</v>
      </c>
      <c r="D669">
        <v>3</v>
      </c>
      <c r="E669" t="s">
        <v>23</v>
      </c>
      <c r="F669" t="s">
        <v>30</v>
      </c>
      <c r="G669" t="s">
        <v>10</v>
      </c>
    </row>
    <row r="670" spans="1:7" x14ac:dyDescent="0.25">
      <c r="A670" t="s">
        <v>205</v>
      </c>
      <c r="B670">
        <v>105</v>
      </c>
      <c r="C670">
        <v>46</v>
      </c>
      <c r="D670">
        <v>2</v>
      </c>
      <c r="E670" t="s">
        <v>23</v>
      </c>
      <c r="F670" t="s">
        <v>57</v>
      </c>
      <c r="G670" t="s">
        <v>28</v>
      </c>
    </row>
    <row r="671" spans="1:7" x14ac:dyDescent="0.25">
      <c r="A671" t="s">
        <v>336</v>
      </c>
      <c r="B671">
        <v>105</v>
      </c>
      <c r="C671">
        <v>20</v>
      </c>
      <c r="D671">
        <v>2</v>
      </c>
      <c r="E671" t="s">
        <v>23</v>
      </c>
      <c r="F671" t="s">
        <v>57</v>
      </c>
      <c r="G671" t="s">
        <v>82</v>
      </c>
    </row>
    <row r="672" spans="1:7" x14ac:dyDescent="0.25">
      <c r="A672" t="s">
        <v>369</v>
      </c>
      <c r="B672">
        <v>22</v>
      </c>
      <c r="C672">
        <v>-6</v>
      </c>
      <c r="D672">
        <v>1</v>
      </c>
      <c r="E672" t="s">
        <v>12</v>
      </c>
      <c r="F672" t="s">
        <v>131</v>
      </c>
      <c r="G672" t="s">
        <v>10</v>
      </c>
    </row>
    <row r="673" spans="1:7" x14ac:dyDescent="0.25">
      <c r="A673" t="s">
        <v>113</v>
      </c>
      <c r="B673">
        <v>105</v>
      </c>
      <c r="C673">
        <v>-33</v>
      </c>
      <c r="D673">
        <v>5</v>
      </c>
      <c r="E673" t="s">
        <v>23</v>
      </c>
      <c r="F673" t="s">
        <v>32</v>
      </c>
      <c r="G673" t="s">
        <v>10</v>
      </c>
    </row>
    <row r="674" spans="1:7" x14ac:dyDescent="0.25">
      <c r="A674" t="s">
        <v>370</v>
      </c>
      <c r="B674">
        <v>105</v>
      </c>
      <c r="C674">
        <v>25</v>
      </c>
      <c r="D674">
        <v>2</v>
      </c>
      <c r="E674" t="s">
        <v>23</v>
      </c>
      <c r="F674" t="s">
        <v>30</v>
      </c>
      <c r="G674" t="s">
        <v>14</v>
      </c>
    </row>
    <row r="675" spans="1:7" x14ac:dyDescent="0.25">
      <c r="A675" t="s">
        <v>371</v>
      </c>
      <c r="B675">
        <v>25</v>
      </c>
      <c r="C675">
        <v>-7</v>
      </c>
      <c r="D675">
        <v>5</v>
      </c>
      <c r="E675" t="s">
        <v>23</v>
      </c>
      <c r="F675" t="s">
        <v>26</v>
      </c>
      <c r="G675" t="s">
        <v>28</v>
      </c>
    </row>
    <row r="676" spans="1:7" x14ac:dyDescent="0.25">
      <c r="A676" t="s">
        <v>310</v>
      </c>
      <c r="B676">
        <v>104</v>
      </c>
      <c r="C676">
        <v>2</v>
      </c>
      <c r="D676">
        <v>2</v>
      </c>
      <c r="E676" t="s">
        <v>12</v>
      </c>
      <c r="F676" t="s">
        <v>131</v>
      </c>
      <c r="G676" t="s">
        <v>10</v>
      </c>
    </row>
    <row r="677" spans="1:7" x14ac:dyDescent="0.25">
      <c r="A677" t="s">
        <v>372</v>
      </c>
      <c r="B677">
        <v>16</v>
      </c>
      <c r="C677">
        <v>5</v>
      </c>
      <c r="D677">
        <v>1</v>
      </c>
      <c r="E677" t="s">
        <v>23</v>
      </c>
      <c r="F677" t="s">
        <v>57</v>
      </c>
      <c r="G677" t="s">
        <v>28</v>
      </c>
    </row>
    <row r="678" spans="1:7" x14ac:dyDescent="0.25">
      <c r="A678" t="s">
        <v>215</v>
      </c>
      <c r="B678">
        <v>64</v>
      </c>
      <c r="C678">
        <v>-7</v>
      </c>
      <c r="D678">
        <v>3</v>
      </c>
      <c r="E678" t="s">
        <v>23</v>
      </c>
      <c r="F678" t="s">
        <v>26</v>
      </c>
      <c r="G678" t="s">
        <v>10</v>
      </c>
    </row>
    <row r="679" spans="1:7" x14ac:dyDescent="0.25">
      <c r="A679" t="s">
        <v>373</v>
      </c>
      <c r="B679">
        <v>38</v>
      </c>
      <c r="C679">
        <v>-6</v>
      </c>
      <c r="D679">
        <v>2</v>
      </c>
      <c r="E679" t="s">
        <v>12</v>
      </c>
      <c r="F679" t="s">
        <v>131</v>
      </c>
      <c r="G679" t="s">
        <v>28</v>
      </c>
    </row>
    <row r="680" spans="1:7" x14ac:dyDescent="0.25">
      <c r="A680" t="s">
        <v>374</v>
      </c>
      <c r="B680">
        <v>83</v>
      </c>
      <c r="C680">
        <v>12</v>
      </c>
      <c r="D680">
        <v>2</v>
      </c>
      <c r="E680" t="s">
        <v>12</v>
      </c>
      <c r="F680" t="s">
        <v>13</v>
      </c>
      <c r="G680" t="s">
        <v>10</v>
      </c>
    </row>
    <row r="681" spans="1:7" x14ac:dyDescent="0.25">
      <c r="A681" t="s">
        <v>191</v>
      </c>
      <c r="B681">
        <v>103</v>
      </c>
      <c r="C681">
        <v>36</v>
      </c>
      <c r="D681">
        <v>2</v>
      </c>
      <c r="E681" t="s">
        <v>23</v>
      </c>
      <c r="F681" t="s">
        <v>30</v>
      </c>
      <c r="G681" t="s">
        <v>10</v>
      </c>
    </row>
    <row r="682" spans="1:7" x14ac:dyDescent="0.25">
      <c r="A682" t="s">
        <v>163</v>
      </c>
      <c r="B682">
        <v>37</v>
      </c>
      <c r="C682">
        <v>-6</v>
      </c>
      <c r="D682">
        <v>1</v>
      </c>
      <c r="E682" t="s">
        <v>23</v>
      </c>
      <c r="F682" t="s">
        <v>26</v>
      </c>
      <c r="G682" t="s">
        <v>28</v>
      </c>
    </row>
    <row r="683" spans="1:7" x14ac:dyDescent="0.25">
      <c r="A683" t="s">
        <v>375</v>
      </c>
      <c r="B683">
        <v>105</v>
      </c>
      <c r="C683">
        <v>33</v>
      </c>
      <c r="D683">
        <v>6</v>
      </c>
      <c r="E683" t="s">
        <v>23</v>
      </c>
      <c r="F683" t="s">
        <v>26</v>
      </c>
      <c r="G683" t="s">
        <v>14</v>
      </c>
    </row>
    <row r="684" spans="1:7" x14ac:dyDescent="0.25">
      <c r="A684" t="s">
        <v>141</v>
      </c>
      <c r="B684">
        <v>78</v>
      </c>
      <c r="C684">
        <v>-6</v>
      </c>
      <c r="D684">
        <v>2</v>
      </c>
      <c r="E684" t="s">
        <v>12</v>
      </c>
      <c r="F684" t="s">
        <v>131</v>
      </c>
      <c r="G684" t="s">
        <v>28</v>
      </c>
    </row>
    <row r="685" spans="1:7" x14ac:dyDescent="0.25">
      <c r="A685" t="s">
        <v>37</v>
      </c>
      <c r="B685">
        <v>102</v>
      </c>
      <c r="C685">
        <v>-90</v>
      </c>
      <c r="D685">
        <v>1</v>
      </c>
      <c r="E685" t="s">
        <v>23</v>
      </c>
      <c r="F685" t="s">
        <v>26</v>
      </c>
      <c r="G685" t="s">
        <v>10</v>
      </c>
    </row>
    <row r="686" spans="1:7" x14ac:dyDescent="0.25">
      <c r="A686" t="s">
        <v>376</v>
      </c>
      <c r="B686">
        <v>102</v>
      </c>
      <c r="C686">
        <v>11</v>
      </c>
      <c r="D686">
        <v>6</v>
      </c>
      <c r="E686" t="s">
        <v>23</v>
      </c>
      <c r="F686" t="s">
        <v>81</v>
      </c>
      <c r="G686" t="s">
        <v>10</v>
      </c>
    </row>
    <row r="687" spans="1:7" x14ac:dyDescent="0.25">
      <c r="A687" t="s">
        <v>262</v>
      </c>
      <c r="B687">
        <v>10</v>
      </c>
      <c r="C687">
        <v>-8</v>
      </c>
      <c r="D687">
        <v>1</v>
      </c>
      <c r="E687" t="s">
        <v>23</v>
      </c>
      <c r="F687" t="s">
        <v>32</v>
      </c>
      <c r="G687" t="s">
        <v>28</v>
      </c>
    </row>
    <row r="688" spans="1:7" x14ac:dyDescent="0.25">
      <c r="A688" t="s">
        <v>123</v>
      </c>
      <c r="B688">
        <v>101</v>
      </c>
      <c r="C688">
        <v>18</v>
      </c>
      <c r="D688">
        <v>9</v>
      </c>
      <c r="E688" t="s">
        <v>23</v>
      </c>
      <c r="F688" t="s">
        <v>43</v>
      </c>
      <c r="G688" t="s">
        <v>10</v>
      </c>
    </row>
    <row r="689" spans="1:7" x14ac:dyDescent="0.25">
      <c r="A689" t="s">
        <v>377</v>
      </c>
      <c r="B689">
        <v>42</v>
      </c>
      <c r="C689">
        <v>-6</v>
      </c>
      <c r="D689">
        <v>4</v>
      </c>
      <c r="E689" t="s">
        <v>23</v>
      </c>
      <c r="F689" t="s">
        <v>26</v>
      </c>
      <c r="G689" t="s">
        <v>28</v>
      </c>
    </row>
    <row r="690" spans="1:7" x14ac:dyDescent="0.25">
      <c r="A690" t="s">
        <v>271</v>
      </c>
      <c r="B690">
        <v>56</v>
      </c>
      <c r="C690">
        <v>18</v>
      </c>
      <c r="D690">
        <v>2</v>
      </c>
      <c r="E690" t="s">
        <v>23</v>
      </c>
      <c r="F690" t="s">
        <v>30</v>
      </c>
      <c r="G690" t="s">
        <v>28</v>
      </c>
    </row>
    <row r="691" spans="1:7" x14ac:dyDescent="0.25">
      <c r="A691" t="s">
        <v>371</v>
      </c>
      <c r="B691">
        <v>95</v>
      </c>
      <c r="C691">
        <v>5</v>
      </c>
      <c r="D691">
        <v>2</v>
      </c>
      <c r="E691" t="s">
        <v>23</v>
      </c>
      <c r="F691" t="s">
        <v>57</v>
      </c>
      <c r="G691" t="s">
        <v>10</v>
      </c>
    </row>
    <row r="692" spans="1:7" x14ac:dyDescent="0.25">
      <c r="A692" t="s">
        <v>378</v>
      </c>
      <c r="B692">
        <v>159</v>
      </c>
      <c r="C692">
        <v>2</v>
      </c>
      <c r="D692">
        <v>3</v>
      </c>
      <c r="E692" t="s">
        <v>12</v>
      </c>
      <c r="F692" t="s">
        <v>131</v>
      </c>
      <c r="G692" t="s">
        <v>14</v>
      </c>
    </row>
    <row r="693" spans="1:7" x14ac:dyDescent="0.25">
      <c r="A693" t="s">
        <v>336</v>
      </c>
      <c r="B693">
        <v>158</v>
      </c>
      <c r="C693">
        <v>69</v>
      </c>
      <c r="D693">
        <v>3</v>
      </c>
      <c r="E693" t="s">
        <v>23</v>
      </c>
      <c r="F693" t="s">
        <v>57</v>
      </c>
      <c r="G693" t="s">
        <v>14</v>
      </c>
    </row>
    <row r="694" spans="1:7" x14ac:dyDescent="0.25">
      <c r="A694" t="s">
        <v>262</v>
      </c>
      <c r="B694">
        <v>106</v>
      </c>
      <c r="C694">
        <v>0</v>
      </c>
      <c r="D694">
        <v>2</v>
      </c>
      <c r="E694" t="s">
        <v>8</v>
      </c>
      <c r="F694" t="s">
        <v>21</v>
      </c>
      <c r="G694" t="s">
        <v>14</v>
      </c>
    </row>
    <row r="695" spans="1:7" x14ac:dyDescent="0.25">
      <c r="A695" t="s">
        <v>122</v>
      </c>
      <c r="B695">
        <v>101</v>
      </c>
      <c r="C695">
        <v>16</v>
      </c>
      <c r="D695">
        <v>4</v>
      </c>
      <c r="E695" t="s">
        <v>23</v>
      </c>
      <c r="F695" t="s">
        <v>81</v>
      </c>
      <c r="G695" t="s">
        <v>10</v>
      </c>
    </row>
    <row r="696" spans="1:7" x14ac:dyDescent="0.25">
      <c r="A696" t="s">
        <v>184</v>
      </c>
      <c r="B696">
        <v>107</v>
      </c>
      <c r="C696">
        <v>37</v>
      </c>
      <c r="D696">
        <v>3</v>
      </c>
      <c r="E696" t="s">
        <v>23</v>
      </c>
      <c r="F696" t="s">
        <v>142</v>
      </c>
      <c r="G696" t="s">
        <v>10</v>
      </c>
    </row>
    <row r="697" spans="1:7" x14ac:dyDescent="0.25">
      <c r="A697" t="s">
        <v>379</v>
      </c>
      <c r="B697">
        <v>156</v>
      </c>
      <c r="C697">
        <v>36</v>
      </c>
      <c r="D697">
        <v>5</v>
      </c>
      <c r="E697" t="s">
        <v>23</v>
      </c>
      <c r="F697" t="s">
        <v>81</v>
      </c>
      <c r="G697" t="s">
        <v>14</v>
      </c>
    </row>
    <row r="698" spans="1:7" x14ac:dyDescent="0.25">
      <c r="A698" t="s">
        <v>380</v>
      </c>
      <c r="B698">
        <v>108</v>
      </c>
      <c r="C698">
        <v>-19</v>
      </c>
      <c r="D698">
        <v>3</v>
      </c>
      <c r="E698" t="s">
        <v>8</v>
      </c>
      <c r="F698" t="s">
        <v>9</v>
      </c>
      <c r="G698" t="s">
        <v>28</v>
      </c>
    </row>
    <row r="699" spans="1:7" x14ac:dyDescent="0.25">
      <c r="A699" t="s">
        <v>265</v>
      </c>
      <c r="B699">
        <v>107</v>
      </c>
      <c r="C699">
        <v>-54</v>
      </c>
      <c r="D699">
        <v>4</v>
      </c>
      <c r="E699" t="s">
        <v>23</v>
      </c>
      <c r="F699" t="s">
        <v>57</v>
      </c>
      <c r="G699" t="s">
        <v>14</v>
      </c>
    </row>
    <row r="700" spans="1:7" x14ac:dyDescent="0.25">
      <c r="A700" t="s">
        <v>381</v>
      </c>
      <c r="B700">
        <v>100</v>
      </c>
      <c r="C700">
        <v>-58</v>
      </c>
      <c r="D700">
        <v>4</v>
      </c>
      <c r="E700" t="s">
        <v>23</v>
      </c>
      <c r="F700" t="s">
        <v>30</v>
      </c>
      <c r="G700" t="s">
        <v>10</v>
      </c>
    </row>
    <row r="701" spans="1:7" x14ac:dyDescent="0.25">
      <c r="A701" t="s">
        <v>281</v>
      </c>
      <c r="B701">
        <v>108</v>
      </c>
      <c r="C701">
        <v>26</v>
      </c>
      <c r="D701">
        <v>4</v>
      </c>
      <c r="E701" t="s">
        <v>23</v>
      </c>
      <c r="F701" t="s">
        <v>142</v>
      </c>
      <c r="G701" t="s">
        <v>28</v>
      </c>
    </row>
    <row r="702" spans="1:7" x14ac:dyDescent="0.25">
      <c r="A702" t="s">
        <v>382</v>
      </c>
      <c r="B702">
        <v>100</v>
      </c>
      <c r="C702">
        <v>6</v>
      </c>
      <c r="D702">
        <v>4</v>
      </c>
      <c r="E702" t="s">
        <v>23</v>
      </c>
      <c r="F702" t="s">
        <v>57</v>
      </c>
      <c r="G702" t="s">
        <v>10</v>
      </c>
    </row>
    <row r="703" spans="1:7" x14ac:dyDescent="0.25">
      <c r="A703" t="s">
        <v>218</v>
      </c>
      <c r="B703">
        <v>100</v>
      </c>
      <c r="C703">
        <v>-23</v>
      </c>
      <c r="D703">
        <v>1</v>
      </c>
      <c r="E703" t="s">
        <v>8</v>
      </c>
      <c r="F703" t="s">
        <v>21</v>
      </c>
      <c r="G703" t="s">
        <v>10</v>
      </c>
    </row>
    <row r="704" spans="1:7" x14ac:dyDescent="0.25">
      <c r="A704" t="s">
        <v>126</v>
      </c>
      <c r="B704">
        <v>43</v>
      </c>
      <c r="C704">
        <v>17</v>
      </c>
      <c r="D704">
        <v>2</v>
      </c>
      <c r="E704" t="s">
        <v>23</v>
      </c>
      <c r="F704" t="s">
        <v>81</v>
      </c>
      <c r="G704" t="s">
        <v>28</v>
      </c>
    </row>
    <row r="705" spans="1:7" x14ac:dyDescent="0.25">
      <c r="A705" t="s">
        <v>199</v>
      </c>
      <c r="B705">
        <v>155</v>
      </c>
      <c r="C705">
        <v>26</v>
      </c>
      <c r="D705">
        <v>3</v>
      </c>
      <c r="E705" t="s">
        <v>23</v>
      </c>
      <c r="F705" t="s">
        <v>57</v>
      </c>
      <c r="G705" t="s">
        <v>14</v>
      </c>
    </row>
    <row r="706" spans="1:7" x14ac:dyDescent="0.25">
      <c r="A706" t="s">
        <v>383</v>
      </c>
      <c r="B706">
        <v>151</v>
      </c>
      <c r="C706">
        <v>9</v>
      </c>
      <c r="D706">
        <v>3</v>
      </c>
      <c r="E706" t="s">
        <v>23</v>
      </c>
      <c r="F706" t="s">
        <v>30</v>
      </c>
      <c r="G706" t="s">
        <v>14</v>
      </c>
    </row>
    <row r="707" spans="1:7" x14ac:dyDescent="0.25">
      <c r="A707" t="s">
        <v>165</v>
      </c>
      <c r="B707">
        <v>151</v>
      </c>
      <c r="C707">
        <v>29</v>
      </c>
      <c r="D707">
        <v>5</v>
      </c>
      <c r="E707" t="s">
        <v>23</v>
      </c>
      <c r="F707" t="s">
        <v>30</v>
      </c>
      <c r="G707" t="s">
        <v>14</v>
      </c>
    </row>
    <row r="708" spans="1:7" x14ac:dyDescent="0.25">
      <c r="A708" t="s">
        <v>38</v>
      </c>
      <c r="B708">
        <v>110</v>
      </c>
      <c r="C708">
        <v>-68</v>
      </c>
      <c r="D708">
        <v>4</v>
      </c>
      <c r="E708" t="s">
        <v>23</v>
      </c>
      <c r="F708" t="s">
        <v>26</v>
      </c>
      <c r="G708" t="s">
        <v>14</v>
      </c>
    </row>
    <row r="709" spans="1:7" x14ac:dyDescent="0.25">
      <c r="A709" t="s">
        <v>104</v>
      </c>
      <c r="B709">
        <v>98</v>
      </c>
      <c r="C709">
        <v>9</v>
      </c>
      <c r="D709">
        <v>2</v>
      </c>
      <c r="E709" t="s">
        <v>12</v>
      </c>
      <c r="F709" t="s">
        <v>131</v>
      </c>
      <c r="G709" t="s">
        <v>10</v>
      </c>
    </row>
    <row r="710" spans="1:7" x14ac:dyDescent="0.25">
      <c r="A710" t="s">
        <v>38</v>
      </c>
      <c r="B710">
        <v>97</v>
      </c>
      <c r="C710">
        <v>-62</v>
      </c>
      <c r="D710">
        <v>2</v>
      </c>
      <c r="E710" t="s">
        <v>23</v>
      </c>
      <c r="F710" t="s">
        <v>24</v>
      </c>
      <c r="G710" t="s">
        <v>10</v>
      </c>
    </row>
    <row r="711" spans="1:7" x14ac:dyDescent="0.25">
      <c r="A711" t="s">
        <v>124</v>
      </c>
      <c r="B711">
        <v>111</v>
      </c>
      <c r="C711">
        <v>35</v>
      </c>
      <c r="D711">
        <v>5</v>
      </c>
      <c r="E711" t="s">
        <v>23</v>
      </c>
      <c r="F711" t="s">
        <v>142</v>
      </c>
      <c r="G711" t="s">
        <v>10</v>
      </c>
    </row>
    <row r="712" spans="1:7" x14ac:dyDescent="0.25">
      <c r="A712" t="s">
        <v>297</v>
      </c>
      <c r="B712">
        <v>45</v>
      </c>
      <c r="C712">
        <v>17</v>
      </c>
      <c r="D712">
        <v>1</v>
      </c>
      <c r="E712" t="s">
        <v>8</v>
      </c>
      <c r="F712" t="s">
        <v>73</v>
      </c>
      <c r="G712" t="s">
        <v>10</v>
      </c>
    </row>
    <row r="713" spans="1:7" x14ac:dyDescent="0.25">
      <c r="A713" t="s">
        <v>384</v>
      </c>
      <c r="B713">
        <v>112</v>
      </c>
      <c r="C713">
        <v>15</v>
      </c>
      <c r="D713">
        <v>2</v>
      </c>
      <c r="E713" t="s">
        <v>12</v>
      </c>
      <c r="F713" t="s">
        <v>13</v>
      </c>
      <c r="G713" t="s">
        <v>10</v>
      </c>
    </row>
    <row r="714" spans="1:7" x14ac:dyDescent="0.25">
      <c r="A714" t="s">
        <v>15</v>
      </c>
      <c r="B714">
        <v>110</v>
      </c>
      <c r="C714">
        <v>20</v>
      </c>
      <c r="D714">
        <v>5</v>
      </c>
      <c r="E714" t="s">
        <v>23</v>
      </c>
      <c r="F714" t="s">
        <v>57</v>
      </c>
      <c r="G714" t="s">
        <v>82</v>
      </c>
    </row>
    <row r="715" spans="1:7" x14ac:dyDescent="0.25">
      <c r="A715" t="s">
        <v>91</v>
      </c>
      <c r="B715">
        <v>98</v>
      </c>
      <c r="C715">
        <v>-5</v>
      </c>
      <c r="D715">
        <v>2</v>
      </c>
      <c r="E715" t="s">
        <v>23</v>
      </c>
      <c r="F715" t="s">
        <v>26</v>
      </c>
      <c r="G715" t="s">
        <v>28</v>
      </c>
    </row>
    <row r="716" spans="1:7" x14ac:dyDescent="0.25">
      <c r="A716" t="s">
        <v>385</v>
      </c>
      <c r="B716">
        <v>110</v>
      </c>
      <c r="C716">
        <v>12</v>
      </c>
      <c r="D716">
        <v>7</v>
      </c>
      <c r="E716" t="s">
        <v>23</v>
      </c>
      <c r="F716" t="s">
        <v>57</v>
      </c>
      <c r="G716" t="s">
        <v>82</v>
      </c>
    </row>
    <row r="717" spans="1:7" x14ac:dyDescent="0.25">
      <c r="A717" t="s">
        <v>41</v>
      </c>
      <c r="B717">
        <v>95</v>
      </c>
      <c r="C717">
        <v>11</v>
      </c>
      <c r="D717">
        <v>4</v>
      </c>
      <c r="E717" t="s">
        <v>12</v>
      </c>
      <c r="F717" t="s">
        <v>131</v>
      </c>
      <c r="G717" t="s">
        <v>10</v>
      </c>
    </row>
    <row r="718" spans="1:7" x14ac:dyDescent="0.25">
      <c r="A718" t="s">
        <v>216</v>
      </c>
      <c r="B718">
        <v>1228</v>
      </c>
      <c r="C718">
        <v>14</v>
      </c>
      <c r="D718">
        <v>3</v>
      </c>
      <c r="E718" t="s">
        <v>12</v>
      </c>
      <c r="F718" t="s">
        <v>13</v>
      </c>
      <c r="G718" t="s">
        <v>28</v>
      </c>
    </row>
    <row r="719" spans="1:7" x14ac:dyDescent="0.25">
      <c r="A719" t="s">
        <v>285</v>
      </c>
      <c r="B719">
        <v>29</v>
      </c>
      <c r="C719">
        <v>0</v>
      </c>
      <c r="D719">
        <v>3</v>
      </c>
      <c r="E719" t="s">
        <v>12</v>
      </c>
      <c r="F719" t="s">
        <v>131</v>
      </c>
      <c r="G719" t="s">
        <v>10</v>
      </c>
    </row>
    <row r="720" spans="1:7" x14ac:dyDescent="0.25">
      <c r="A720" t="s">
        <v>11</v>
      </c>
      <c r="B720">
        <v>94</v>
      </c>
      <c r="C720">
        <v>27</v>
      </c>
      <c r="D720">
        <v>2</v>
      </c>
      <c r="E720" t="s">
        <v>23</v>
      </c>
      <c r="F720" t="s">
        <v>81</v>
      </c>
      <c r="G720" t="s">
        <v>10</v>
      </c>
    </row>
    <row r="721" spans="1:7" x14ac:dyDescent="0.25">
      <c r="A721" t="s">
        <v>117</v>
      </c>
      <c r="B721">
        <v>115</v>
      </c>
      <c r="C721">
        <v>25</v>
      </c>
      <c r="D721">
        <v>1</v>
      </c>
      <c r="E721" t="s">
        <v>8</v>
      </c>
      <c r="F721" t="s">
        <v>73</v>
      </c>
      <c r="G721" t="s">
        <v>10</v>
      </c>
    </row>
    <row r="722" spans="1:7" x14ac:dyDescent="0.25">
      <c r="A722" t="s">
        <v>202</v>
      </c>
      <c r="B722">
        <v>149</v>
      </c>
      <c r="C722">
        <v>15</v>
      </c>
      <c r="D722">
        <v>3</v>
      </c>
      <c r="E722" t="s">
        <v>23</v>
      </c>
      <c r="F722" t="s">
        <v>26</v>
      </c>
      <c r="G722" t="s">
        <v>14</v>
      </c>
    </row>
    <row r="723" spans="1:7" x14ac:dyDescent="0.25">
      <c r="A723" t="s">
        <v>122</v>
      </c>
      <c r="B723">
        <v>148</v>
      </c>
      <c r="C723">
        <v>23</v>
      </c>
      <c r="D723">
        <v>4</v>
      </c>
      <c r="E723" t="s">
        <v>23</v>
      </c>
      <c r="F723" t="s">
        <v>32</v>
      </c>
      <c r="G723" t="s">
        <v>14</v>
      </c>
    </row>
    <row r="724" spans="1:7" x14ac:dyDescent="0.25">
      <c r="A724" t="s">
        <v>50</v>
      </c>
      <c r="B724">
        <v>93</v>
      </c>
      <c r="C724">
        <v>15</v>
      </c>
      <c r="D724">
        <v>2</v>
      </c>
      <c r="E724" t="s">
        <v>8</v>
      </c>
      <c r="F724" t="s">
        <v>73</v>
      </c>
      <c r="G724" t="s">
        <v>10</v>
      </c>
    </row>
    <row r="725" spans="1:7" x14ac:dyDescent="0.25">
      <c r="A725" t="s">
        <v>361</v>
      </c>
      <c r="B725">
        <v>113</v>
      </c>
      <c r="C725">
        <v>24</v>
      </c>
      <c r="D725">
        <v>4</v>
      </c>
      <c r="E725" t="s">
        <v>23</v>
      </c>
      <c r="F725" t="s">
        <v>30</v>
      </c>
      <c r="G725" t="s">
        <v>82</v>
      </c>
    </row>
    <row r="726" spans="1:7" x14ac:dyDescent="0.25">
      <c r="A726" t="s">
        <v>264</v>
      </c>
      <c r="B726">
        <v>48</v>
      </c>
      <c r="C726">
        <v>2</v>
      </c>
      <c r="D726">
        <v>3</v>
      </c>
      <c r="E726" t="s">
        <v>23</v>
      </c>
      <c r="F726" t="s">
        <v>57</v>
      </c>
      <c r="G726" t="s">
        <v>10</v>
      </c>
    </row>
    <row r="727" spans="1:7" x14ac:dyDescent="0.25">
      <c r="A727" t="s">
        <v>328</v>
      </c>
      <c r="B727">
        <v>148</v>
      </c>
      <c r="C727">
        <v>9</v>
      </c>
      <c r="D727">
        <v>1</v>
      </c>
      <c r="E727" t="s">
        <v>8</v>
      </c>
      <c r="F727" t="s">
        <v>9</v>
      </c>
      <c r="G727" t="s">
        <v>28</v>
      </c>
    </row>
    <row r="728" spans="1:7" x14ac:dyDescent="0.25">
      <c r="A728" t="s">
        <v>386</v>
      </c>
      <c r="B728">
        <v>114</v>
      </c>
      <c r="C728">
        <v>11</v>
      </c>
      <c r="D728">
        <v>4</v>
      </c>
      <c r="E728" t="s">
        <v>23</v>
      </c>
      <c r="F728" t="s">
        <v>81</v>
      </c>
      <c r="G728" t="s">
        <v>82</v>
      </c>
    </row>
    <row r="729" spans="1:7" x14ac:dyDescent="0.25">
      <c r="A729" t="s">
        <v>79</v>
      </c>
      <c r="B729">
        <v>92</v>
      </c>
      <c r="C729">
        <v>42</v>
      </c>
      <c r="D729">
        <v>2</v>
      </c>
      <c r="E729" t="s">
        <v>23</v>
      </c>
      <c r="F729" t="s">
        <v>57</v>
      </c>
      <c r="G729" t="s">
        <v>10</v>
      </c>
    </row>
    <row r="730" spans="1:7" x14ac:dyDescent="0.25">
      <c r="A730" t="s">
        <v>387</v>
      </c>
      <c r="B730">
        <v>117</v>
      </c>
      <c r="C730">
        <v>14</v>
      </c>
      <c r="D730">
        <v>3</v>
      </c>
      <c r="E730" t="s">
        <v>23</v>
      </c>
      <c r="F730" t="s">
        <v>142</v>
      </c>
      <c r="G730" t="s">
        <v>28</v>
      </c>
    </row>
    <row r="731" spans="1:7" x14ac:dyDescent="0.25">
      <c r="A731" t="s">
        <v>80</v>
      </c>
      <c r="B731">
        <v>21</v>
      </c>
      <c r="C731">
        <v>-10</v>
      </c>
      <c r="D731">
        <v>4</v>
      </c>
      <c r="E731" t="s">
        <v>23</v>
      </c>
      <c r="F731" t="s">
        <v>63</v>
      </c>
      <c r="G731" t="s">
        <v>10</v>
      </c>
    </row>
    <row r="732" spans="1:7" x14ac:dyDescent="0.25">
      <c r="A732" t="s">
        <v>388</v>
      </c>
      <c r="B732">
        <v>33</v>
      </c>
      <c r="C732">
        <v>-10</v>
      </c>
      <c r="D732">
        <v>6</v>
      </c>
      <c r="E732" t="s">
        <v>23</v>
      </c>
      <c r="F732" t="s">
        <v>63</v>
      </c>
      <c r="G732" t="s">
        <v>28</v>
      </c>
    </row>
    <row r="733" spans="1:7" x14ac:dyDescent="0.25">
      <c r="A733" t="s">
        <v>99</v>
      </c>
      <c r="B733">
        <v>114</v>
      </c>
      <c r="C733">
        <v>8</v>
      </c>
      <c r="D733">
        <v>3</v>
      </c>
      <c r="E733" t="s">
        <v>8</v>
      </c>
      <c r="F733" t="s">
        <v>73</v>
      </c>
      <c r="G733" t="s">
        <v>82</v>
      </c>
    </row>
    <row r="734" spans="1:7" x14ac:dyDescent="0.25">
      <c r="A734" t="s">
        <v>204</v>
      </c>
      <c r="B734">
        <v>115</v>
      </c>
      <c r="C734">
        <v>0</v>
      </c>
      <c r="D734">
        <v>1</v>
      </c>
      <c r="E734" t="s">
        <v>8</v>
      </c>
      <c r="F734" t="s">
        <v>73</v>
      </c>
      <c r="G734" t="s">
        <v>82</v>
      </c>
    </row>
    <row r="735" spans="1:7" x14ac:dyDescent="0.25">
      <c r="A735" t="s">
        <v>31</v>
      </c>
      <c r="B735">
        <v>90</v>
      </c>
      <c r="C735">
        <v>29</v>
      </c>
      <c r="D735">
        <v>5</v>
      </c>
      <c r="E735" t="s">
        <v>23</v>
      </c>
      <c r="F735" t="s">
        <v>81</v>
      </c>
      <c r="G735" t="s">
        <v>10</v>
      </c>
    </row>
    <row r="736" spans="1:7" x14ac:dyDescent="0.25">
      <c r="A736" t="s">
        <v>389</v>
      </c>
      <c r="B736">
        <v>61</v>
      </c>
      <c r="C736">
        <v>1</v>
      </c>
      <c r="D736">
        <v>2</v>
      </c>
      <c r="E736" t="s">
        <v>12</v>
      </c>
      <c r="F736" t="s">
        <v>131</v>
      </c>
      <c r="G736" t="s">
        <v>10</v>
      </c>
    </row>
    <row r="737" spans="1:7" x14ac:dyDescent="0.25">
      <c r="A737" t="s">
        <v>390</v>
      </c>
      <c r="B737">
        <v>119</v>
      </c>
      <c r="C737">
        <v>1</v>
      </c>
      <c r="D737">
        <v>1</v>
      </c>
      <c r="E737" t="s">
        <v>12</v>
      </c>
      <c r="F737" t="s">
        <v>13</v>
      </c>
      <c r="G737" t="s">
        <v>10</v>
      </c>
    </row>
    <row r="738" spans="1:7" x14ac:dyDescent="0.25">
      <c r="A738" t="s">
        <v>111</v>
      </c>
      <c r="B738">
        <v>117</v>
      </c>
      <c r="C738">
        <v>36</v>
      </c>
      <c r="D738">
        <v>2</v>
      </c>
      <c r="E738" t="s">
        <v>23</v>
      </c>
      <c r="F738" t="s">
        <v>24</v>
      </c>
      <c r="G738" t="s">
        <v>82</v>
      </c>
    </row>
    <row r="739" spans="1:7" x14ac:dyDescent="0.25">
      <c r="A739" t="s">
        <v>391</v>
      </c>
      <c r="B739">
        <v>148</v>
      </c>
      <c r="C739">
        <v>54</v>
      </c>
      <c r="D739">
        <v>2</v>
      </c>
      <c r="E739" t="s">
        <v>12</v>
      </c>
      <c r="F739" t="s">
        <v>13</v>
      </c>
      <c r="G739" t="s">
        <v>28</v>
      </c>
    </row>
    <row r="740" spans="1:7" x14ac:dyDescent="0.25">
      <c r="A740" t="s">
        <v>190</v>
      </c>
      <c r="B740">
        <v>249</v>
      </c>
      <c r="C740">
        <v>-5</v>
      </c>
      <c r="D740">
        <v>4</v>
      </c>
      <c r="E740" t="s">
        <v>23</v>
      </c>
      <c r="F740" t="s">
        <v>26</v>
      </c>
      <c r="G740" t="s">
        <v>10</v>
      </c>
    </row>
    <row r="741" spans="1:7" x14ac:dyDescent="0.25">
      <c r="A741" t="s">
        <v>115</v>
      </c>
      <c r="B741">
        <v>147</v>
      </c>
      <c r="C741">
        <v>73</v>
      </c>
      <c r="D741">
        <v>3</v>
      </c>
      <c r="E741" t="s">
        <v>23</v>
      </c>
      <c r="F741" t="s">
        <v>57</v>
      </c>
      <c r="G741" t="s">
        <v>28</v>
      </c>
    </row>
    <row r="742" spans="1:7" x14ac:dyDescent="0.25">
      <c r="A742" t="s">
        <v>392</v>
      </c>
      <c r="B742">
        <v>118</v>
      </c>
      <c r="C742">
        <v>35</v>
      </c>
      <c r="D742">
        <v>7</v>
      </c>
      <c r="E742" t="s">
        <v>23</v>
      </c>
      <c r="F742" t="s">
        <v>81</v>
      </c>
      <c r="G742" t="s">
        <v>14</v>
      </c>
    </row>
    <row r="743" spans="1:7" x14ac:dyDescent="0.25">
      <c r="A743" t="s">
        <v>194</v>
      </c>
      <c r="B743">
        <v>119</v>
      </c>
      <c r="C743">
        <v>56</v>
      </c>
      <c r="D743">
        <v>7</v>
      </c>
      <c r="E743" t="s">
        <v>23</v>
      </c>
      <c r="F743" t="s">
        <v>26</v>
      </c>
      <c r="G743" t="s">
        <v>14</v>
      </c>
    </row>
    <row r="744" spans="1:7" x14ac:dyDescent="0.25">
      <c r="A744" t="s">
        <v>378</v>
      </c>
      <c r="B744">
        <v>90</v>
      </c>
      <c r="C744">
        <v>27</v>
      </c>
      <c r="D744">
        <v>2</v>
      </c>
      <c r="E744" t="s">
        <v>23</v>
      </c>
      <c r="F744" t="s">
        <v>81</v>
      </c>
      <c r="G744" t="s">
        <v>10</v>
      </c>
    </row>
    <row r="745" spans="1:7" x14ac:dyDescent="0.25">
      <c r="A745" t="s">
        <v>263</v>
      </c>
      <c r="B745">
        <v>32</v>
      </c>
      <c r="C745">
        <v>1</v>
      </c>
      <c r="D745">
        <v>2</v>
      </c>
      <c r="E745" t="s">
        <v>23</v>
      </c>
      <c r="F745" t="s">
        <v>57</v>
      </c>
      <c r="G745" t="s">
        <v>10</v>
      </c>
    </row>
    <row r="746" spans="1:7" x14ac:dyDescent="0.25">
      <c r="A746" t="s">
        <v>393</v>
      </c>
      <c r="B746">
        <v>89</v>
      </c>
      <c r="C746">
        <v>-89</v>
      </c>
      <c r="D746">
        <v>2</v>
      </c>
      <c r="E746" t="s">
        <v>12</v>
      </c>
      <c r="F746" t="s">
        <v>131</v>
      </c>
      <c r="G746" t="s">
        <v>10</v>
      </c>
    </row>
    <row r="747" spans="1:7" x14ac:dyDescent="0.25">
      <c r="A747" t="s">
        <v>328</v>
      </c>
      <c r="B747">
        <v>146</v>
      </c>
      <c r="C747">
        <v>66</v>
      </c>
      <c r="D747">
        <v>1</v>
      </c>
      <c r="E747" t="s">
        <v>8</v>
      </c>
      <c r="F747" t="s">
        <v>21</v>
      </c>
      <c r="G747" t="s">
        <v>28</v>
      </c>
    </row>
    <row r="748" spans="1:7" x14ac:dyDescent="0.25">
      <c r="A748" t="s">
        <v>394</v>
      </c>
      <c r="B748">
        <v>89</v>
      </c>
      <c r="C748">
        <v>-37</v>
      </c>
      <c r="D748">
        <v>4</v>
      </c>
      <c r="E748" t="s">
        <v>23</v>
      </c>
      <c r="F748" t="s">
        <v>142</v>
      </c>
      <c r="G748" t="s">
        <v>10</v>
      </c>
    </row>
    <row r="749" spans="1:7" x14ac:dyDescent="0.25">
      <c r="A749" t="s">
        <v>243</v>
      </c>
      <c r="B749">
        <v>88</v>
      </c>
      <c r="C749">
        <v>11</v>
      </c>
      <c r="D749">
        <v>3</v>
      </c>
      <c r="E749" t="s">
        <v>8</v>
      </c>
      <c r="F749" t="s">
        <v>73</v>
      </c>
      <c r="G749" t="s">
        <v>10</v>
      </c>
    </row>
    <row r="750" spans="1:7" x14ac:dyDescent="0.25">
      <c r="A750" t="s">
        <v>395</v>
      </c>
      <c r="B750">
        <v>121</v>
      </c>
      <c r="C750">
        <v>41</v>
      </c>
      <c r="D750">
        <v>4</v>
      </c>
      <c r="E750" t="s">
        <v>23</v>
      </c>
      <c r="F750" t="s">
        <v>57</v>
      </c>
      <c r="G750" t="s">
        <v>14</v>
      </c>
    </row>
    <row r="751" spans="1:7" x14ac:dyDescent="0.25">
      <c r="A751" t="s">
        <v>273</v>
      </c>
      <c r="B751">
        <v>88</v>
      </c>
      <c r="C751">
        <v>20</v>
      </c>
      <c r="D751">
        <v>2</v>
      </c>
      <c r="E751" t="s">
        <v>23</v>
      </c>
      <c r="F751" t="s">
        <v>26</v>
      </c>
      <c r="G751" t="s">
        <v>10</v>
      </c>
    </row>
    <row r="752" spans="1:7" x14ac:dyDescent="0.25">
      <c r="A752" t="s">
        <v>182</v>
      </c>
      <c r="B752">
        <v>87</v>
      </c>
      <c r="C752">
        <v>-83</v>
      </c>
      <c r="D752">
        <v>5</v>
      </c>
      <c r="E752" t="s">
        <v>23</v>
      </c>
      <c r="F752" t="s">
        <v>32</v>
      </c>
      <c r="G752" t="s">
        <v>10</v>
      </c>
    </row>
    <row r="753" spans="1:7" x14ac:dyDescent="0.25">
      <c r="A753" t="s">
        <v>396</v>
      </c>
      <c r="B753">
        <v>87</v>
      </c>
      <c r="C753">
        <v>4</v>
      </c>
      <c r="D753">
        <v>2</v>
      </c>
      <c r="E753" t="s">
        <v>23</v>
      </c>
      <c r="F753" t="s">
        <v>142</v>
      </c>
      <c r="G753" t="s">
        <v>10</v>
      </c>
    </row>
    <row r="754" spans="1:7" x14ac:dyDescent="0.25">
      <c r="A754" t="s">
        <v>397</v>
      </c>
      <c r="B754">
        <v>122</v>
      </c>
      <c r="C754">
        <v>15</v>
      </c>
      <c r="D754">
        <v>3</v>
      </c>
      <c r="E754" t="s">
        <v>8</v>
      </c>
      <c r="F754" t="s">
        <v>73</v>
      </c>
      <c r="G754" t="s">
        <v>14</v>
      </c>
    </row>
    <row r="755" spans="1:7" x14ac:dyDescent="0.25">
      <c r="A755" t="s">
        <v>398</v>
      </c>
      <c r="B755">
        <v>87</v>
      </c>
      <c r="C755">
        <v>10</v>
      </c>
      <c r="D755">
        <v>3</v>
      </c>
      <c r="E755" t="s">
        <v>23</v>
      </c>
      <c r="F755" t="s">
        <v>57</v>
      </c>
      <c r="G755" t="s">
        <v>10</v>
      </c>
    </row>
    <row r="756" spans="1:7" x14ac:dyDescent="0.25">
      <c r="A756" t="s">
        <v>399</v>
      </c>
      <c r="B756">
        <v>53</v>
      </c>
      <c r="C756">
        <v>8</v>
      </c>
      <c r="D756">
        <v>3</v>
      </c>
      <c r="E756" t="s">
        <v>12</v>
      </c>
      <c r="F756" t="s">
        <v>131</v>
      </c>
      <c r="G756" t="s">
        <v>28</v>
      </c>
    </row>
    <row r="757" spans="1:7" x14ac:dyDescent="0.25">
      <c r="A757" t="s">
        <v>133</v>
      </c>
      <c r="B757">
        <v>87</v>
      </c>
      <c r="C757">
        <v>-32</v>
      </c>
      <c r="D757">
        <v>9</v>
      </c>
      <c r="E757" t="s">
        <v>23</v>
      </c>
      <c r="F757" t="s">
        <v>43</v>
      </c>
      <c r="G757" t="s">
        <v>10</v>
      </c>
    </row>
    <row r="758" spans="1:7" x14ac:dyDescent="0.25">
      <c r="A758" t="s">
        <v>400</v>
      </c>
      <c r="B758">
        <v>86</v>
      </c>
      <c r="C758">
        <v>-55</v>
      </c>
      <c r="D758">
        <v>6</v>
      </c>
      <c r="E758" t="s">
        <v>23</v>
      </c>
      <c r="F758" t="s">
        <v>26</v>
      </c>
      <c r="G758" t="s">
        <v>10</v>
      </c>
    </row>
    <row r="759" spans="1:7" x14ac:dyDescent="0.25">
      <c r="A759" t="s">
        <v>401</v>
      </c>
      <c r="B759">
        <v>125</v>
      </c>
      <c r="C759">
        <v>22</v>
      </c>
      <c r="D759">
        <v>3</v>
      </c>
      <c r="E759" t="s">
        <v>23</v>
      </c>
      <c r="F759" t="s">
        <v>57</v>
      </c>
      <c r="G759" t="s">
        <v>14</v>
      </c>
    </row>
    <row r="760" spans="1:7" x14ac:dyDescent="0.25">
      <c r="A760" t="s">
        <v>180</v>
      </c>
      <c r="B760">
        <v>128</v>
      </c>
      <c r="C760">
        <v>-3</v>
      </c>
      <c r="D760">
        <v>3</v>
      </c>
      <c r="E760" t="s">
        <v>23</v>
      </c>
      <c r="F760" t="s">
        <v>26</v>
      </c>
      <c r="G760" t="s">
        <v>82</v>
      </c>
    </row>
    <row r="761" spans="1:7" x14ac:dyDescent="0.25">
      <c r="A761" t="s">
        <v>224</v>
      </c>
      <c r="B761">
        <v>143</v>
      </c>
      <c r="C761">
        <v>-124</v>
      </c>
      <c r="D761">
        <v>5</v>
      </c>
      <c r="E761" t="s">
        <v>23</v>
      </c>
      <c r="F761" t="s">
        <v>26</v>
      </c>
      <c r="G761" t="s">
        <v>28</v>
      </c>
    </row>
    <row r="762" spans="1:7" x14ac:dyDescent="0.25">
      <c r="A762" t="s">
        <v>83</v>
      </c>
      <c r="B762">
        <v>86</v>
      </c>
      <c r="C762">
        <v>22</v>
      </c>
      <c r="D762">
        <v>2</v>
      </c>
      <c r="E762" t="s">
        <v>23</v>
      </c>
      <c r="F762" t="s">
        <v>26</v>
      </c>
      <c r="G762" t="s">
        <v>10</v>
      </c>
    </row>
    <row r="763" spans="1:7" x14ac:dyDescent="0.25">
      <c r="A763" t="s">
        <v>402</v>
      </c>
      <c r="B763">
        <v>86</v>
      </c>
      <c r="C763">
        <v>9</v>
      </c>
      <c r="D763">
        <v>3</v>
      </c>
      <c r="E763" t="s">
        <v>23</v>
      </c>
      <c r="F763" t="s">
        <v>26</v>
      </c>
      <c r="G763" t="s">
        <v>10</v>
      </c>
    </row>
    <row r="764" spans="1:7" x14ac:dyDescent="0.25">
      <c r="A764" t="s">
        <v>289</v>
      </c>
      <c r="B764">
        <v>85</v>
      </c>
      <c r="C764">
        <v>-9</v>
      </c>
      <c r="D764">
        <v>4</v>
      </c>
      <c r="E764" t="s">
        <v>23</v>
      </c>
      <c r="F764" t="s">
        <v>26</v>
      </c>
      <c r="G764" t="s">
        <v>10</v>
      </c>
    </row>
    <row r="765" spans="1:7" x14ac:dyDescent="0.25">
      <c r="A765" t="s">
        <v>268</v>
      </c>
      <c r="B765">
        <v>129</v>
      </c>
      <c r="C765">
        <v>-75</v>
      </c>
      <c r="D765">
        <v>5</v>
      </c>
      <c r="E765" t="s">
        <v>23</v>
      </c>
      <c r="F765" t="s">
        <v>142</v>
      </c>
      <c r="G765" t="s">
        <v>82</v>
      </c>
    </row>
    <row r="766" spans="1:7" x14ac:dyDescent="0.25">
      <c r="A766" t="s">
        <v>403</v>
      </c>
      <c r="B766">
        <v>84</v>
      </c>
      <c r="C766">
        <v>-42</v>
      </c>
      <c r="D766">
        <v>2</v>
      </c>
      <c r="E766" t="s">
        <v>8</v>
      </c>
      <c r="F766" t="s">
        <v>73</v>
      </c>
      <c r="G766" t="s">
        <v>10</v>
      </c>
    </row>
    <row r="767" spans="1:7" x14ac:dyDescent="0.25">
      <c r="A767" t="s">
        <v>121</v>
      </c>
      <c r="B767">
        <v>83</v>
      </c>
      <c r="C767">
        <v>-81</v>
      </c>
      <c r="D767">
        <v>3</v>
      </c>
      <c r="E767" t="s">
        <v>12</v>
      </c>
      <c r="F767" t="s">
        <v>13</v>
      </c>
      <c r="G767" t="s">
        <v>10</v>
      </c>
    </row>
    <row r="768" spans="1:7" x14ac:dyDescent="0.25">
      <c r="A768" t="s">
        <v>297</v>
      </c>
      <c r="B768">
        <v>143</v>
      </c>
      <c r="C768">
        <v>6</v>
      </c>
      <c r="D768">
        <v>2</v>
      </c>
      <c r="E768" t="s">
        <v>8</v>
      </c>
      <c r="F768" t="s">
        <v>73</v>
      </c>
      <c r="G768" t="s">
        <v>28</v>
      </c>
    </row>
    <row r="769" spans="1:7" x14ac:dyDescent="0.25">
      <c r="A769" t="s">
        <v>404</v>
      </c>
      <c r="B769">
        <v>336</v>
      </c>
      <c r="C769">
        <v>123</v>
      </c>
      <c r="D769">
        <v>3</v>
      </c>
      <c r="E769" t="s">
        <v>8</v>
      </c>
      <c r="F769" t="s">
        <v>21</v>
      </c>
      <c r="G769" t="s">
        <v>28</v>
      </c>
    </row>
    <row r="770" spans="1:7" x14ac:dyDescent="0.25">
      <c r="A770" t="s">
        <v>71</v>
      </c>
      <c r="B770">
        <v>323</v>
      </c>
      <c r="C770">
        <v>122</v>
      </c>
      <c r="D770">
        <v>5</v>
      </c>
      <c r="E770" t="s">
        <v>8</v>
      </c>
      <c r="F770" t="s">
        <v>21</v>
      </c>
      <c r="G770" t="s">
        <v>28</v>
      </c>
    </row>
    <row r="771" spans="1:7" x14ac:dyDescent="0.25">
      <c r="A771" t="s">
        <v>260</v>
      </c>
      <c r="B771">
        <v>130</v>
      </c>
      <c r="C771">
        <v>61</v>
      </c>
      <c r="D771">
        <v>3</v>
      </c>
      <c r="E771" t="s">
        <v>23</v>
      </c>
      <c r="F771" t="s">
        <v>142</v>
      </c>
      <c r="G771" t="s">
        <v>82</v>
      </c>
    </row>
    <row r="772" spans="1:7" x14ac:dyDescent="0.25">
      <c r="A772" t="s">
        <v>292</v>
      </c>
      <c r="B772">
        <v>152</v>
      </c>
      <c r="C772">
        <v>-3</v>
      </c>
      <c r="D772">
        <v>5</v>
      </c>
      <c r="E772" t="s">
        <v>23</v>
      </c>
      <c r="F772" t="s">
        <v>26</v>
      </c>
      <c r="G772" t="s">
        <v>10</v>
      </c>
    </row>
    <row r="773" spans="1:7" x14ac:dyDescent="0.25">
      <c r="A773" t="s">
        <v>397</v>
      </c>
      <c r="B773">
        <v>25</v>
      </c>
      <c r="C773">
        <v>10</v>
      </c>
      <c r="D773">
        <v>1</v>
      </c>
      <c r="E773" t="s">
        <v>12</v>
      </c>
      <c r="F773" t="s">
        <v>131</v>
      </c>
      <c r="G773" t="s">
        <v>28</v>
      </c>
    </row>
    <row r="774" spans="1:7" x14ac:dyDescent="0.25">
      <c r="A774" t="s">
        <v>140</v>
      </c>
      <c r="B774">
        <v>140</v>
      </c>
      <c r="C774">
        <v>15</v>
      </c>
      <c r="D774">
        <v>5</v>
      </c>
      <c r="E774" t="s">
        <v>23</v>
      </c>
      <c r="F774" t="s">
        <v>57</v>
      </c>
      <c r="G774" t="s">
        <v>28</v>
      </c>
    </row>
    <row r="775" spans="1:7" x14ac:dyDescent="0.25">
      <c r="A775" t="s">
        <v>241</v>
      </c>
      <c r="B775">
        <v>45</v>
      </c>
      <c r="C775">
        <v>0</v>
      </c>
      <c r="D775">
        <v>2</v>
      </c>
      <c r="E775" t="s">
        <v>23</v>
      </c>
      <c r="F775" t="s">
        <v>57</v>
      </c>
      <c r="G775" t="s">
        <v>28</v>
      </c>
    </row>
    <row r="776" spans="1:7" x14ac:dyDescent="0.25">
      <c r="A776" t="s">
        <v>157</v>
      </c>
      <c r="B776">
        <v>132</v>
      </c>
      <c r="C776">
        <v>49</v>
      </c>
      <c r="D776">
        <v>3</v>
      </c>
      <c r="E776" t="s">
        <v>23</v>
      </c>
      <c r="F776" t="s">
        <v>142</v>
      </c>
      <c r="G776" t="s">
        <v>10</v>
      </c>
    </row>
    <row r="777" spans="1:7" x14ac:dyDescent="0.25">
      <c r="A777" t="s">
        <v>229</v>
      </c>
      <c r="B777">
        <v>133</v>
      </c>
      <c r="C777">
        <v>12</v>
      </c>
      <c r="D777">
        <v>5</v>
      </c>
      <c r="E777" t="s">
        <v>23</v>
      </c>
      <c r="F777" t="s">
        <v>57</v>
      </c>
      <c r="G777" t="s">
        <v>82</v>
      </c>
    </row>
    <row r="778" spans="1:7" x14ac:dyDescent="0.25">
      <c r="A778" t="s">
        <v>187</v>
      </c>
      <c r="B778">
        <v>82</v>
      </c>
      <c r="C778">
        <v>13</v>
      </c>
      <c r="D778">
        <v>2</v>
      </c>
      <c r="E778" t="s">
        <v>23</v>
      </c>
      <c r="F778" t="s">
        <v>142</v>
      </c>
      <c r="G778" t="s">
        <v>10</v>
      </c>
    </row>
    <row r="779" spans="1:7" x14ac:dyDescent="0.25">
      <c r="A779" t="s">
        <v>243</v>
      </c>
      <c r="B779">
        <v>140</v>
      </c>
      <c r="C779">
        <v>56</v>
      </c>
      <c r="D779">
        <v>4</v>
      </c>
      <c r="E779" t="s">
        <v>23</v>
      </c>
      <c r="F779" t="s">
        <v>142</v>
      </c>
      <c r="G779" t="s">
        <v>28</v>
      </c>
    </row>
    <row r="780" spans="1:7" x14ac:dyDescent="0.25">
      <c r="A780" t="s">
        <v>330</v>
      </c>
      <c r="B780">
        <v>81</v>
      </c>
      <c r="C780">
        <v>19</v>
      </c>
      <c r="D780">
        <v>7</v>
      </c>
      <c r="E780" t="s">
        <v>23</v>
      </c>
      <c r="F780" t="s">
        <v>30</v>
      </c>
      <c r="G780" t="s">
        <v>10</v>
      </c>
    </row>
    <row r="781" spans="1:7" x14ac:dyDescent="0.25">
      <c r="A781" t="s">
        <v>72</v>
      </c>
      <c r="B781">
        <v>137</v>
      </c>
      <c r="C781">
        <v>38</v>
      </c>
      <c r="D781">
        <v>5</v>
      </c>
      <c r="E781" t="s">
        <v>23</v>
      </c>
      <c r="F781" t="s">
        <v>30</v>
      </c>
      <c r="G781" t="s">
        <v>82</v>
      </c>
    </row>
    <row r="782" spans="1:7" x14ac:dyDescent="0.25">
      <c r="A782" t="s">
        <v>405</v>
      </c>
      <c r="B782">
        <v>137</v>
      </c>
      <c r="C782">
        <v>-41</v>
      </c>
      <c r="D782">
        <v>3</v>
      </c>
      <c r="E782" t="s">
        <v>8</v>
      </c>
      <c r="F782" t="s">
        <v>21</v>
      </c>
      <c r="G782" t="s">
        <v>82</v>
      </c>
    </row>
    <row r="783" spans="1:7" x14ac:dyDescent="0.25">
      <c r="A783" t="s">
        <v>383</v>
      </c>
      <c r="B783">
        <v>140</v>
      </c>
      <c r="C783">
        <v>57</v>
      </c>
      <c r="D783">
        <v>2</v>
      </c>
      <c r="E783" t="s">
        <v>23</v>
      </c>
      <c r="F783" t="s">
        <v>24</v>
      </c>
      <c r="G783" t="s">
        <v>82</v>
      </c>
    </row>
    <row r="784" spans="1:7" x14ac:dyDescent="0.25">
      <c r="A784" t="s">
        <v>406</v>
      </c>
      <c r="B784">
        <v>139</v>
      </c>
      <c r="C784">
        <v>30</v>
      </c>
      <c r="D784">
        <v>3</v>
      </c>
      <c r="E784" t="s">
        <v>23</v>
      </c>
      <c r="F784" t="s">
        <v>142</v>
      </c>
      <c r="G784" t="s">
        <v>28</v>
      </c>
    </row>
    <row r="785" spans="1:7" x14ac:dyDescent="0.25">
      <c r="A785" t="s">
        <v>273</v>
      </c>
      <c r="B785">
        <v>138</v>
      </c>
      <c r="C785">
        <v>11</v>
      </c>
      <c r="D785">
        <v>5</v>
      </c>
      <c r="E785" t="s">
        <v>23</v>
      </c>
      <c r="F785" t="s">
        <v>57</v>
      </c>
      <c r="G785" t="s">
        <v>28</v>
      </c>
    </row>
    <row r="786" spans="1:7" x14ac:dyDescent="0.25">
      <c r="A786" t="s">
        <v>407</v>
      </c>
      <c r="B786">
        <v>79</v>
      </c>
      <c r="C786">
        <v>-124</v>
      </c>
      <c r="D786">
        <v>9</v>
      </c>
      <c r="E786" t="s">
        <v>23</v>
      </c>
      <c r="F786" t="s">
        <v>43</v>
      </c>
      <c r="G786" t="s">
        <v>10</v>
      </c>
    </row>
    <row r="787" spans="1:7" x14ac:dyDescent="0.25">
      <c r="A787" t="s">
        <v>408</v>
      </c>
      <c r="B787">
        <v>136</v>
      </c>
      <c r="C787">
        <v>41</v>
      </c>
      <c r="D787">
        <v>3</v>
      </c>
      <c r="E787" t="s">
        <v>8</v>
      </c>
      <c r="F787" t="s">
        <v>73</v>
      </c>
      <c r="G787" t="s">
        <v>28</v>
      </c>
    </row>
    <row r="788" spans="1:7" x14ac:dyDescent="0.25">
      <c r="A788" t="s">
        <v>297</v>
      </c>
      <c r="B788">
        <v>145</v>
      </c>
      <c r="C788">
        <v>16</v>
      </c>
      <c r="D788">
        <v>3</v>
      </c>
      <c r="E788" t="s">
        <v>23</v>
      </c>
      <c r="F788" t="s">
        <v>81</v>
      </c>
      <c r="G788" t="s">
        <v>82</v>
      </c>
    </row>
    <row r="789" spans="1:7" x14ac:dyDescent="0.25">
      <c r="A789" t="s">
        <v>174</v>
      </c>
      <c r="B789">
        <v>44</v>
      </c>
      <c r="C789">
        <v>20</v>
      </c>
      <c r="D789">
        <v>2</v>
      </c>
      <c r="E789" t="s">
        <v>23</v>
      </c>
      <c r="F789" t="s">
        <v>81</v>
      </c>
      <c r="G789" t="s">
        <v>28</v>
      </c>
    </row>
    <row r="790" spans="1:7" x14ac:dyDescent="0.25">
      <c r="A790" t="s">
        <v>306</v>
      </c>
      <c r="B790">
        <v>79</v>
      </c>
      <c r="C790">
        <v>6</v>
      </c>
      <c r="D790">
        <v>7</v>
      </c>
      <c r="E790" t="s">
        <v>23</v>
      </c>
      <c r="F790" t="s">
        <v>26</v>
      </c>
      <c r="G790" t="s">
        <v>10</v>
      </c>
    </row>
    <row r="791" spans="1:7" x14ac:dyDescent="0.25">
      <c r="A791" t="s">
        <v>158</v>
      </c>
      <c r="B791">
        <v>79</v>
      </c>
      <c r="C791">
        <v>36</v>
      </c>
      <c r="D791">
        <v>4</v>
      </c>
      <c r="E791" t="s">
        <v>23</v>
      </c>
      <c r="F791" t="s">
        <v>142</v>
      </c>
      <c r="G791" t="s">
        <v>10</v>
      </c>
    </row>
    <row r="792" spans="1:7" x14ac:dyDescent="0.25">
      <c r="A792" t="s">
        <v>212</v>
      </c>
      <c r="B792">
        <v>134</v>
      </c>
      <c r="C792">
        <v>-13</v>
      </c>
      <c r="D792">
        <v>3</v>
      </c>
      <c r="E792" t="s">
        <v>8</v>
      </c>
      <c r="F792" t="s">
        <v>9</v>
      </c>
      <c r="G792" t="s">
        <v>28</v>
      </c>
    </row>
    <row r="793" spans="1:7" x14ac:dyDescent="0.25">
      <c r="A793" t="s">
        <v>46</v>
      </c>
      <c r="B793">
        <v>133</v>
      </c>
      <c r="C793">
        <v>5</v>
      </c>
      <c r="D793">
        <v>5</v>
      </c>
      <c r="E793" t="s">
        <v>23</v>
      </c>
      <c r="F793" t="s">
        <v>57</v>
      </c>
      <c r="G793" t="s">
        <v>28</v>
      </c>
    </row>
    <row r="794" spans="1:7" x14ac:dyDescent="0.25">
      <c r="A794" t="s">
        <v>211</v>
      </c>
      <c r="B794">
        <v>47</v>
      </c>
      <c r="C794">
        <v>20</v>
      </c>
      <c r="D794">
        <v>7</v>
      </c>
      <c r="E794" t="s">
        <v>23</v>
      </c>
      <c r="F794" t="s">
        <v>30</v>
      </c>
      <c r="G794" t="s">
        <v>28</v>
      </c>
    </row>
    <row r="795" spans="1:7" x14ac:dyDescent="0.25">
      <c r="A795" t="s">
        <v>258</v>
      </c>
      <c r="B795">
        <v>133</v>
      </c>
      <c r="C795">
        <v>-42</v>
      </c>
      <c r="D795">
        <v>1</v>
      </c>
      <c r="E795" t="s">
        <v>8</v>
      </c>
      <c r="F795" t="s">
        <v>18</v>
      </c>
      <c r="G795" t="s">
        <v>28</v>
      </c>
    </row>
    <row r="796" spans="1:7" x14ac:dyDescent="0.25">
      <c r="A796" t="s">
        <v>409</v>
      </c>
      <c r="B796">
        <v>78</v>
      </c>
      <c r="C796">
        <v>27</v>
      </c>
      <c r="D796">
        <v>3</v>
      </c>
      <c r="E796" t="s">
        <v>23</v>
      </c>
      <c r="F796" t="s">
        <v>57</v>
      </c>
      <c r="G796" t="s">
        <v>10</v>
      </c>
    </row>
    <row r="797" spans="1:7" x14ac:dyDescent="0.25">
      <c r="A797" t="s">
        <v>410</v>
      </c>
      <c r="B797">
        <v>78</v>
      </c>
      <c r="C797">
        <v>7</v>
      </c>
      <c r="D797">
        <v>1</v>
      </c>
      <c r="E797" t="s">
        <v>12</v>
      </c>
      <c r="F797" t="s">
        <v>13</v>
      </c>
      <c r="G797" t="s">
        <v>10</v>
      </c>
    </row>
    <row r="798" spans="1:7" x14ac:dyDescent="0.25">
      <c r="A798" t="s">
        <v>411</v>
      </c>
      <c r="B798">
        <v>76</v>
      </c>
      <c r="C798">
        <v>-92</v>
      </c>
      <c r="D798">
        <v>8</v>
      </c>
      <c r="E798" t="s">
        <v>12</v>
      </c>
      <c r="F798" t="s">
        <v>131</v>
      </c>
      <c r="G798" t="s">
        <v>10</v>
      </c>
    </row>
    <row r="799" spans="1:7" x14ac:dyDescent="0.25">
      <c r="A799" t="s">
        <v>412</v>
      </c>
      <c r="B799">
        <v>76</v>
      </c>
      <c r="C799">
        <v>-50</v>
      </c>
      <c r="D799">
        <v>1</v>
      </c>
      <c r="E799" t="s">
        <v>23</v>
      </c>
      <c r="F799" t="s">
        <v>26</v>
      </c>
      <c r="G799" t="s">
        <v>10</v>
      </c>
    </row>
    <row r="800" spans="1:7" x14ac:dyDescent="0.25">
      <c r="A800" t="s">
        <v>234</v>
      </c>
      <c r="B800">
        <v>76</v>
      </c>
      <c r="C800">
        <v>19</v>
      </c>
      <c r="D800">
        <v>3</v>
      </c>
      <c r="E800" t="s">
        <v>23</v>
      </c>
      <c r="F800" t="s">
        <v>30</v>
      </c>
      <c r="G800" t="s">
        <v>10</v>
      </c>
    </row>
    <row r="801" spans="1:7" x14ac:dyDescent="0.25">
      <c r="A801" t="s">
        <v>155</v>
      </c>
      <c r="B801">
        <v>74</v>
      </c>
      <c r="C801">
        <v>29</v>
      </c>
      <c r="D801">
        <v>3</v>
      </c>
      <c r="E801" t="s">
        <v>23</v>
      </c>
      <c r="F801" t="s">
        <v>57</v>
      </c>
      <c r="G801" t="s">
        <v>10</v>
      </c>
    </row>
    <row r="802" spans="1:7" x14ac:dyDescent="0.25">
      <c r="A802" t="s">
        <v>413</v>
      </c>
      <c r="B802">
        <v>74</v>
      </c>
      <c r="C802">
        <v>-25</v>
      </c>
      <c r="D802">
        <v>3</v>
      </c>
      <c r="E802" t="s">
        <v>23</v>
      </c>
      <c r="F802" t="s">
        <v>57</v>
      </c>
      <c r="G802" t="s">
        <v>10</v>
      </c>
    </row>
    <row r="803" spans="1:7" x14ac:dyDescent="0.25">
      <c r="A803" t="s">
        <v>145</v>
      </c>
      <c r="B803">
        <v>146</v>
      </c>
      <c r="C803">
        <v>-63</v>
      </c>
      <c r="D803">
        <v>3</v>
      </c>
      <c r="E803" t="s">
        <v>8</v>
      </c>
      <c r="F803" t="s">
        <v>9</v>
      </c>
      <c r="G803" t="s">
        <v>82</v>
      </c>
    </row>
    <row r="804" spans="1:7" x14ac:dyDescent="0.25">
      <c r="A804" t="s">
        <v>141</v>
      </c>
      <c r="B804">
        <v>73</v>
      </c>
      <c r="C804">
        <v>-31</v>
      </c>
      <c r="D804">
        <v>1</v>
      </c>
      <c r="E804" t="s">
        <v>12</v>
      </c>
      <c r="F804" t="s">
        <v>16</v>
      </c>
      <c r="G804" t="s">
        <v>10</v>
      </c>
    </row>
    <row r="805" spans="1:7" x14ac:dyDescent="0.25">
      <c r="A805" t="s">
        <v>88</v>
      </c>
      <c r="B805">
        <v>80</v>
      </c>
      <c r="C805">
        <v>22</v>
      </c>
      <c r="D805">
        <v>3</v>
      </c>
      <c r="E805" t="s">
        <v>23</v>
      </c>
      <c r="F805" t="s">
        <v>57</v>
      </c>
      <c r="G805" t="s">
        <v>28</v>
      </c>
    </row>
    <row r="806" spans="1:7" x14ac:dyDescent="0.25">
      <c r="A806" t="s">
        <v>294</v>
      </c>
      <c r="B806">
        <v>133</v>
      </c>
      <c r="C806">
        <v>46</v>
      </c>
      <c r="D806">
        <v>5</v>
      </c>
      <c r="E806" t="s">
        <v>23</v>
      </c>
      <c r="F806" t="s">
        <v>142</v>
      </c>
      <c r="G806" t="s">
        <v>14</v>
      </c>
    </row>
    <row r="807" spans="1:7" x14ac:dyDescent="0.25">
      <c r="A807" t="s">
        <v>414</v>
      </c>
      <c r="B807">
        <v>146</v>
      </c>
      <c r="C807">
        <v>7</v>
      </c>
      <c r="D807">
        <v>2</v>
      </c>
      <c r="E807" t="s">
        <v>8</v>
      </c>
      <c r="F807" t="s">
        <v>21</v>
      </c>
      <c r="G807" t="s">
        <v>82</v>
      </c>
    </row>
    <row r="808" spans="1:7" x14ac:dyDescent="0.25">
      <c r="A808" t="s">
        <v>218</v>
      </c>
      <c r="B808">
        <v>130</v>
      </c>
      <c r="C808">
        <v>-41</v>
      </c>
      <c r="D808">
        <v>4</v>
      </c>
      <c r="E808" t="s">
        <v>23</v>
      </c>
      <c r="F808" t="s">
        <v>26</v>
      </c>
      <c r="G808" t="s">
        <v>14</v>
      </c>
    </row>
    <row r="809" spans="1:7" x14ac:dyDescent="0.25">
      <c r="A809" t="s">
        <v>415</v>
      </c>
      <c r="B809">
        <v>141</v>
      </c>
      <c r="C809">
        <v>41</v>
      </c>
      <c r="D809">
        <v>3</v>
      </c>
      <c r="E809" t="s">
        <v>23</v>
      </c>
      <c r="F809" t="s">
        <v>142</v>
      </c>
      <c r="G809" t="s">
        <v>28</v>
      </c>
    </row>
    <row r="810" spans="1:7" x14ac:dyDescent="0.25">
      <c r="A810" t="s">
        <v>214</v>
      </c>
      <c r="B810">
        <v>147</v>
      </c>
      <c r="C810">
        <v>21</v>
      </c>
      <c r="D810">
        <v>3</v>
      </c>
      <c r="E810" t="s">
        <v>12</v>
      </c>
      <c r="F810" t="s">
        <v>131</v>
      </c>
      <c r="G810" t="s">
        <v>82</v>
      </c>
    </row>
    <row r="811" spans="1:7" x14ac:dyDescent="0.25">
      <c r="A811" t="s">
        <v>99</v>
      </c>
      <c r="B811">
        <v>73</v>
      </c>
      <c r="C811">
        <v>-7</v>
      </c>
      <c r="D811">
        <v>1</v>
      </c>
      <c r="E811" t="s">
        <v>8</v>
      </c>
      <c r="F811" t="s">
        <v>21</v>
      </c>
      <c r="G811" t="s">
        <v>10</v>
      </c>
    </row>
    <row r="812" spans="1:7" x14ac:dyDescent="0.25">
      <c r="A812" t="s">
        <v>416</v>
      </c>
      <c r="B812">
        <v>148</v>
      </c>
      <c r="C812">
        <v>72</v>
      </c>
      <c r="D812">
        <v>7</v>
      </c>
      <c r="E812" t="s">
        <v>23</v>
      </c>
      <c r="F812" t="s">
        <v>81</v>
      </c>
      <c r="G812" t="s">
        <v>82</v>
      </c>
    </row>
    <row r="813" spans="1:7" x14ac:dyDescent="0.25">
      <c r="A813" t="s">
        <v>417</v>
      </c>
      <c r="B813">
        <v>58</v>
      </c>
      <c r="C813">
        <v>0</v>
      </c>
      <c r="D813">
        <v>4</v>
      </c>
      <c r="E813" t="s">
        <v>23</v>
      </c>
      <c r="F813" t="s">
        <v>26</v>
      </c>
      <c r="G813" t="s">
        <v>28</v>
      </c>
    </row>
    <row r="814" spans="1:7" x14ac:dyDescent="0.25">
      <c r="A814" t="s">
        <v>308</v>
      </c>
      <c r="B814">
        <v>21</v>
      </c>
      <c r="C814">
        <v>-13</v>
      </c>
      <c r="D814">
        <v>3</v>
      </c>
      <c r="E814" t="s">
        <v>23</v>
      </c>
      <c r="F814" t="s">
        <v>63</v>
      </c>
      <c r="G814" t="s">
        <v>28</v>
      </c>
    </row>
    <row r="815" spans="1:7" x14ac:dyDescent="0.25">
      <c r="A815" t="s">
        <v>17</v>
      </c>
      <c r="B815">
        <v>148</v>
      </c>
      <c r="C815">
        <v>25</v>
      </c>
      <c r="D815">
        <v>3</v>
      </c>
      <c r="E815" t="s">
        <v>23</v>
      </c>
      <c r="F815" t="s">
        <v>26</v>
      </c>
      <c r="G815" t="s">
        <v>82</v>
      </c>
    </row>
    <row r="816" spans="1:7" x14ac:dyDescent="0.25">
      <c r="A816" t="s">
        <v>418</v>
      </c>
      <c r="B816">
        <v>144</v>
      </c>
      <c r="C816">
        <v>-7</v>
      </c>
      <c r="D816">
        <v>4</v>
      </c>
      <c r="E816" t="s">
        <v>8</v>
      </c>
      <c r="F816" t="s">
        <v>9</v>
      </c>
      <c r="G816" t="s">
        <v>10</v>
      </c>
    </row>
    <row r="817" spans="1:7" x14ac:dyDescent="0.25">
      <c r="A817" t="s">
        <v>290</v>
      </c>
      <c r="B817">
        <v>145</v>
      </c>
      <c r="C817">
        <v>-104</v>
      </c>
      <c r="D817">
        <v>5</v>
      </c>
      <c r="E817" t="s">
        <v>12</v>
      </c>
      <c r="F817" t="s">
        <v>13</v>
      </c>
      <c r="G817" t="s">
        <v>28</v>
      </c>
    </row>
    <row r="818" spans="1:7" x14ac:dyDescent="0.25">
      <c r="A818" t="s">
        <v>112</v>
      </c>
      <c r="B818">
        <v>72</v>
      </c>
      <c r="C818">
        <v>-49</v>
      </c>
      <c r="D818">
        <v>1</v>
      </c>
      <c r="E818" t="s">
        <v>8</v>
      </c>
      <c r="F818" t="s">
        <v>21</v>
      </c>
      <c r="G818" t="s">
        <v>10</v>
      </c>
    </row>
    <row r="819" spans="1:7" x14ac:dyDescent="0.25">
      <c r="A819" t="s">
        <v>44</v>
      </c>
      <c r="B819">
        <v>125</v>
      </c>
      <c r="C819">
        <v>15</v>
      </c>
      <c r="D819">
        <v>5</v>
      </c>
      <c r="E819" t="s">
        <v>23</v>
      </c>
      <c r="F819" t="s">
        <v>142</v>
      </c>
      <c r="G819" t="s">
        <v>14</v>
      </c>
    </row>
    <row r="820" spans="1:7" x14ac:dyDescent="0.25">
      <c r="A820" t="s">
        <v>72</v>
      </c>
      <c r="B820">
        <v>149</v>
      </c>
      <c r="C820">
        <v>15</v>
      </c>
      <c r="D820">
        <v>3</v>
      </c>
      <c r="E820" t="s">
        <v>23</v>
      </c>
      <c r="F820" t="s">
        <v>26</v>
      </c>
      <c r="G820" t="s">
        <v>82</v>
      </c>
    </row>
    <row r="821" spans="1:7" x14ac:dyDescent="0.25">
      <c r="A821" t="s">
        <v>116</v>
      </c>
      <c r="B821">
        <v>72</v>
      </c>
      <c r="C821">
        <v>16</v>
      </c>
      <c r="D821">
        <v>2</v>
      </c>
      <c r="E821" t="s">
        <v>23</v>
      </c>
      <c r="F821" t="s">
        <v>142</v>
      </c>
      <c r="G821" t="s">
        <v>10</v>
      </c>
    </row>
    <row r="822" spans="1:7" x14ac:dyDescent="0.25">
      <c r="A822" t="s">
        <v>50</v>
      </c>
      <c r="B822">
        <v>71</v>
      </c>
      <c r="C822">
        <v>0</v>
      </c>
      <c r="D822">
        <v>8</v>
      </c>
      <c r="E822" t="s">
        <v>23</v>
      </c>
      <c r="F822" t="s">
        <v>43</v>
      </c>
      <c r="G822" t="s">
        <v>10</v>
      </c>
    </row>
    <row r="823" spans="1:7" x14ac:dyDescent="0.25">
      <c r="A823" t="s">
        <v>419</v>
      </c>
      <c r="B823">
        <v>71</v>
      </c>
      <c r="C823">
        <v>-14</v>
      </c>
      <c r="D823">
        <v>4</v>
      </c>
      <c r="E823" t="s">
        <v>12</v>
      </c>
      <c r="F823" t="s">
        <v>131</v>
      </c>
      <c r="G823" t="s">
        <v>10</v>
      </c>
    </row>
    <row r="824" spans="1:7" x14ac:dyDescent="0.25">
      <c r="A824" t="s">
        <v>96</v>
      </c>
      <c r="B824">
        <v>154</v>
      </c>
      <c r="C824">
        <v>-85</v>
      </c>
      <c r="D824">
        <v>3</v>
      </c>
      <c r="E824" t="s">
        <v>12</v>
      </c>
      <c r="F824" t="s">
        <v>13</v>
      </c>
      <c r="G824" t="s">
        <v>14</v>
      </c>
    </row>
    <row r="825" spans="1:7" x14ac:dyDescent="0.25">
      <c r="A825" t="s">
        <v>152</v>
      </c>
      <c r="B825">
        <v>191</v>
      </c>
      <c r="C825">
        <v>13</v>
      </c>
      <c r="D825">
        <v>8</v>
      </c>
      <c r="E825" t="s">
        <v>12</v>
      </c>
      <c r="F825" t="s">
        <v>131</v>
      </c>
      <c r="G825" t="s">
        <v>10</v>
      </c>
    </row>
    <row r="826" spans="1:7" x14ac:dyDescent="0.25">
      <c r="A826" t="s">
        <v>403</v>
      </c>
      <c r="B826">
        <v>170</v>
      </c>
      <c r="C826">
        <v>19</v>
      </c>
      <c r="D826">
        <v>5</v>
      </c>
      <c r="E826" t="s">
        <v>23</v>
      </c>
      <c r="F826" t="s">
        <v>81</v>
      </c>
      <c r="G826" t="s">
        <v>28</v>
      </c>
    </row>
    <row r="827" spans="1:7" x14ac:dyDescent="0.25">
      <c r="A827" t="s">
        <v>67</v>
      </c>
      <c r="B827">
        <v>47</v>
      </c>
      <c r="C827">
        <v>-3</v>
      </c>
      <c r="D827">
        <v>2</v>
      </c>
      <c r="E827" t="s">
        <v>23</v>
      </c>
      <c r="F827" t="s">
        <v>57</v>
      </c>
      <c r="G827" t="s">
        <v>28</v>
      </c>
    </row>
    <row r="828" spans="1:7" x14ac:dyDescent="0.25">
      <c r="A828" t="s">
        <v>78</v>
      </c>
      <c r="B828">
        <v>122</v>
      </c>
      <c r="C828">
        <v>-47</v>
      </c>
      <c r="D828">
        <v>4</v>
      </c>
      <c r="E828" t="s">
        <v>23</v>
      </c>
      <c r="F828" t="s">
        <v>26</v>
      </c>
      <c r="G828" t="s">
        <v>14</v>
      </c>
    </row>
    <row r="829" spans="1:7" x14ac:dyDescent="0.25">
      <c r="A829" t="s">
        <v>330</v>
      </c>
      <c r="B829">
        <v>70</v>
      </c>
      <c r="C829">
        <v>26</v>
      </c>
      <c r="D829">
        <v>5</v>
      </c>
      <c r="E829" t="s">
        <v>23</v>
      </c>
      <c r="F829" t="s">
        <v>30</v>
      </c>
      <c r="G829" t="s">
        <v>10</v>
      </c>
    </row>
    <row r="830" spans="1:7" x14ac:dyDescent="0.25">
      <c r="A830" t="s">
        <v>263</v>
      </c>
      <c r="B830">
        <v>155</v>
      </c>
      <c r="C830">
        <v>5</v>
      </c>
      <c r="D830">
        <v>3</v>
      </c>
      <c r="E830" t="s">
        <v>23</v>
      </c>
      <c r="F830" t="s">
        <v>57</v>
      </c>
      <c r="G830" t="s">
        <v>14</v>
      </c>
    </row>
    <row r="831" spans="1:7" x14ac:dyDescent="0.25">
      <c r="A831" t="s">
        <v>420</v>
      </c>
      <c r="B831">
        <v>67</v>
      </c>
      <c r="C831">
        <v>-86</v>
      </c>
      <c r="D831">
        <v>9</v>
      </c>
      <c r="E831" t="s">
        <v>12</v>
      </c>
      <c r="F831" t="s">
        <v>131</v>
      </c>
      <c r="G831" t="s">
        <v>10</v>
      </c>
    </row>
    <row r="832" spans="1:7" x14ac:dyDescent="0.25">
      <c r="A832" t="s">
        <v>99</v>
      </c>
      <c r="B832">
        <v>67</v>
      </c>
      <c r="C832">
        <v>-42</v>
      </c>
      <c r="D832">
        <v>3</v>
      </c>
      <c r="E832" t="s">
        <v>23</v>
      </c>
      <c r="F832" t="s">
        <v>57</v>
      </c>
      <c r="G832" t="s">
        <v>10</v>
      </c>
    </row>
    <row r="833" spans="1:7" x14ac:dyDescent="0.25">
      <c r="A833" t="s">
        <v>64</v>
      </c>
      <c r="B833">
        <v>148</v>
      </c>
      <c r="C833">
        <v>-101</v>
      </c>
      <c r="D833">
        <v>2</v>
      </c>
      <c r="E833" t="s">
        <v>12</v>
      </c>
      <c r="F833" t="s">
        <v>16</v>
      </c>
      <c r="G833" t="s">
        <v>28</v>
      </c>
    </row>
    <row r="834" spans="1:7" x14ac:dyDescent="0.25">
      <c r="A834" t="s">
        <v>228</v>
      </c>
      <c r="B834">
        <v>122</v>
      </c>
      <c r="C834">
        <v>38</v>
      </c>
      <c r="D834">
        <v>6</v>
      </c>
      <c r="E834" t="s">
        <v>23</v>
      </c>
      <c r="F834" t="s">
        <v>81</v>
      </c>
      <c r="G834" t="s">
        <v>19</v>
      </c>
    </row>
    <row r="835" spans="1:7" x14ac:dyDescent="0.25">
      <c r="A835" t="s">
        <v>421</v>
      </c>
      <c r="B835">
        <v>16</v>
      </c>
      <c r="C835">
        <v>-5</v>
      </c>
      <c r="D835">
        <v>2</v>
      </c>
      <c r="E835" t="s">
        <v>23</v>
      </c>
      <c r="F835" t="s">
        <v>57</v>
      </c>
      <c r="G835" t="s">
        <v>28</v>
      </c>
    </row>
    <row r="836" spans="1:7" x14ac:dyDescent="0.25">
      <c r="A836" t="s">
        <v>205</v>
      </c>
      <c r="B836">
        <v>121</v>
      </c>
      <c r="C836">
        <v>-17</v>
      </c>
      <c r="D836">
        <v>3</v>
      </c>
      <c r="E836" t="s">
        <v>12</v>
      </c>
      <c r="F836" t="s">
        <v>131</v>
      </c>
      <c r="G836" t="s">
        <v>19</v>
      </c>
    </row>
    <row r="837" spans="1:7" x14ac:dyDescent="0.25">
      <c r="A837" t="s">
        <v>141</v>
      </c>
      <c r="B837">
        <v>42</v>
      </c>
      <c r="C837">
        <v>-15</v>
      </c>
      <c r="D837">
        <v>12</v>
      </c>
      <c r="E837" t="s">
        <v>23</v>
      </c>
      <c r="F837" t="s">
        <v>43</v>
      </c>
      <c r="G837" t="s">
        <v>28</v>
      </c>
    </row>
    <row r="838" spans="1:7" x14ac:dyDescent="0.25">
      <c r="A838" t="s">
        <v>262</v>
      </c>
      <c r="B838">
        <v>65</v>
      </c>
      <c r="C838">
        <v>-4</v>
      </c>
      <c r="D838">
        <v>6</v>
      </c>
      <c r="E838" t="s">
        <v>23</v>
      </c>
      <c r="F838" t="s">
        <v>30</v>
      </c>
      <c r="G838" t="s">
        <v>10</v>
      </c>
    </row>
    <row r="839" spans="1:7" x14ac:dyDescent="0.25">
      <c r="A839" t="s">
        <v>386</v>
      </c>
      <c r="B839">
        <v>119</v>
      </c>
      <c r="C839">
        <v>-43</v>
      </c>
      <c r="D839">
        <v>7</v>
      </c>
      <c r="E839" t="s">
        <v>23</v>
      </c>
      <c r="F839" t="s">
        <v>32</v>
      </c>
      <c r="G839" t="s">
        <v>19</v>
      </c>
    </row>
    <row r="840" spans="1:7" x14ac:dyDescent="0.25">
      <c r="A840" t="s">
        <v>400</v>
      </c>
      <c r="B840">
        <v>155</v>
      </c>
      <c r="C840">
        <v>56</v>
      </c>
      <c r="D840">
        <v>3</v>
      </c>
      <c r="E840" t="s">
        <v>12</v>
      </c>
      <c r="F840" t="s">
        <v>131</v>
      </c>
      <c r="G840" t="s">
        <v>14</v>
      </c>
    </row>
    <row r="841" spans="1:7" x14ac:dyDescent="0.25">
      <c r="A841" t="s">
        <v>20</v>
      </c>
      <c r="B841">
        <v>119</v>
      </c>
      <c r="C841">
        <v>-5</v>
      </c>
      <c r="D841">
        <v>8</v>
      </c>
      <c r="E841" t="s">
        <v>23</v>
      </c>
      <c r="F841" t="s">
        <v>26</v>
      </c>
      <c r="G841" t="s">
        <v>19</v>
      </c>
    </row>
    <row r="842" spans="1:7" x14ac:dyDescent="0.25">
      <c r="A842" t="s">
        <v>422</v>
      </c>
      <c r="B842">
        <v>118</v>
      </c>
      <c r="C842">
        <v>25</v>
      </c>
      <c r="D842">
        <v>4</v>
      </c>
      <c r="E842" t="s">
        <v>23</v>
      </c>
      <c r="F842" t="s">
        <v>30</v>
      </c>
      <c r="G842" t="s">
        <v>19</v>
      </c>
    </row>
    <row r="843" spans="1:7" x14ac:dyDescent="0.25">
      <c r="A843" t="s">
        <v>132</v>
      </c>
      <c r="B843">
        <v>116</v>
      </c>
      <c r="C843">
        <v>22</v>
      </c>
      <c r="D843">
        <v>1</v>
      </c>
      <c r="E843" t="s">
        <v>8</v>
      </c>
      <c r="F843" t="s">
        <v>73</v>
      </c>
      <c r="G843" t="s">
        <v>19</v>
      </c>
    </row>
    <row r="844" spans="1:7" x14ac:dyDescent="0.25">
      <c r="A844" t="s">
        <v>46</v>
      </c>
      <c r="B844">
        <v>158</v>
      </c>
      <c r="C844">
        <v>-29</v>
      </c>
      <c r="D844">
        <v>10</v>
      </c>
      <c r="E844" t="s">
        <v>23</v>
      </c>
      <c r="F844" t="s">
        <v>30</v>
      </c>
      <c r="G844" t="s">
        <v>14</v>
      </c>
    </row>
    <row r="845" spans="1:7" x14ac:dyDescent="0.25">
      <c r="A845" t="s">
        <v>323</v>
      </c>
      <c r="B845">
        <v>158</v>
      </c>
      <c r="C845">
        <v>69</v>
      </c>
      <c r="D845">
        <v>3</v>
      </c>
      <c r="E845" t="s">
        <v>23</v>
      </c>
      <c r="F845" t="s">
        <v>57</v>
      </c>
      <c r="G845" t="s">
        <v>14</v>
      </c>
    </row>
    <row r="846" spans="1:7" x14ac:dyDescent="0.25">
      <c r="A846" t="s">
        <v>288</v>
      </c>
      <c r="B846">
        <v>65</v>
      </c>
      <c r="C846">
        <v>-52</v>
      </c>
      <c r="D846">
        <v>3</v>
      </c>
      <c r="E846" t="s">
        <v>8</v>
      </c>
      <c r="F846" t="s">
        <v>73</v>
      </c>
      <c r="G846" t="s">
        <v>10</v>
      </c>
    </row>
    <row r="847" spans="1:7" x14ac:dyDescent="0.25">
      <c r="A847" t="s">
        <v>423</v>
      </c>
      <c r="B847">
        <v>160</v>
      </c>
      <c r="C847">
        <v>-59</v>
      </c>
      <c r="D847">
        <v>2</v>
      </c>
      <c r="E847" t="s">
        <v>23</v>
      </c>
      <c r="F847" t="s">
        <v>26</v>
      </c>
      <c r="G847" t="s">
        <v>14</v>
      </c>
    </row>
    <row r="848" spans="1:7" x14ac:dyDescent="0.25">
      <c r="A848" t="s">
        <v>74</v>
      </c>
      <c r="B848">
        <v>162</v>
      </c>
      <c r="C848">
        <v>20</v>
      </c>
      <c r="D848">
        <v>3</v>
      </c>
      <c r="E848" t="s">
        <v>12</v>
      </c>
      <c r="F848" t="s">
        <v>13</v>
      </c>
      <c r="G848" t="s">
        <v>14</v>
      </c>
    </row>
    <row r="849" spans="1:7" x14ac:dyDescent="0.25">
      <c r="A849" t="s">
        <v>184</v>
      </c>
      <c r="B849">
        <v>63</v>
      </c>
      <c r="C849">
        <v>1</v>
      </c>
      <c r="D849">
        <v>4</v>
      </c>
      <c r="E849" t="s">
        <v>23</v>
      </c>
      <c r="F849" t="s">
        <v>81</v>
      </c>
      <c r="G849" t="s">
        <v>10</v>
      </c>
    </row>
    <row r="850" spans="1:7" x14ac:dyDescent="0.25">
      <c r="A850" t="s">
        <v>424</v>
      </c>
      <c r="B850">
        <v>64</v>
      </c>
      <c r="C850">
        <v>27</v>
      </c>
      <c r="D850">
        <v>5</v>
      </c>
      <c r="E850" t="s">
        <v>23</v>
      </c>
      <c r="F850" t="s">
        <v>30</v>
      </c>
      <c r="G850" t="s">
        <v>28</v>
      </c>
    </row>
    <row r="851" spans="1:7" x14ac:dyDescent="0.25">
      <c r="A851" t="s">
        <v>425</v>
      </c>
      <c r="B851">
        <v>166</v>
      </c>
      <c r="C851">
        <v>-113</v>
      </c>
      <c r="D851">
        <v>4</v>
      </c>
      <c r="E851" t="s">
        <v>8</v>
      </c>
      <c r="F851" t="s">
        <v>73</v>
      </c>
      <c r="G851" t="s">
        <v>14</v>
      </c>
    </row>
    <row r="852" spans="1:7" x14ac:dyDescent="0.25">
      <c r="A852" t="s">
        <v>426</v>
      </c>
      <c r="B852">
        <v>167</v>
      </c>
      <c r="C852">
        <v>43</v>
      </c>
      <c r="D852">
        <v>7</v>
      </c>
      <c r="E852" t="s">
        <v>23</v>
      </c>
      <c r="F852" t="s">
        <v>81</v>
      </c>
      <c r="G852" t="s">
        <v>14</v>
      </c>
    </row>
    <row r="853" spans="1:7" x14ac:dyDescent="0.25">
      <c r="A853" t="s">
        <v>427</v>
      </c>
      <c r="B853">
        <v>123</v>
      </c>
      <c r="C853">
        <v>17</v>
      </c>
      <c r="D853">
        <v>3</v>
      </c>
      <c r="E853" t="s">
        <v>12</v>
      </c>
      <c r="F853" t="s">
        <v>131</v>
      </c>
      <c r="G853" t="s">
        <v>10</v>
      </c>
    </row>
    <row r="854" spans="1:7" x14ac:dyDescent="0.25">
      <c r="A854" t="s">
        <v>125</v>
      </c>
      <c r="B854">
        <v>63</v>
      </c>
      <c r="C854">
        <v>14</v>
      </c>
      <c r="D854">
        <v>2</v>
      </c>
      <c r="E854" t="s">
        <v>23</v>
      </c>
      <c r="F854" t="s">
        <v>142</v>
      </c>
      <c r="G854" t="s">
        <v>10</v>
      </c>
    </row>
    <row r="855" spans="1:7" x14ac:dyDescent="0.25">
      <c r="A855" t="s">
        <v>328</v>
      </c>
      <c r="B855">
        <v>891</v>
      </c>
      <c r="C855">
        <v>0</v>
      </c>
      <c r="D855">
        <v>5</v>
      </c>
      <c r="E855" t="s">
        <v>23</v>
      </c>
      <c r="F855" t="s">
        <v>26</v>
      </c>
      <c r="G855" t="s">
        <v>10</v>
      </c>
    </row>
    <row r="856" spans="1:7" x14ac:dyDescent="0.25">
      <c r="A856" t="s">
        <v>198</v>
      </c>
      <c r="B856">
        <v>75</v>
      </c>
      <c r="C856">
        <v>28</v>
      </c>
      <c r="D856">
        <v>9</v>
      </c>
      <c r="E856" t="s">
        <v>23</v>
      </c>
      <c r="F856" t="s">
        <v>30</v>
      </c>
      <c r="G856" t="s">
        <v>28</v>
      </c>
    </row>
    <row r="857" spans="1:7" x14ac:dyDescent="0.25">
      <c r="A857" t="s">
        <v>271</v>
      </c>
      <c r="B857">
        <v>62</v>
      </c>
      <c r="C857">
        <v>6</v>
      </c>
      <c r="D857">
        <v>5</v>
      </c>
      <c r="E857" t="s">
        <v>23</v>
      </c>
      <c r="F857" t="s">
        <v>30</v>
      </c>
      <c r="G857" t="s">
        <v>10</v>
      </c>
    </row>
    <row r="858" spans="1:7" x14ac:dyDescent="0.25">
      <c r="A858" t="s">
        <v>340</v>
      </c>
      <c r="B858">
        <v>29</v>
      </c>
      <c r="C858">
        <v>-18</v>
      </c>
      <c r="D858">
        <v>7</v>
      </c>
      <c r="E858" t="s">
        <v>23</v>
      </c>
      <c r="F858" t="s">
        <v>43</v>
      </c>
      <c r="G858" t="s">
        <v>28</v>
      </c>
    </row>
    <row r="859" spans="1:7" x14ac:dyDescent="0.25">
      <c r="A859" t="s">
        <v>428</v>
      </c>
      <c r="B859">
        <v>168</v>
      </c>
      <c r="C859">
        <v>18</v>
      </c>
      <c r="D859">
        <v>6</v>
      </c>
      <c r="E859" t="s">
        <v>23</v>
      </c>
      <c r="F859" t="s">
        <v>57</v>
      </c>
      <c r="G859" t="s">
        <v>82</v>
      </c>
    </row>
    <row r="860" spans="1:7" x14ac:dyDescent="0.25">
      <c r="A860" t="s">
        <v>211</v>
      </c>
      <c r="B860">
        <v>70</v>
      </c>
      <c r="C860">
        <v>24</v>
      </c>
      <c r="D860">
        <v>3</v>
      </c>
      <c r="E860" t="s">
        <v>23</v>
      </c>
      <c r="F860" t="s">
        <v>57</v>
      </c>
      <c r="G860" t="s">
        <v>28</v>
      </c>
    </row>
    <row r="861" spans="1:7" x14ac:dyDescent="0.25">
      <c r="A861" t="s">
        <v>230</v>
      </c>
      <c r="B861">
        <v>169</v>
      </c>
      <c r="C861">
        <v>55</v>
      </c>
      <c r="D861">
        <v>4</v>
      </c>
      <c r="E861" t="s">
        <v>23</v>
      </c>
      <c r="F861" t="s">
        <v>26</v>
      </c>
      <c r="G861" t="s">
        <v>82</v>
      </c>
    </row>
    <row r="862" spans="1:7" x14ac:dyDescent="0.25">
      <c r="A862" t="s">
        <v>152</v>
      </c>
      <c r="B862">
        <v>32</v>
      </c>
      <c r="C862">
        <v>-8</v>
      </c>
      <c r="D862">
        <v>2</v>
      </c>
      <c r="E862" t="s">
        <v>23</v>
      </c>
      <c r="F862" t="s">
        <v>57</v>
      </c>
      <c r="G862" t="s">
        <v>10</v>
      </c>
    </row>
    <row r="863" spans="1:7" x14ac:dyDescent="0.25">
      <c r="A863" t="s">
        <v>119</v>
      </c>
      <c r="B863">
        <v>44</v>
      </c>
      <c r="C863">
        <v>-8</v>
      </c>
      <c r="D863">
        <v>3</v>
      </c>
      <c r="E863" t="s">
        <v>23</v>
      </c>
      <c r="F863" t="s">
        <v>57</v>
      </c>
      <c r="G863" t="s">
        <v>28</v>
      </c>
    </row>
    <row r="864" spans="1:7" x14ac:dyDescent="0.25">
      <c r="A864" t="s">
        <v>107</v>
      </c>
      <c r="B864">
        <v>116</v>
      </c>
      <c r="C864">
        <v>-56</v>
      </c>
      <c r="D864">
        <v>5</v>
      </c>
      <c r="E864" t="s">
        <v>23</v>
      </c>
      <c r="F864" t="s">
        <v>57</v>
      </c>
      <c r="G864" t="s">
        <v>19</v>
      </c>
    </row>
    <row r="865" spans="1:7" x14ac:dyDescent="0.25">
      <c r="A865" t="s">
        <v>429</v>
      </c>
      <c r="B865">
        <v>156</v>
      </c>
      <c r="C865">
        <v>21</v>
      </c>
      <c r="D865">
        <v>3</v>
      </c>
      <c r="E865" t="s">
        <v>12</v>
      </c>
      <c r="F865" t="s">
        <v>13</v>
      </c>
      <c r="G865" t="s">
        <v>10</v>
      </c>
    </row>
    <row r="866" spans="1:7" x14ac:dyDescent="0.25">
      <c r="A866" t="s">
        <v>173</v>
      </c>
      <c r="B866">
        <v>62</v>
      </c>
      <c r="C866">
        <v>6</v>
      </c>
      <c r="D866">
        <v>6</v>
      </c>
      <c r="E866" t="s">
        <v>23</v>
      </c>
      <c r="F866" t="s">
        <v>43</v>
      </c>
      <c r="G866" t="s">
        <v>10</v>
      </c>
    </row>
    <row r="867" spans="1:7" x14ac:dyDescent="0.25">
      <c r="A867" t="s">
        <v>50</v>
      </c>
      <c r="B867">
        <v>54</v>
      </c>
      <c r="C867">
        <v>1</v>
      </c>
      <c r="D867">
        <v>2</v>
      </c>
      <c r="E867" t="s">
        <v>23</v>
      </c>
      <c r="F867" t="s">
        <v>26</v>
      </c>
      <c r="G867" t="s">
        <v>28</v>
      </c>
    </row>
    <row r="868" spans="1:7" x14ac:dyDescent="0.25">
      <c r="A868" t="s">
        <v>179</v>
      </c>
      <c r="B868">
        <v>111</v>
      </c>
      <c r="C868">
        <v>11</v>
      </c>
      <c r="D868">
        <v>9</v>
      </c>
      <c r="E868" t="s">
        <v>23</v>
      </c>
      <c r="F868" t="s">
        <v>30</v>
      </c>
      <c r="G868" t="s">
        <v>19</v>
      </c>
    </row>
    <row r="869" spans="1:7" x14ac:dyDescent="0.25">
      <c r="A869" t="s">
        <v>430</v>
      </c>
      <c r="B869">
        <v>158</v>
      </c>
      <c r="C869">
        <v>-63</v>
      </c>
      <c r="D869">
        <v>4</v>
      </c>
      <c r="E869" t="s">
        <v>12</v>
      </c>
      <c r="F869" t="s">
        <v>13</v>
      </c>
      <c r="G869" t="s">
        <v>28</v>
      </c>
    </row>
    <row r="870" spans="1:7" x14ac:dyDescent="0.25">
      <c r="A870" t="s">
        <v>215</v>
      </c>
      <c r="B870">
        <v>7</v>
      </c>
      <c r="C870">
        <v>-3</v>
      </c>
      <c r="D870">
        <v>2</v>
      </c>
      <c r="E870" t="s">
        <v>23</v>
      </c>
      <c r="F870" t="s">
        <v>43</v>
      </c>
      <c r="G870" t="s">
        <v>28</v>
      </c>
    </row>
    <row r="871" spans="1:7" x14ac:dyDescent="0.25">
      <c r="A871" t="s">
        <v>378</v>
      </c>
      <c r="B871">
        <v>61</v>
      </c>
      <c r="C871">
        <v>28</v>
      </c>
      <c r="D871">
        <v>2</v>
      </c>
      <c r="E871" t="s">
        <v>23</v>
      </c>
      <c r="F871" t="s">
        <v>30</v>
      </c>
      <c r="G871" t="s">
        <v>28</v>
      </c>
    </row>
    <row r="872" spans="1:7" x14ac:dyDescent="0.25">
      <c r="A872" t="s">
        <v>208</v>
      </c>
      <c r="B872">
        <v>61</v>
      </c>
      <c r="C872">
        <v>-50</v>
      </c>
      <c r="D872">
        <v>4</v>
      </c>
      <c r="E872" t="s">
        <v>23</v>
      </c>
      <c r="F872" t="s">
        <v>30</v>
      </c>
      <c r="G872" t="s">
        <v>10</v>
      </c>
    </row>
    <row r="873" spans="1:7" x14ac:dyDescent="0.25">
      <c r="A873" t="s">
        <v>306</v>
      </c>
      <c r="B873">
        <v>154</v>
      </c>
      <c r="C873">
        <v>26</v>
      </c>
      <c r="D873">
        <v>4</v>
      </c>
      <c r="E873" t="s">
        <v>8</v>
      </c>
      <c r="F873" t="s">
        <v>73</v>
      </c>
      <c r="G873" t="s">
        <v>10</v>
      </c>
    </row>
    <row r="874" spans="1:7" x14ac:dyDescent="0.25">
      <c r="A874" t="s">
        <v>31</v>
      </c>
      <c r="B874">
        <v>62</v>
      </c>
      <c r="C874">
        <v>1</v>
      </c>
      <c r="D874">
        <v>3</v>
      </c>
      <c r="E874" t="s">
        <v>23</v>
      </c>
      <c r="F874" t="s">
        <v>26</v>
      </c>
      <c r="G874" t="s">
        <v>10</v>
      </c>
    </row>
    <row r="875" spans="1:7" x14ac:dyDescent="0.25">
      <c r="A875" t="s">
        <v>431</v>
      </c>
      <c r="B875">
        <v>169</v>
      </c>
      <c r="C875">
        <v>38</v>
      </c>
      <c r="D875">
        <v>3</v>
      </c>
      <c r="E875" t="s">
        <v>23</v>
      </c>
      <c r="F875" t="s">
        <v>26</v>
      </c>
      <c r="G875" t="s">
        <v>82</v>
      </c>
    </row>
    <row r="876" spans="1:7" x14ac:dyDescent="0.25">
      <c r="A876" t="s">
        <v>408</v>
      </c>
      <c r="B876">
        <v>61</v>
      </c>
      <c r="C876">
        <v>18</v>
      </c>
      <c r="D876">
        <v>2</v>
      </c>
      <c r="E876" t="s">
        <v>8</v>
      </c>
      <c r="F876" t="s">
        <v>73</v>
      </c>
      <c r="G876" t="s">
        <v>10</v>
      </c>
    </row>
    <row r="877" spans="1:7" x14ac:dyDescent="0.25">
      <c r="A877" t="s">
        <v>123</v>
      </c>
      <c r="B877">
        <v>61</v>
      </c>
      <c r="C877">
        <v>-23</v>
      </c>
      <c r="D877">
        <v>2</v>
      </c>
      <c r="E877" t="s">
        <v>23</v>
      </c>
      <c r="F877" t="s">
        <v>26</v>
      </c>
      <c r="G877" t="s">
        <v>10</v>
      </c>
    </row>
    <row r="878" spans="1:7" x14ac:dyDescent="0.25">
      <c r="A878" t="s">
        <v>432</v>
      </c>
      <c r="B878">
        <v>171</v>
      </c>
      <c r="C878">
        <v>14</v>
      </c>
      <c r="D878">
        <v>9</v>
      </c>
      <c r="E878" t="s">
        <v>23</v>
      </c>
      <c r="F878" t="s">
        <v>142</v>
      </c>
      <c r="G878" t="s">
        <v>82</v>
      </c>
    </row>
    <row r="879" spans="1:7" x14ac:dyDescent="0.25">
      <c r="A879" t="s">
        <v>276</v>
      </c>
      <c r="B879">
        <v>60</v>
      </c>
      <c r="C879">
        <v>-49</v>
      </c>
      <c r="D879">
        <v>8</v>
      </c>
      <c r="E879" t="s">
        <v>23</v>
      </c>
      <c r="F879" t="s">
        <v>30</v>
      </c>
      <c r="G879" t="s">
        <v>10</v>
      </c>
    </row>
    <row r="880" spans="1:7" x14ac:dyDescent="0.25">
      <c r="A880" t="s">
        <v>388</v>
      </c>
      <c r="B880">
        <v>25</v>
      </c>
      <c r="C880">
        <v>-11</v>
      </c>
      <c r="D880">
        <v>1</v>
      </c>
      <c r="E880" t="s">
        <v>23</v>
      </c>
      <c r="F880" t="s">
        <v>57</v>
      </c>
      <c r="G880" t="s">
        <v>28</v>
      </c>
    </row>
    <row r="881" spans="1:7" x14ac:dyDescent="0.25">
      <c r="A881" t="s">
        <v>188</v>
      </c>
      <c r="B881">
        <v>163</v>
      </c>
      <c r="C881">
        <v>26</v>
      </c>
      <c r="D881">
        <v>4</v>
      </c>
      <c r="E881" t="s">
        <v>23</v>
      </c>
      <c r="F881" t="s">
        <v>142</v>
      </c>
      <c r="G881" t="s">
        <v>10</v>
      </c>
    </row>
    <row r="882" spans="1:7" x14ac:dyDescent="0.25">
      <c r="A882" t="s">
        <v>164</v>
      </c>
      <c r="B882">
        <v>173</v>
      </c>
      <c r="C882">
        <v>86</v>
      </c>
      <c r="D882">
        <v>1</v>
      </c>
      <c r="E882" t="s">
        <v>8</v>
      </c>
      <c r="F882" t="s">
        <v>18</v>
      </c>
      <c r="G882" t="s">
        <v>82</v>
      </c>
    </row>
    <row r="883" spans="1:7" x14ac:dyDescent="0.25">
      <c r="A883" t="s">
        <v>67</v>
      </c>
      <c r="B883">
        <v>257</v>
      </c>
      <c r="C883">
        <v>-3</v>
      </c>
      <c r="D883">
        <v>2</v>
      </c>
      <c r="E883" t="s">
        <v>12</v>
      </c>
      <c r="F883" t="s">
        <v>16</v>
      </c>
      <c r="G883" t="s">
        <v>28</v>
      </c>
    </row>
    <row r="884" spans="1:7" x14ac:dyDescent="0.25">
      <c r="A884" t="s">
        <v>433</v>
      </c>
      <c r="B884">
        <v>108</v>
      </c>
      <c r="C884">
        <v>37</v>
      </c>
      <c r="D884">
        <v>2</v>
      </c>
      <c r="E884" t="s">
        <v>23</v>
      </c>
      <c r="F884" t="s">
        <v>57</v>
      </c>
      <c r="G884" t="s">
        <v>19</v>
      </c>
    </row>
    <row r="885" spans="1:7" x14ac:dyDescent="0.25">
      <c r="A885" t="s">
        <v>434</v>
      </c>
      <c r="B885">
        <v>177</v>
      </c>
      <c r="C885">
        <v>41</v>
      </c>
      <c r="D885">
        <v>4</v>
      </c>
      <c r="E885" t="s">
        <v>23</v>
      </c>
      <c r="F885" t="s">
        <v>142</v>
      </c>
      <c r="G885" t="s">
        <v>82</v>
      </c>
    </row>
    <row r="886" spans="1:7" x14ac:dyDescent="0.25">
      <c r="A886" t="s">
        <v>104</v>
      </c>
      <c r="B886">
        <v>106</v>
      </c>
      <c r="C886">
        <v>15</v>
      </c>
      <c r="D886">
        <v>7</v>
      </c>
      <c r="E886" t="s">
        <v>23</v>
      </c>
      <c r="F886" t="s">
        <v>30</v>
      </c>
      <c r="G886" t="s">
        <v>19</v>
      </c>
    </row>
    <row r="887" spans="1:7" x14ac:dyDescent="0.25">
      <c r="A887" t="s">
        <v>54</v>
      </c>
      <c r="B887">
        <v>41</v>
      </c>
      <c r="C887">
        <v>-14</v>
      </c>
      <c r="D887">
        <v>5</v>
      </c>
      <c r="E887" t="s">
        <v>23</v>
      </c>
      <c r="F887" t="s">
        <v>63</v>
      </c>
      <c r="G887" t="s">
        <v>28</v>
      </c>
    </row>
    <row r="888" spans="1:7" x14ac:dyDescent="0.25">
      <c r="A888" t="s">
        <v>117</v>
      </c>
      <c r="B888">
        <v>168</v>
      </c>
      <c r="C888">
        <v>-10</v>
      </c>
      <c r="D888">
        <v>3</v>
      </c>
      <c r="E888" t="s">
        <v>8</v>
      </c>
      <c r="F888" t="s">
        <v>73</v>
      </c>
      <c r="G888" t="s">
        <v>28</v>
      </c>
    </row>
    <row r="889" spans="1:7" x14ac:dyDescent="0.25">
      <c r="A889" t="s">
        <v>139</v>
      </c>
      <c r="B889">
        <v>60</v>
      </c>
      <c r="C889">
        <v>21</v>
      </c>
      <c r="D889">
        <v>4</v>
      </c>
      <c r="E889" t="s">
        <v>23</v>
      </c>
      <c r="F889" t="s">
        <v>57</v>
      </c>
      <c r="G889" t="s">
        <v>10</v>
      </c>
    </row>
    <row r="890" spans="1:7" x14ac:dyDescent="0.25">
      <c r="A890" t="s">
        <v>435</v>
      </c>
      <c r="B890">
        <v>31</v>
      </c>
      <c r="C890">
        <v>-11</v>
      </c>
      <c r="D890">
        <v>4</v>
      </c>
      <c r="E890" t="s">
        <v>23</v>
      </c>
      <c r="F890" t="s">
        <v>57</v>
      </c>
      <c r="G890" t="s">
        <v>10</v>
      </c>
    </row>
    <row r="891" spans="1:7" x14ac:dyDescent="0.25">
      <c r="A891" t="s">
        <v>228</v>
      </c>
      <c r="B891">
        <v>179</v>
      </c>
      <c r="C891">
        <v>0</v>
      </c>
      <c r="D891">
        <v>2</v>
      </c>
      <c r="E891" t="s">
        <v>23</v>
      </c>
      <c r="F891" t="s">
        <v>26</v>
      </c>
      <c r="G891" t="s">
        <v>82</v>
      </c>
    </row>
    <row r="892" spans="1:7" x14ac:dyDescent="0.25">
      <c r="A892" t="s">
        <v>172</v>
      </c>
      <c r="B892">
        <v>106</v>
      </c>
      <c r="C892">
        <v>12</v>
      </c>
      <c r="D892">
        <v>3</v>
      </c>
      <c r="E892" t="s">
        <v>23</v>
      </c>
      <c r="F892" t="s">
        <v>24</v>
      </c>
      <c r="G892" t="s">
        <v>19</v>
      </c>
    </row>
    <row r="893" spans="1:7" x14ac:dyDescent="0.25">
      <c r="A893" t="s">
        <v>294</v>
      </c>
      <c r="B893">
        <v>60</v>
      </c>
      <c r="C893">
        <v>13</v>
      </c>
      <c r="D893">
        <v>2</v>
      </c>
      <c r="E893" t="s">
        <v>23</v>
      </c>
      <c r="F893" t="s">
        <v>81</v>
      </c>
      <c r="G893" t="s">
        <v>10</v>
      </c>
    </row>
    <row r="894" spans="1:7" x14ac:dyDescent="0.25">
      <c r="A894" t="s">
        <v>149</v>
      </c>
      <c r="B894">
        <v>180</v>
      </c>
      <c r="C894">
        <v>5</v>
      </c>
      <c r="D894">
        <v>3</v>
      </c>
      <c r="E894" t="s">
        <v>23</v>
      </c>
      <c r="F894" t="s">
        <v>24</v>
      </c>
      <c r="G894" t="s">
        <v>82</v>
      </c>
    </row>
    <row r="895" spans="1:7" x14ac:dyDescent="0.25">
      <c r="A895" t="s">
        <v>134</v>
      </c>
      <c r="B895">
        <v>60</v>
      </c>
      <c r="C895">
        <v>-10</v>
      </c>
      <c r="D895">
        <v>2</v>
      </c>
      <c r="E895" t="s">
        <v>12</v>
      </c>
      <c r="F895" t="s">
        <v>131</v>
      </c>
      <c r="G895" t="s">
        <v>10</v>
      </c>
    </row>
    <row r="896" spans="1:7" x14ac:dyDescent="0.25">
      <c r="A896" t="s">
        <v>389</v>
      </c>
      <c r="B896">
        <v>59</v>
      </c>
      <c r="C896">
        <v>25</v>
      </c>
      <c r="D896">
        <v>3</v>
      </c>
      <c r="E896" t="s">
        <v>23</v>
      </c>
      <c r="F896" t="s">
        <v>57</v>
      </c>
      <c r="G896" t="s">
        <v>10</v>
      </c>
    </row>
    <row r="897" spans="1:7" x14ac:dyDescent="0.25">
      <c r="A897" t="s">
        <v>84</v>
      </c>
      <c r="B897">
        <v>170</v>
      </c>
      <c r="C897">
        <v>73</v>
      </c>
      <c r="D897">
        <v>2</v>
      </c>
      <c r="E897" t="s">
        <v>8</v>
      </c>
      <c r="F897" t="s">
        <v>73</v>
      </c>
      <c r="G897" t="s">
        <v>28</v>
      </c>
    </row>
    <row r="898" spans="1:7" x14ac:dyDescent="0.25">
      <c r="A898" t="s">
        <v>394</v>
      </c>
      <c r="B898">
        <v>59</v>
      </c>
      <c r="C898">
        <v>10</v>
      </c>
      <c r="D898">
        <v>2</v>
      </c>
      <c r="E898" t="s">
        <v>23</v>
      </c>
      <c r="F898" t="s">
        <v>30</v>
      </c>
      <c r="G898" t="s">
        <v>10</v>
      </c>
    </row>
    <row r="899" spans="1:7" x14ac:dyDescent="0.25">
      <c r="A899" t="s">
        <v>308</v>
      </c>
      <c r="B899">
        <v>24</v>
      </c>
      <c r="C899">
        <v>-21</v>
      </c>
      <c r="D899">
        <v>7</v>
      </c>
      <c r="E899" t="s">
        <v>23</v>
      </c>
      <c r="F899" t="s">
        <v>43</v>
      </c>
      <c r="G899" t="s">
        <v>10</v>
      </c>
    </row>
    <row r="900" spans="1:7" x14ac:dyDescent="0.25">
      <c r="A900" t="s">
        <v>59</v>
      </c>
      <c r="B900">
        <v>105</v>
      </c>
      <c r="C900">
        <v>-26</v>
      </c>
      <c r="D900">
        <v>8</v>
      </c>
      <c r="E900" t="s">
        <v>23</v>
      </c>
      <c r="F900" t="s">
        <v>63</v>
      </c>
      <c r="G900" t="s">
        <v>19</v>
      </c>
    </row>
    <row r="901" spans="1:7" x14ac:dyDescent="0.25">
      <c r="A901" t="s">
        <v>243</v>
      </c>
      <c r="B901">
        <v>103</v>
      </c>
      <c r="C901">
        <v>46</v>
      </c>
      <c r="D901">
        <v>2</v>
      </c>
      <c r="E901" t="s">
        <v>23</v>
      </c>
      <c r="F901" t="s">
        <v>26</v>
      </c>
      <c r="G901" t="s">
        <v>19</v>
      </c>
    </row>
    <row r="902" spans="1:7" x14ac:dyDescent="0.25">
      <c r="A902" t="s">
        <v>436</v>
      </c>
      <c r="B902">
        <v>171</v>
      </c>
      <c r="C902">
        <v>17</v>
      </c>
      <c r="D902">
        <v>6</v>
      </c>
      <c r="E902" t="s">
        <v>23</v>
      </c>
      <c r="F902" t="s">
        <v>81</v>
      </c>
      <c r="G902" t="s">
        <v>28</v>
      </c>
    </row>
    <row r="903" spans="1:7" x14ac:dyDescent="0.25">
      <c r="A903" t="s">
        <v>179</v>
      </c>
      <c r="B903">
        <v>102</v>
      </c>
      <c r="C903">
        <v>13</v>
      </c>
      <c r="D903">
        <v>2</v>
      </c>
      <c r="E903" t="s">
        <v>23</v>
      </c>
      <c r="F903" t="s">
        <v>57</v>
      </c>
      <c r="G903" t="s">
        <v>19</v>
      </c>
    </row>
    <row r="904" spans="1:7" x14ac:dyDescent="0.25">
      <c r="A904" t="s">
        <v>171</v>
      </c>
      <c r="B904">
        <v>98</v>
      </c>
      <c r="C904">
        <v>12</v>
      </c>
      <c r="D904">
        <v>2</v>
      </c>
      <c r="E904" t="s">
        <v>23</v>
      </c>
      <c r="F904" t="s">
        <v>30</v>
      </c>
      <c r="G904" t="s">
        <v>19</v>
      </c>
    </row>
    <row r="905" spans="1:7" x14ac:dyDescent="0.25">
      <c r="A905" t="s">
        <v>323</v>
      </c>
      <c r="B905">
        <v>59</v>
      </c>
      <c r="C905">
        <v>10</v>
      </c>
      <c r="D905">
        <v>4</v>
      </c>
      <c r="E905" t="s">
        <v>23</v>
      </c>
      <c r="F905" t="s">
        <v>63</v>
      </c>
      <c r="G905" t="s">
        <v>10</v>
      </c>
    </row>
    <row r="906" spans="1:7" x14ac:dyDescent="0.25">
      <c r="A906" t="s">
        <v>328</v>
      </c>
      <c r="B906">
        <v>189</v>
      </c>
      <c r="C906">
        <v>60</v>
      </c>
      <c r="D906">
        <v>4</v>
      </c>
      <c r="E906" t="s">
        <v>12</v>
      </c>
      <c r="F906" t="s">
        <v>131</v>
      </c>
      <c r="G906" t="s">
        <v>82</v>
      </c>
    </row>
    <row r="907" spans="1:7" x14ac:dyDescent="0.25">
      <c r="A907" t="s">
        <v>437</v>
      </c>
      <c r="B907">
        <v>58</v>
      </c>
      <c r="C907">
        <v>-52</v>
      </c>
      <c r="D907">
        <v>3</v>
      </c>
      <c r="E907" t="s">
        <v>12</v>
      </c>
      <c r="F907" t="s">
        <v>13</v>
      </c>
      <c r="G907" t="s">
        <v>10</v>
      </c>
    </row>
    <row r="908" spans="1:7" x14ac:dyDescent="0.25">
      <c r="A908" t="s">
        <v>125</v>
      </c>
      <c r="B908">
        <v>60</v>
      </c>
      <c r="C908">
        <v>3</v>
      </c>
      <c r="D908">
        <v>3</v>
      </c>
      <c r="E908" t="s">
        <v>23</v>
      </c>
      <c r="F908" t="s">
        <v>26</v>
      </c>
      <c r="G908" t="s">
        <v>28</v>
      </c>
    </row>
    <row r="909" spans="1:7" x14ac:dyDescent="0.25">
      <c r="A909" t="s">
        <v>438</v>
      </c>
      <c r="B909">
        <v>58</v>
      </c>
      <c r="C909">
        <v>-8</v>
      </c>
      <c r="D909">
        <v>2</v>
      </c>
      <c r="E909" t="s">
        <v>23</v>
      </c>
      <c r="F909" t="s">
        <v>26</v>
      </c>
      <c r="G909" t="s">
        <v>10</v>
      </c>
    </row>
    <row r="910" spans="1:7" x14ac:dyDescent="0.25">
      <c r="A910" t="s">
        <v>198</v>
      </c>
      <c r="B910">
        <v>94</v>
      </c>
      <c r="C910">
        <v>20</v>
      </c>
      <c r="D910">
        <v>2</v>
      </c>
      <c r="E910" t="s">
        <v>12</v>
      </c>
      <c r="F910" t="s">
        <v>131</v>
      </c>
      <c r="G910" t="s">
        <v>28</v>
      </c>
    </row>
    <row r="911" spans="1:7" x14ac:dyDescent="0.25">
      <c r="A911" t="s">
        <v>149</v>
      </c>
      <c r="B911">
        <v>193</v>
      </c>
      <c r="C911">
        <v>-166</v>
      </c>
      <c r="D911">
        <v>3</v>
      </c>
      <c r="E911" t="s">
        <v>23</v>
      </c>
      <c r="F911" t="s">
        <v>26</v>
      </c>
      <c r="G911" t="s">
        <v>14</v>
      </c>
    </row>
    <row r="912" spans="1:7" x14ac:dyDescent="0.25">
      <c r="A912" t="s">
        <v>235</v>
      </c>
      <c r="B912">
        <v>199</v>
      </c>
      <c r="C912">
        <v>0</v>
      </c>
      <c r="D912">
        <v>4</v>
      </c>
      <c r="E912" t="s">
        <v>23</v>
      </c>
      <c r="F912" t="s">
        <v>57</v>
      </c>
      <c r="G912" t="s">
        <v>14</v>
      </c>
    </row>
    <row r="913" spans="1:7" x14ac:dyDescent="0.25">
      <c r="A913" t="s">
        <v>165</v>
      </c>
      <c r="B913">
        <v>202</v>
      </c>
      <c r="C913">
        <v>89</v>
      </c>
      <c r="D913">
        <v>9</v>
      </c>
      <c r="E913" t="s">
        <v>23</v>
      </c>
      <c r="F913" t="s">
        <v>81</v>
      </c>
      <c r="G913" t="s">
        <v>14</v>
      </c>
    </row>
    <row r="914" spans="1:7" x14ac:dyDescent="0.25">
      <c r="A914" t="s">
        <v>165</v>
      </c>
      <c r="B914">
        <v>58</v>
      </c>
      <c r="C914">
        <v>17</v>
      </c>
      <c r="D914">
        <v>2</v>
      </c>
      <c r="E914" t="s">
        <v>23</v>
      </c>
      <c r="F914" t="s">
        <v>30</v>
      </c>
      <c r="G914" t="s">
        <v>10</v>
      </c>
    </row>
    <row r="915" spans="1:7" x14ac:dyDescent="0.25">
      <c r="A915" t="s">
        <v>439</v>
      </c>
      <c r="B915">
        <v>57</v>
      </c>
      <c r="C915">
        <v>-28</v>
      </c>
      <c r="D915">
        <v>2</v>
      </c>
      <c r="E915" t="s">
        <v>23</v>
      </c>
      <c r="F915" t="s">
        <v>32</v>
      </c>
      <c r="G915" t="s">
        <v>10</v>
      </c>
    </row>
    <row r="916" spans="1:7" x14ac:dyDescent="0.25">
      <c r="A916" t="s">
        <v>134</v>
      </c>
      <c r="B916">
        <v>204</v>
      </c>
      <c r="C916">
        <v>-94</v>
      </c>
      <c r="D916">
        <v>4</v>
      </c>
      <c r="E916" t="s">
        <v>23</v>
      </c>
      <c r="F916" t="s">
        <v>30</v>
      </c>
      <c r="G916" t="s">
        <v>14</v>
      </c>
    </row>
    <row r="917" spans="1:7" x14ac:dyDescent="0.25">
      <c r="A917" t="s">
        <v>440</v>
      </c>
      <c r="B917">
        <v>98</v>
      </c>
      <c r="C917">
        <v>-12</v>
      </c>
      <c r="D917">
        <v>2</v>
      </c>
      <c r="E917" t="s">
        <v>8</v>
      </c>
      <c r="F917" t="s">
        <v>9</v>
      </c>
      <c r="G917" t="s">
        <v>19</v>
      </c>
    </row>
    <row r="918" spans="1:7" x14ac:dyDescent="0.25">
      <c r="A918" t="s">
        <v>141</v>
      </c>
      <c r="B918">
        <v>22</v>
      </c>
      <c r="C918">
        <v>-12</v>
      </c>
      <c r="D918">
        <v>3</v>
      </c>
      <c r="E918" t="s">
        <v>23</v>
      </c>
      <c r="F918" t="s">
        <v>57</v>
      </c>
      <c r="G918" t="s">
        <v>10</v>
      </c>
    </row>
    <row r="919" spans="1:7" x14ac:dyDescent="0.25">
      <c r="A919" t="s">
        <v>113</v>
      </c>
      <c r="B919">
        <v>97</v>
      </c>
      <c r="C919">
        <v>17</v>
      </c>
      <c r="D919">
        <v>2</v>
      </c>
      <c r="E919" t="s">
        <v>23</v>
      </c>
      <c r="F919" t="s">
        <v>57</v>
      </c>
      <c r="G919" t="s">
        <v>19</v>
      </c>
    </row>
    <row r="920" spans="1:7" x14ac:dyDescent="0.25">
      <c r="A920" t="s">
        <v>332</v>
      </c>
      <c r="B920">
        <v>57</v>
      </c>
      <c r="C920">
        <v>24</v>
      </c>
      <c r="D920">
        <v>5</v>
      </c>
      <c r="E920" t="s">
        <v>23</v>
      </c>
      <c r="F920" t="s">
        <v>63</v>
      </c>
      <c r="G920" t="s">
        <v>10</v>
      </c>
    </row>
    <row r="921" spans="1:7" x14ac:dyDescent="0.25">
      <c r="A921" t="s">
        <v>441</v>
      </c>
      <c r="B921">
        <v>97</v>
      </c>
      <c r="C921">
        <v>14</v>
      </c>
      <c r="D921">
        <v>2</v>
      </c>
      <c r="E921" t="s">
        <v>23</v>
      </c>
      <c r="F921" t="s">
        <v>81</v>
      </c>
      <c r="G921" t="s">
        <v>19</v>
      </c>
    </row>
    <row r="922" spans="1:7" x14ac:dyDescent="0.25">
      <c r="A922" t="s">
        <v>203</v>
      </c>
      <c r="B922">
        <v>97</v>
      </c>
      <c r="C922">
        <v>17</v>
      </c>
      <c r="D922">
        <v>2</v>
      </c>
      <c r="E922" t="s">
        <v>23</v>
      </c>
      <c r="F922" t="s">
        <v>57</v>
      </c>
      <c r="G922" t="s">
        <v>19</v>
      </c>
    </row>
    <row r="923" spans="1:7" x14ac:dyDescent="0.25">
      <c r="A923" t="s">
        <v>121</v>
      </c>
      <c r="B923">
        <v>96</v>
      </c>
      <c r="C923">
        <v>22</v>
      </c>
      <c r="D923">
        <v>5</v>
      </c>
      <c r="E923" t="s">
        <v>23</v>
      </c>
      <c r="F923" t="s">
        <v>57</v>
      </c>
      <c r="G923" t="s">
        <v>19</v>
      </c>
    </row>
    <row r="924" spans="1:7" x14ac:dyDescent="0.25">
      <c r="A924" t="s">
        <v>146</v>
      </c>
      <c r="B924">
        <v>94</v>
      </c>
      <c r="C924">
        <v>27</v>
      </c>
      <c r="D924">
        <v>2</v>
      </c>
      <c r="E924" t="s">
        <v>23</v>
      </c>
      <c r="F924" t="s">
        <v>142</v>
      </c>
      <c r="G924" t="s">
        <v>19</v>
      </c>
    </row>
    <row r="925" spans="1:7" x14ac:dyDescent="0.25">
      <c r="A925" t="s">
        <v>292</v>
      </c>
      <c r="B925">
        <v>26</v>
      </c>
      <c r="C925">
        <v>-17</v>
      </c>
      <c r="D925">
        <v>1</v>
      </c>
      <c r="E925" t="s">
        <v>23</v>
      </c>
      <c r="F925" t="s">
        <v>57</v>
      </c>
      <c r="G925" t="s">
        <v>10</v>
      </c>
    </row>
    <row r="926" spans="1:7" x14ac:dyDescent="0.25">
      <c r="A926" t="s">
        <v>442</v>
      </c>
      <c r="B926">
        <v>93</v>
      </c>
      <c r="C926">
        <v>44</v>
      </c>
      <c r="D926">
        <v>2</v>
      </c>
      <c r="E926" t="s">
        <v>23</v>
      </c>
      <c r="F926" t="s">
        <v>57</v>
      </c>
      <c r="G926" t="s">
        <v>19</v>
      </c>
    </row>
    <row r="927" spans="1:7" x14ac:dyDescent="0.25">
      <c r="A927" t="s">
        <v>54</v>
      </c>
      <c r="B927">
        <v>93</v>
      </c>
      <c r="C927">
        <v>-65</v>
      </c>
      <c r="D927">
        <v>4</v>
      </c>
      <c r="E927" t="s">
        <v>23</v>
      </c>
      <c r="F927" t="s">
        <v>57</v>
      </c>
      <c r="G927" t="s">
        <v>19</v>
      </c>
    </row>
    <row r="928" spans="1:7" x14ac:dyDescent="0.25">
      <c r="A928" t="s">
        <v>254</v>
      </c>
      <c r="B928">
        <v>92</v>
      </c>
      <c r="C928">
        <v>5</v>
      </c>
      <c r="D928">
        <v>6</v>
      </c>
      <c r="E928" t="s">
        <v>23</v>
      </c>
      <c r="F928" t="s">
        <v>30</v>
      </c>
      <c r="G928" t="s">
        <v>19</v>
      </c>
    </row>
    <row r="929" spans="1:7" x14ac:dyDescent="0.25">
      <c r="A929" t="s">
        <v>31</v>
      </c>
      <c r="B929">
        <v>57</v>
      </c>
      <c r="C929">
        <v>27</v>
      </c>
      <c r="D929">
        <v>2</v>
      </c>
      <c r="E929" t="s">
        <v>23</v>
      </c>
      <c r="F929" t="s">
        <v>81</v>
      </c>
      <c r="G929" t="s">
        <v>10</v>
      </c>
    </row>
    <row r="930" spans="1:7" x14ac:dyDescent="0.25">
      <c r="A930" t="s">
        <v>170</v>
      </c>
      <c r="B930">
        <v>57</v>
      </c>
      <c r="C930">
        <v>7</v>
      </c>
      <c r="D930">
        <v>3</v>
      </c>
      <c r="E930" t="s">
        <v>12</v>
      </c>
      <c r="F930" t="s">
        <v>131</v>
      </c>
      <c r="G930" t="s">
        <v>10</v>
      </c>
    </row>
    <row r="931" spans="1:7" x14ac:dyDescent="0.25">
      <c r="A931" t="s">
        <v>443</v>
      </c>
      <c r="B931">
        <v>57</v>
      </c>
      <c r="C931">
        <v>21</v>
      </c>
      <c r="D931">
        <v>4</v>
      </c>
      <c r="E931" t="s">
        <v>23</v>
      </c>
      <c r="F931" t="s">
        <v>63</v>
      </c>
      <c r="G931" t="s">
        <v>10</v>
      </c>
    </row>
    <row r="932" spans="1:7" x14ac:dyDescent="0.25">
      <c r="A932" t="s">
        <v>271</v>
      </c>
      <c r="B932">
        <v>128</v>
      </c>
      <c r="C932">
        <v>4</v>
      </c>
      <c r="D932">
        <v>3</v>
      </c>
      <c r="E932" t="s">
        <v>23</v>
      </c>
      <c r="F932" t="s">
        <v>26</v>
      </c>
      <c r="G932" t="s">
        <v>10</v>
      </c>
    </row>
    <row r="933" spans="1:7" x14ac:dyDescent="0.25">
      <c r="A933" t="s">
        <v>64</v>
      </c>
      <c r="B933">
        <v>89</v>
      </c>
      <c r="C933">
        <v>-4</v>
      </c>
      <c r="D933">
        <v>5</v>
      </c>
      <c r="E933" t="s">
        <v>23</v>
      </c>
      <c r="F933" t="s">
        <v>26</v>
      </c>
      <c r="G933" t="s">
        <v>19</v>
      </c>
    </row>
    <row r="934" spans="1:7" x14ac:dyDescent="0.25">
      <c r="A934" t="s">
        <v>164</v>
      </c>
      <c r="B934">
        <v>221</v>
      </c>
      <c r="C934">
        <v>26</v>
      </c>
      <c r="D934">
        <v>7</v>
      </c>
      <c r="E934" t="s">
        <v>12</v>
      </c>
      <c r="F934" t="s">
        <v>131</v>
      </c>
      <c r="G934" t="s">
        <v>10</v>
      </c>
    </row>
    <row r="935" spans="1:7" x14ac:dyDescent="0.25">
      <c r="A935" t="s">
        <v>272</v>
      </c>
      <c r="B935">
        <v>205</v>
      </c>
      <c r="C935">
        <v>-119</v>
      </c>
      <c r="D935">
        <v>3</v>
      </c>
      <c r="E935" t="s">
        <v>23</v>
      </c>
      <c r="F935" t="s">
        <v>26</v>
      </c>
      <c r="G935" t="s">
        <v>82</v>
      </c>
    </row>
    <row r="936" spans="1:7" x14ac:dyDescent="0.25">
      <c r="A936" t="s">
        <v>340</v>
      </c>
      <c r="B936">
        <v>191</v>
      </c>
      <c r="C936">
        <v>51</v>
      </c>
      <c r="D936">
        <v>5</v>
      </c>
      <c r="E936" t="s">
        <v>23</v>
      </c>
      <c r="F936" t="s">
        <v>142</v>
      </c>
      <c r="G936" t="s">
        <v>28</v>
      </c>
    </row>
    <row r="937" spans="1:7" x14ac:dyDescent="0.25">
      <c r="A937" t="s">
        <v>211</v>
      </c>
      <c r="B937">
        <v>206</v>
      </c>
      <c r="C937">
        <v>18</v>
      </c>
      <c r="D937">
        <v>4</v>
      </c>
      <c r="E937" t="s">
        <v>23</v>
      </c>
      <c r="F937" t="s">
        <v>30</v>
      </c>
      <c r="G937" t="s">
        <v>82</v>
      </c>
    </row>
    <row r="938" spans="1:7" x14ac:dyDescent="0.25">
      <c r="A938" t="s">
        <v>224</v>
      </c>
      <c r="B938">
        <v>56</v>
      </c>
      <c r="C938">
        <v>0</v>
      </c>
      <c r="D938">
        <v>4</v>
      </c>
      <c r="E938" t="s">
        <v>23</v>
      </c>
      <c r="F938" t="s">
        <v>30</v>
      </c>
      <c r="G938" t="s">
        <v>10</v>
      </c>
    </row>
    <row r="939" spans="1:7" x14ac:dyDescent="0.25">
      <c r="A939" t="s">
        <v>234</v>
      </c>
      <c r="B939">
        <v>88</v>
      </c>
      <c r="C939">
        <v>16</v>
      </c>
      <c r="D939">
        <v>4</v>
      </c>
      <c r="E939" t="s">
        <v>23</v>
      </c>
      <c r="F939" t="s">
        <v>57</v>
      </c>
      <c r="G939" t="s">
        <v>19</v>
      </c>
    </row>
    <row r="940" spans="1:7" x14ac:dyDescent="0.25">
      <c r="A940" t="s">
        <v>326</v>
      </c>
      <c r="B940">
        <v>224</v>
      </c>
      <c r="C940">
        <v>58</v>
      </c>
      <c r="D940">
        <v>3</v>
      </c>
      <c r="E940" t="s">
        <v>8</v>
      </c>
      <c r="F940" t="s">
        <v>21</v>
      </c>
      <c r="G940" t="s">
        <v>28</v>
      </c>
    </row>
    <row r="941" spans="1:7" x14ac:dyDescent="0.25">
      <c r="A941" t="s">
        <v>444</v>
      </c>
      <c r="B941">
        <v>193</v>
      </c>
      <c r="C941">
        <v>8</v>
      </c>
      <c r="D941">
        <v>4</v>
      </c>
      <c r="E941" t="s">
        <v>23</v>
      </c>
      <c r="F941" t="s">
        <v>81</v>
      </c>
      <c r="G941" t="s">
        <v>28</v>
      </c>
    </row>
    <row r="942" spans="1:7" x14ac:dyDescent="0.25">
      <c r="A942" t="s">
        <v>132</v>
      </c>
      <c r="B942">
        <v>87</v>
      </c>
      <c r="C942">
        <v>36</v>
      </c>
      <c r="D942">
        <v>5</v>
      </c>
      <c r="E942" t="s">
        <v>23</v>
      </c>
      <c r="F942" t="s">
        <v>57</v>
      </c>
      <c r="G942" t="s">
        <v>19</v>
      </c>
    </row>
    <row r="943" spans="1:7" x14ac:dyDescent="0.25">
      <c r="A943" t="s">
        <v>173</v>
      </c>
      <c r="B943">
        <v>189</v>
      </c>
      <c r="C943">
        <v>4</v>
      </c>
      <c r="D943">
        <v>1</v>
      </c>
      <c r="E943" t="s">
        <v>23</v>
      </c>
      <c r="F943" t="s">
        <v>26</v>
      </c>
      <c r="G943" t="s">
        <v>28</v>
      </c>
    </row>
    <row r="944" spans="1:7" x14ac:dyDescent="0.25">
      <c r="A944" t="s">
        <v>227</v>
      </c>
      <c r="B944">
        <v>55</v>
      </c>
      <c r="C944">
        <v>-33</v>
      </c>
      <c r="D944">
        <v>2</v>
      </c>
      <c r="E944" t="s">
        <v>12</v>
      </c>
      <c r="F944" t="s">
        <v>13</v>
      </c>
      <c r="G944" t="s">
        <v>10</v>
      </c>
    </row>
    <row r="945" spans="1:7" x14ac:dyDescent="0.25">
      <c r="A945" t="s">
        <v>445</v>
      </c>
      <c r="B945">
        <v>85</v>
      </c>
      <c r="C945">
        <v>-1</v>
      </c>
      <c r="D945">
        <v>3</v>
      </c>
      <c r="E945" t="s">
        <v>23</v>
      </c>
      <c r="F945" t="s">
        <v>26</v>
      </c>
      <c r="G945" t="s">
        <v>19</v>
      </c>
    </row>
    <row r="946" spans="1:7" x14ac:dyDescent="0.25">
      <c r="A946" t="s">
        <v>157</v>
      </c>
      <c r="B946">
        <v>252</v>
      </c>
      <c r="C946">
        <v>56</v>
      </c>
      <c r="D946">
        <v>2</v>
      </c>
      <c r="E946" t="s">
        <v>8</v>
      </c>
      <c r="F946" t="s">
        <v>21</v>
      </c>
      <c r="G946" t="s">
        <v>28</v>
      </c>
    </row>
    <row r="947" spans="1:7" x14ac:dyDescent="0.25">
      <c r="A947" t="s">
        <v>171</v>
      </c>
      <c r="B947">
        <v>197</v>
      </c>
      <c r="C947">
        <v>73</v>
      </c>
      <c r="D947">
        <v>1</v>
      </c>
      <c r="E947" t="s">
        <v>12</v>
      </c>
      <c r="F947" t="s">
        <v>16</v>
      </c>
      <c r="G947" t="s">
        <v>10</v>
      </c>
    </row>
    <row r="948" spans="1:7" x14ac:dyDescent="0.25">
      <c r="A948" t="s">
        <v>33</v>
      </c>
      <c r="B948">
        <v>17</v>
      </c>
      <c r="C948">
        <v>-3</v>
      </c>
      <c r="D948">
        <v>2</v>
      </c>
      <c r="E948" t="s">
        <v>23</v>
      </c>
      <c r="F948" t="s">
        <v>57</v>
      </c>
      <c r="G948" t="s">
        <v>28</v>
      </c>
    </row>
    <row r="949" spans="1:7" x14ac:dyDescent="0.25">
      <c r="A949" t="s">
        <v>446</v>
      </c>
      <c r="B949">
        <v>100</v>
      </c>
      <c r="C949">
        <v>28</v>
      </c>
      <c r="D949">
        <v>2</v>
      </c>
      <c r="E949" t="s">
        <v>23</v>
      </c>
      <c r="F949" t="s">
        <v>30</v>
      </c>
      <c r="G949" t="s">
        <v>28</v>
      </c>
    </row>
    <row r="950" spans="1:7" x14ac:dyDescent="0.25">
      <c r="A950" t="s">
        <v>67</v>
      </c>
      <c r="B950">
        <v>80</v>
      </c>
      <c r="C950">
        <v>-19</v>
      </c>
      <c r="D950">
        <v>5</v>
      </c>
      <c r="E950" t="s">
        <v>23</v>
      </c>
      <c r="F950" t="s">
        <v>57</v>
      </c>
      <c r="G950" t="s">
        <v>28</v>
      </c>
    </row>
    <row r="951" spans="1:7" x14ac:dyDescent="0.25">
      <c r="A951" t="s">
        <v>169</v>
      </c>
      <c r="B951">
        <v>75</v>
      </c>
      <c r="C951">
        <v>29</v>
      </c>
      <c r="D951">
        <v>1</v>
      </c>
      <c r="E951" t="s">
        <v>23</v>
      </c>
      <c r="F951" t="s">
        <v>24</v>
      </c>
      <c r="G951" t="s">
        <v>28</v>
      </c>
    </row>
    <row r="952" spans="1:7" x14ac:dyDescent="0.25">
      <c r="A952" t="s">
        <v>67</v>
      </c>
      <c r="B952">
        <v>26</v>
      </c>
      <c r="C952">
        <v>4</v>
      </c>
      <c r="D952">
        <v>2</v>
      </c>
      <c r="E952" t="s">
        <v>23</v>
      </c>
      <c r="F952" t="s">
        <v>26</v>
      </c>
      <c r="G952" t="s">
        <v>28</v>
      </c>
    </row>
    <row r="953" spans="1:7" x14ac:dyDescent="0.25">
      <c r="A953" t="s">
        <v>447</v>
      </c>
      <c r="B953">
        <v>55</v>
      </c>
      <c r="C953">
        <v>12</v>
      </c>
      <c r="D953">
        <v>5</v>
      </c>
      <c r="E953" t="s">
        <v>23</v>
      </c>
      <c r="F953" t="s">
        <v>43</v>
      </c>
      <c r="G953" t="s">
        <v>10</v>
      </c>
    </row>
    <row r="954" spans="1:7" x14ac:dyDescent="0.25">
      <c r="A954" t="s">
        <v>324</v>
      </c>
      <c r="B954">
        <v>157</v>
      </c>
      <c r="C954">
        <v>5</v>
      </c>
      <c r="D954">
        <v>9</v>
      </c>
      <c r="E954" t="s">
        <v>23</v>
      </c>
      <c r="F954" t="s">
        <v>26</v>
      </c>
      <c r="G954" t="s">
        <v>28</v>
      </c>
    </row>
    <row r="955" spans="1:7" x14ac:dyDescent="0.25">
      <c r="A955" t="s">
        <v>119</v>
      </c>
      <c r="B955">
        <v>200</v>
      </c>
      <c r="C955">
        <v>-60</v>
      </c>
      <c r="D955">
        <v>4</v>
      </c>
      <c r="E955" t="s">
        <v>12</v>
      </c>
      <c r="F955" t="s">
        <v>16</v>
      </c>
      <c r="G955" t="s">
        <v>28</v>
      </c>
    </row>
    <row r="956" spans="1:7" x14ac:dyDescent="0.25">
      <c r="A956" t="s">
        <v>223</v>
      </c>
      <c r="B956">
        <v>230</v>
      </c>
      <c r="C956">
        <v>5</v>
      </c>
      <c r="D956">
        <v>2</v>
      </c>
      <c r="E956" t="s">
        <v>23</v>
      </c>
      <c r="F956" t="s">
        <v>26</v>
      </c>
      <c r="G956" t="s">
        <v>28</v>
      </c>
    </row>
    <row r="957" spans="1:7" x14ac:dyDescent="0.25">
      <c r="A957" t="s">
        <v>211</v>
      </c>
      <c r="B957">
        <v>213</v>
      </c>
      <c r="C957">
        <v>-145</v>
      </c>
      <c r="D957">
        <v>3</v>
      </c>
      <c r="E957" t="s">
        <v>12</v>
      </c>
      <c r="F957" t="s">
        <v>16</v>
      </c>
      <c r="G957" t="s">
        <v>82</v>
      </c>
    </row>
    <row r="958" spans="1:7" x14ac:dyDescent="0.25">
      <c r="A958" t="s">
        <v>193</v>
      </c>
      <c r="B958">
        <v>55</v>
      </c>
      <c r="C958">
        <v>4</v>
      </c>
      <c r="D958">
        <v>2</v>
      </c>
      <c r="E958" t="s">
        <v>23</v>
      </c>
      <c r="F958" t="s">
        <v>57</v>
      </c>
      <c r="G958" t="s">
        <v>10</v>
      </c>
    </row>
    <row r="959" spans="1:7" x14ac:dyDescent="0.25">
      <c r="A959" t="s">
        <v>448</v>
      </c>
      <c r="B959">
        <v>220</v>
      </c>
      <c r="C959">
        <v>-19</v>
      </c>
      <c r="D959">
        <v>2</v>
      </c>
      <c r="E959" t="s">
        <v>23</v>
      </c>
      <c r="F959" t="s">
        <v>26</v>
      </c>
      <c r="G959" t="s">
        <v>82</v>
      </c>
    </row>
    <row r="960" spans="1:7" x14ac:dyDescent="0.25">
      <c r="A960" t="s">
        <v>74</v>
      </c>
      <c r="B960">
        <v>150</v>
      </c>
      <c r="C960">
        <v>32</v>
      </c>
      <c r="D960">
        <v>3</v>
      </c>
      <c r="E960" t="s">
        <v>23</v>
      </c>
      <c r="F960" t="s">
        <v>30</v>
      </c>
      <c r="G960" t="s">
        <v>10</v>
      </c>
    </row>
    <row r="961" spans="1:7" x14ac:dyDescent="0.25">
      <c r="A961" t="s">
        <v>136</v>
      </c>
      <c r="B961">
        <v>203</v>
      </c>
      <c r="C961">
        <v>84</v>
      </c>
      <c r="D961">
        <v>2</v>
      </c>
      <c r="E961" t="s">
        <v>8</v>
      </c>
      <c r="F961" t="s">
        <v>18</v>
      </c>
      <c r="G961" t="s">
        <v>28</v>
      </c>
    </row>
    <row r="962" spans="1:7" x14ac:dyDescent="0.25">
      <c r="A962" t="s">
        <v>167</v>
      </c>
      <c r="B962">
        <v>93</v>
      </c>
      <c r="C962">
        <v>31</v>
      </c>
      <c r="D962">
        <v>3</v>
      </c>
      <c r="E962" t="s">
        <v>8</v>
      </c>
      <c r="F962" t="s">
        <v>73</v>
      </c>
      <c r="G962" t="s">
        <v>28</v>
      </c>
    </row>
    <row r="963" spans="1:7" x14ac:dyDescent="0.25">
      <c r="A963" t="s">
        <v>449</v>
      </c>
      <c r="B963">
        <v>290</v>
      </c>
      <c r="C963">
        <v>35</v>
      </c>
      <c r="D963">
        <v>6</v>
      </c>
      <c r="E963" t="s">
        <v>23</v>
      </c>
      <c r="F963" t="s">
        <v>30</v>
      </c>
      <c r="G963" t="s">
        <v>10</v>
      </c>
    </row>
    <row r="964" spans="1:7" x14ac:dyDescent="0.25">
      <c r="A964" t="s">
        <v>269</v>
      </c>
      <c r="B964">
        <v>48</v>
      </c>
      <c r="C964">
        <v>6</v>
      </c>
      <c r="D964">
        <v>1</v>
      </c>
      <c r="E964" t="s">
        <v>23</v>
      </c>
      <c r="F964" t="s">
        <v>26</v>
      </c>
      <c r="G964" t="s">
        <v>10</v>
      </c>
    </row>
    <row r="965" spans="1:7" x14ac:dyDescent="0.25">
      <c r="A965" t="s">
        <v>254</v>
      </c>
      <c r="B965">
        <v>221</v>
      </c>
      <c r="C965">
        <v>35</v>
      </c>
      <c r="D965">
        <v>4</v>
      </c>
      <c r="E965" t="s">
        <v>8</v>
      </c>
      <c r="F965" t="s">
        <v>73</v>
      </c>
      <c r="G965" t="s">
        <v>82</v>
      </c>
    </row>
    <row r="966" spans="1:7" x14ac:dyDescent="0.25">
      <c r="A966" t="s">
        <v>450</v>
      </c>
      <c r="B966">
        <v>55</v>
      </c>
      <c r="C966">
        <v>18</v>
      </c>
      <c r="D966">
        <v>2</v>
      </c>
      <c r="E966" t="s">
        <v>23</v>
      </c>
      <c r="F966" t="s">
        <v>32</v>
      </c>
      <c r="G966" t="s">
        <v>10</v>
      </c>
    </row>
    <row r="967" spans="1:7" x14ac:dyDescent="0.25">
      <c r="A967" t="s">
        <v>117</v>
      </c>
      <c r="B967">
        <v>227</v>
      </c>
      <c r="C967">
        <v>102</v>
      </c>
      <c r="D967">
        <v>8</v>
      </c>
      <c r="E967" t="s">
        <v>8</v>
      </c>
      <c r="F967" t="s">
        <v>73</v>
      </c>
      <c r="G967" t="s">
        <v>82</v>
      </c>
    </row>
    <row r="968" spans="1:7" x14ac:dyDescent="0.25">
      <c r="A968" t="s">
        <v>451</v>
      </c>
      <c r="B968">
        <v>55</v>
      </c>
      <c r="C968">
        <v>-39</v>
      </c>
      <c r="D968">
        <v>4</v>
      </c>
      <c r="E968" t="s">
        <v>23</v>
      </c>
      <c r="F968" t="s">
        <v>57</v>
      </c>
      <c r="G968" t="s">
        <v>10</v>
      </c>
    </row>
    <row r="969" spans="1:7" x14ac:dyDescent="0.25">
      <c r="A969" t="s">
        <v>449</v>
      </c>
      <c r="B969">
        <v>207</v>
      </c>
      <c r="C969">
        <v>33</v>
      </c>
      <c r="D969">
        <v>2</v>
      </c>
      <c r="E969" t="s">
        <v>8</v>
      </c>
      <c r="F969" t="s">
        <v>73</v>
      </c>
      <c r="G969" t="s">
        <v>28</v>
      </c>
    </row>
    <row r="970" spans="1:7" x14ac:dyDescent="0.25">
      <c r="A970" t="s">
        <v>80</v>
      </c>
      <c r="B970">
        <v>64</v>
      </c>
      <c r="C970">
        <v>6</v>
      </c>
      <c r="D970">
        <v>4</v>
      </c>
      <c r="E970" t="s">
        <v>23</v>
      </c>
      <c r="F970" t="s">
        <v>26</v>
      </c>
      <c r="G970" t="s">
        <v>10</v>
      </c>
    </row>
    <row r="971" spans="1:7" x14ac:dyDescent="0.25">
      <c r="A971" t="s">
        <v>235</v>
      </c>
      <c r="B971">
        <v>89</v>
      </c>
      <c r="C971">
        <v>6</v>
      </c>
      <c r="D971">
        <v>5</v>
      </c>
      <c r="E971" t="s">
        <v>23</v>
      </c>
      <c r="F971" t="s">
        <v>26</v>
      </c>
      <c r="G971" t="s">
        <v>10</v>
      </c>
    </row>
    <row r="972" spans="1:7" x14ac:dyDescent="0.25">
      <c r="A972" t="s">
        <v>46</v>
      </c>
      <c r="B972">
        <v>54</v>
      </c>
      <c r="C972">
        <v>27</v>
      </c>
      <c r="D972">
        <v>2</v>
      </c>
      <c r="E972" t="s">
        <v>23</v>
      </c>
      <c r="F972" t="s">
        <v>57</v>
      </c>
      <c r="G972" t="s">
        <v>10</v>
      </c>
    </row>
    <row r="973" spans="1:7" x14ac:dyDescent="0.25">
      <c r="A973" t="s">
        <v>140</v>
      </c>
      <c r="B973">
        <v>84</v>
      </c>
      <c r="C973">
        <v>41</v>
      </c>
      <c r="D973">
        <v>3</v>
      </c>
      <c r="E973" t="s">
        <v>23</v>
      </c>
      <c r="F973" t="s">
        <v>81</v>
      </c>
      <c r="G973" t="s">
        <v>19</v>
      </c>
    </row>
    <row r="974" spans="1:7" x14ac:dyDescent="0.25">
      <c r="A974" t="s">
        <v>289</v>
      </c>
      <c r="B974">
        <v>209</v>
      </c>
      <c r="C974">
        <v>-21</v>
      </c>
      <c r="D974">
        <v>2</v>
      </c>
      <c r="E974" t="s">
        <v>8</v>
      </c>
      <c r="F974" t="s">
        <v>9</v>
      </c>
      <c r="G974" t="s">
        <v>28</v>
      </c>
    </row>
    <row r="975" spans="1:7" x14ac:dyDescent="0.25">
      <c r="A975" t="s">
        <v>200</v>
      </c>
      <c r="B975">
        <v>79</v>
      </c>
      <c r="C975">
        <v>33</v>
      </c>
      <c r="D975">
        <v>4</v>
      </c>
      <c r="E975" t="s">
        <v>23</v>
      </c>
      <c r="F975" t="s">
        <v>57</v>
      </c>
      <c r="G975" t="s">
        <v>28</v>
      </c>
    </row>
    <row r="976" spans="1:7" x14ac:dyDescent="0.25">
      <c r="A976" t="s">
        <v>452</v>
      </c>
      <c r="B976">
        <v>54</v>
      </c>
      <c r="C976">
        <v>8</v>
      </c>
      <c r="D976">
        <v>4</v>
      </c>
      <c r="E976" t="s">
        <v>23</v>
      </c>
      <c r="F976" t="s">
        <v>81</v>
      </c>
      <c r="G976" t="s">
        <v>10</v>
      </c>
    </row>
    <row r="977" spans="1:7" x14ac:dyDescent="0.25">
      <c r="A977" t="s">
        <v>94</v>
      </c>
      <c r="B977">
        <v>229</v>
      </c>
      <c r="C977">
        <v>59</v>
      </c>
      <c r="D977">
        <v>9</v>
      </c>
      <c r="E977" t="s">
        <v>23</v>
      </c>
      <c r="F977" t="s">
        <v>26</v>
      </c>
      <c r="G977" t="s">
        <v>82</v>
      </c>
    </row>
    <row r="978" spans="1:7" x14ac:dyDescent="0.25">
      <c r="A978" t="s">
        <v>378</v>
      </c>
      <c r="B978">
        <v>158</v>
      </c>
      <c r="C978">
        <v>38</v>
      </c>
      <c r="D978">
        <v>3</v>
      </c>
      <c r="E978" t="s">
        <v>23</v>
      </c>
      <c r="F978" t="s">
        <v>30</v>
      </c>
      <c r="G978" t="s">
        <v>28</v>
      </c>
    </row>
    <row r="979" spans="1:7" x14ac:dyDescent="0.25">
      <c r="A979" t="s">
        <v>179</v>
      </c>
      <c r="B979">
        <v>248</v>
      </c>
      <c r="C979">
        <v>105</v>
      </c>
      <c r="D979">
        <v>2</v>
      </c>
      <c r="E979" t="s">
        <v>8</v>
      </c>
      <c r="F979" t="s">
        <v>21</v>
      </c>
      <c r="G979" t="s">
        <v>82</v>
      </c>
    </row>
    <row r="980" spans="1:7" x14ac:dyDescent="0.25">
      <c r="A980" t="s">
        <v>41</v>
      </c>
      <c r="B980">
        <v>199</v>
      </c>
      <c r="C980">
        <v>6</v>
      </c>
      <c r="D980">
        <v>2</v>
      </c>
      <c r="E980" t="s">
        <v>23</v>
      </c>
      <c r="F980" t="s">
        <v>26</v>
      </c>
      <c r="G980" t="s">
        <v>28</v>
      </c>
    </row>
    <row r="981" spans="1:7" x14ac:dyDescent="0.25">
      <c r="A981" t="s">
        <v>35</v>
      </c>
      <c r="B981">
        <v>253</v>
      </c>
      <c r="C981">
        <v>-11</v>
      </c>
      <c r="D981">
        <v>1</v>
      </c>
      <c r="E981" t="s">
        <v>23</v>
      </c>
      <c r="F981" t="s">
        <v>24</v>
      </c>
      <c r="G981" t="s">
        <v>82</v>
      </c>
    </row>
    <row r="982" spans="1:7" x14ac:dyDescent="0.25">
      <c r="A982" t="s">
        <v>307</v>
      </c>
      <c r="B982">
        <v>257</v>
      </c>
      <c r="C982">
        <v>-252</v>
      </c>
      <c r="D982">
        <v>4</v>
      </c>
      <c r="E982" t="s">
        <v>23</v>
      </c>
      <c r="F982" t="s">
        <v>26</v>
      </c>
      <c r="G982" t="s">
        <v>82</v>
      </c>
    </row>
    <row r="983" spans="1:7" x14ac:dyDescent="0.25">
      <c r="A983" t="s">
        <v>453</v>
      </c>
      <c r="B983">
        <v>193</v>
      </c>
      <c r="C983">
        <v>33</v>
      </c>
      <c r="D983">
        <v>5</v>
      </c>
      <c r="E983" t="s">
        <v>8</v>
      </c>
      <c r="F983" t="s">
        <v>73</v>
      </c>
      <c r="G983" t="s">
        <v>10</v>
      </c>
    </row>
    <row r="984" spans="1:7" x14ac:dyDescent="0.25">
      <c r="A984" t="s">
        <v>454</v>
      </c>
      <c r="B984">
        <v>109</v>
      </c>
      <c r="C984">
        <v>35</v>
      </c>
      <c r="D984">
        <v>6</v>
      </c>
      <c r="E984" t="s">
        <v>23</v>
      </c>
      <c r="F984" t="s">
        <v>81</v>
      </c>
      <c r="G984" t="s">
        <v>10</v>
      </c>
    </row>
    <row r="985" spans="1:7" x14ac:dyDescent="0.25">
      <c r="A985" t="s">
        <v>241</v>
      </c>
      <c r="B985">
        <v>214</v>
      </c>
      <c r="C985">
        <v>30</v>
      </c>
      <c r="D985">
        <v>3</v>
      </c>
      <c r="E985" t="s">
        <v>8</v>
      </c>
      <c r="F985" t="s">
        <v>73</v>
      </c>
      <c r="G985" t="s">
        <v>10</v>
      </c>
    </row>
    <row r="986" spans="1:7" x14ac:dyDescent="0.25">
      <c r="A986" t="s">
        <v>301</v>
      </c>
      <c r="B986">
        <v>141</v>
      </c>
      <c r="C986">
        <v>7</v>
      </c>
      <c r="D986">
        <v>7</v>
      </c>
      <c r="E986" t="s">
        <v>23</v>
      </c>
      <c r="F986" t="s">
        <v>26</v>
      </c>
      <c r="G986" t="s">
        <v>10</v>
      </c>
    </row>
    <row r="987" spans="1:7" x14ac:dyDescent="0.25">
      <c r="A987" t="s">
        <v>164</v>
      </c>
      <c r="B987">
        <v>201</v>
      </c>
      <c r="C987">
        <v>32</v>
      </c>
      <c r="D987">
        <v>4</v>
      </c>
      <c r="E987" t="s">
        <v>12</v>
      </c>
      <c r="F987" t="s">
        <v>131</v>
      </c>
      <c r="G987" t="s">
        <v>28</v>
      </c>
    </row>
    <row r="988" spans="1:7" x14ac:dyDescent="0.25">
      <c r="A988" t="s">
        <v>169</v>
      </c>
      <c r="B988">
        <v>54</v>
      </c>
      <c r="C988">
        <v>12</v>
      </c>
      <c r="D988">
        <v>4</v>
      </c>
      <c r="E988" t="s">
        <v>23</v>
      </c>
      <c r="F988" t="s">
        <v>142</v>
      </c>
      <c r="G988" t="s">
        <v>10</v>
      </c>
    </row>
    <row r="989" spans="1:7" x14ac:dyDescent="0.25">
      <c r="A989" t="s">
        <v>34</v>
      </c>
      <c r="B989">
        <v>83</v>
      </c>
      <c r="C989">
        <v>6</v>
      </c>
      <c r="D989">
        <v>6</v>
      </c>
      <c r="E989" t="s">
        <v>23</v>
      </c>
      <c r="F989" t="s">
        <v>142</v>
      </c>
      <c r="G989" t="s">
        <v>14</v>
      </c>
    </row>
    <row r="990" spans="1:7" x14ac:dyDescent="0.25">
      <c r="A990" t="s">
        <v>205</v>
      </c>
      <c r="B990">
        <v>54</v>
      </c>
      <c r="C990">
        <v>-3</v>
      </c>
      <c r="D990">
        <v>3</v>
      </c>
      <c r="E990" t="s">
        <v>23</v>
      </c>
      <c r="F990" t="s">
        <v>26</v>
      </c>
      <c r="G990" t="s">
        <v>10</v>
      </c>
    </row>
    <row r="991" spans="1:7" x14ac:dyDescent="0.25">
      <c r="A991" t="s">
        <v>115</v>
      </c>
      <c r="B991">
        <v>53</v>
      </c>
      <c r="C991">
        <v>5</v>
      </c>
      <c r="D991">
        <v>3</v>
      </c>
      <c r="E991" t="s">
        <v>23</v>
      </c>
      <c r="F991" t="s">
        <v>81</v>
      </c>
      <c r="G991" t="s">
        <v>10</v>
      </c>
    </row>
    <row r="992" spans="1:7" x14ac:dyDescent="0.25">
      <c r="A992" t="s">
        <v>246</v>
      </c>
      <c r="B992">
        <v>258</v>
      </c>
      <c r="C992">
        <v>-27</v>
      </c>
      <c r="D992">
        <v>2</v>
      </c>
      <c r="E992" t="s">
        <v>8</v>
      </c>
      <c r="F992" t="s">
        <v>21</v>
      </c>
      <c r="G992" t="s">
        <v>82</v>
      </c>
    </row>
    <row r="993" spans="1:7" x14ac:dyDescent="0.25">
      <c r="A993" t="s">
        <v>455</v>
      </c>
      <c r="B993">
        <v>199</v>
      </c>
      <c r="C993">
        <v>8</v>
      </c>
      <c r="D993">
        <v>2</v>
      </c>
      <c r="E993" t="s">
        <v>23</v>
      </c>
      <c r="F993" t="s">
        <v>26</v>
      </c>
      <c r="G993" t="s">
        <v>10</v>
      </c>
    </row>
    <row r="994" spans="1:7" x14ac:dyDescent="0.25">
      <c r="A994" t="s">
        <v>300</v>
      </c>
      <c r="B994">
        <v>82</v>
      </c>
      <c r="C994">
        <v>-27</v>
      </c>
      <c r="D994">
        <v>3</v>
      </c>
      <c r="E994" t="s">
        <v>23</v>
      </c>
      <c r="F994" t="s">
        <v>32</v>
      </c>
      <c r="G994" t="s">
        <v>14</v>
      </c>
    </row>
    <row r="995" spans="1:7" x14ac:dyDescent="0.25">
      <c r="A995" t="s">
        <v>273</v>
      </c>
      <c r="B995">
        <v>139</v>
      </c>
      <c r="C995">
        <v>36</v>
      </c>
      <c r="D995">
        <v>3</v>
      </c>
      <c r="E995" t="s">
        <v>23</v>
      </c>
      <c r="F995" t="s">
        <v>57</v>
      </c>
      <c r="G995" t="s">
        <v>10</v>
      </c>
    </row>
    <row r="996" spans="1:7" x14ac:dyDescent="0.25">
      <c r="A996" t="s">
        <v>104</v>
      </c>
      <c r="B996">
        <v>53</v>
      </c>
      <c r="C996">
        <v>15</v>
      </c>
      <c r="D996">
        <v>2</v>
      </c>
      <c r="E996" t="s">
        <v>23</v>
      </c>
      <c r="F996" t="s">
        <v>57</v>
      </c>
      <c r="G996" t="s">
        <v>10</v>
      </c>
    </row>
    <row r="997" spans="1:7" x14ac:dyDescent="0.25">
      <c r="A997" t="s">
        <v>336</v>
      </c>
      <c r="B997">
        <v>53</v>
      </c>
      <c r="C997">
        <v>1</v>
      </c>
      <c r="D997">
        <v>4</v>
      </c>
      <c r="E997" t="s">
        <v>23</v>
      </c>
      <c r="F997" t="s">
        <v>57</v>
      </c>
      <c r="G997" t="s">
        <v>10</v>
      </c>
    </row>
    <row r="998" spans="1:7" x14ac:dyDescent="0.25">
      <c r="A998" t="s">
        <v>456</v>
      </c>
      <c r="B998">
        <v>101</v>
      </c>
      <c r="C998">
        <v>38</v>
      </c>
      <c r="D998">
        <v>2</v>
      </c>
      <c r="E998" t="s">
        <v>12</v>
      </c>
      <c r="F998" t="s">
        <v>131</v>
      </c>
      <c r="G998" t="s">
        <v>10</v>
      </c>
    </row>
    <row r="999" spans="1:7" x14ac:dyDescent="0.25">
      <c r="A999" t="s">
        <v>54</v>
      </c>
      <c r="B999">
        <v>262</v>
      </c>
      <c r="C999">
        <v>215</v>
      </c>
      <c r="D999">
        <v>2</v>
      </c>
      <c r="E999" t="s">
        <v>8</v>
      </c>
      <c r="F999" t="s">
        <v>18</v>
      </c>
      <c r="G999" t="s">
        <v>82</v>
      </c>
    </row>
    <row r="1000" spans="1:7" x14ac:dyDescent="0.25">
      <c r="A1000" t="s">
        <v>112</v>
      </c>
      <c r="B1000">
        <v>82</v>
      </c>
      <c r="C1000">
        <v>-39</v>
      </c>
      <c r="D1000">
        <v>5</v>
      </c>
      <c r="E1000" t="s">
        <v>23</v>
      </c>
      <c r="F1000" t="s">
        <v>81</v>
      </c>
      <c r="G1000" t="s">
        <v>14</v>
      </c>
    </row>
    <row r="1001" spans="1:7" x14ac:dyDescent="0.25">
      <c r="A1001" t="s">
        <v>359</v>
      </c>
      <c r="B1001">
        <v>154</v>
      </c>
      <c r="C1001">
        <v>39</v>
      </c>
      <c r="D1001">
        <v>3</v>
      </c>
      <c r="E1001" t="s">
        <v>23</v>
      </c>
      <c r="F1001" t="s">
        <v>30</v>
      </c>
      <c r="G1001" t="s">
        <v>10</v>
      </c>
    </row>
    <row r="1002" spans="1:7" x14ac:dyDescent="0.25">
      <c r="A1002" t="s">
        <v>457</v>
      </c>
      <c r="B1002">
        <v>52</v>
      </c>
      <c r="C1002">
        <v>18</v>
      </c>
      <c r="D1002">
        <v>2</v>
      </c>
      <c r="E1002" t="s">
        <v>23</v>
      </c>
      <c r="F1002" t="s">
        <v>57</v>
      </c>
      <c r="G1002" t="s">
        <v>10</v>
      </c>
    </row>
    <row r="1003" spans="1:7" x14ac:dyDescent="0.25">
      <c r="A1003" t="s">
        <v>385</v>
      </c>
      <c r="B1003">
        <v>1599</v>
      </c>
      <c r="C1003">
        <v>37</v>
      </c>
      <c r="D1003">
        <v>6</v>
      </c>
      <c r="E1003" t="s">
        <v>8</v>
      </c>
      <c r="F1003" t="s">
        <v>9</v>
      </c>
      <c r="G1003" t="s">
        <v>28</v>
      </c>
    </row>
    <row r="1004" spans="1:7" x14ac:dyDescent="0.25">
      <c r="A1004" t="s">
        <v>255</v>
      </c>
      <c r="B1004">
        <v>338</v>
      </c>
      <c r="C1004">
        <v>41</v>
      </c>
      <c r="D1004">
        <v>7</v>
      </c>
      <c r="E1004" t="s">
        <v>23</v>
      </c>
      <c r="F1004" t="s">
        <v>30</v>
      </c>
      <c r="G1004" t="s">
        <v>28</v>
      </c>
    </row>
    <row r="1005" spans="1:7" x14ac:dyDescent="0.25">
      <c r="A1005" t="s">
        <v>292</v>
      </c>
      <c r="B1005">
        <v>51</v>
      </c>
      <c r="C1005">
        <v>-49</v>
      </c>
      <c r="D1005">
        <v>2</v>
      </c>
      <c r="E1005" t="s">
        <v>8</v>
      </c>
      <c r="F1005" t="s">
        <v>9</v>
      </c>
      <c r="G1005" t="s">
        <v>10</v>
      </c>
    </row>
    <row r="1006" spans="1:7" x14ac:dyDescent="0.25">
      <c r="A1006" t="s">
        <v>290</v>
      </c>
      <c r="B1006">
        <v>224</v>
      </c>
      <c r="C1006">
        <v>-81</v>
      </c>
      <c r="D1006">
        <v>3</v>
      </c>
      <c r="E1006" t="s">
        <v>12</v>
      </c>
      <c r="F1006" t="s">
        <v>13</v>
      </c>
      <c r="G1006" t="s">
        <v>10</v>
      </c>
    </row>
    <row r="1007" spans="1:7" x14ac:dyDescent="0.25">
      <c r="A1007" t="s">
        <v>458</v>
      </c>
      <c r="B1007">
        <v>207</v>
      </c>
      <c r="C1007">
        <v>37</v>
      </c>
      <c r="D1007">
        <v>4</v>
      </c>
      <c r="E1007" t="s">
        <v>23</v>
      </c>
      <c r="F1007" t="s">
        <v>30</v>
      </c>
      <c r="G1007" t="s">
        <v>10</v>
      </c>
    </row>
    <row r="1008" spans="1:7" x14ac:dyDescent="0.25">
      <c r="A1008" t="s">
        <v>459</v>
      </c>
      <c r="B1008">
        <v>51</v>
      </c>
      <c r="C1008">
        <v>14</v>
      </c>
      <c r="D1008">
        <v>2</v>
      </c>
      <c r="E1008" t="s">
        <v>23</v>
      </c>
      <c r="F1008" t="s">
        <v>57</v>
      </c>
      <c r="G1008" t="s">
        <v>10</v>
      </c>
    </row>
    <row r="1009" spans="1:7" x14ac:dyDescent="0.25">
      <c r="A1009" t="s">
        <v>128</v>
      </c>
      <c r="B1009">
        <v>82</v>
      </c>
      <c r="C1009">
        <v>8</v>
      </c>
      <c r="D1009">
        <v>3</v>
      </c>
      <c r="E1009" t="s">
        <v>8</v>
      </c>
      <c r="F1009" t="s">
        <v>73</v>
      </c>
      <c r="G1009" t="s">
        <v>14</v>
      </c>
    </row>
    <row r="1010" spans="1:7" x14ac:dyDescent="0.25">
      <c r="A1010" t="s">
        <v>137</v>
      </c>
      <c r="B1010">
        <v>50</v>
      </c>
      <c r="C1010">
        <v>-17</v>
      </c>
      <c r="D1010">
        <v>2</v>
      </c>
      <c r="E1010" t="s">
        <v>23</v>
      </c>
      <c r="F1010" t="s">
        <v>57</v>
      </c>
      <c r="G1010" t="s">
        <v>10</v>
      </c>
    </row>
    <row r="1011" spans="1:7" x14ac:dyDescent="0.25">
      <c r="A1011" t="s">
        <v>37</v>
      </c>
      <c r="B1011">
        <v>263</v>
      </c>
      <c r="C1011">
        <v>-31</v>
      </c>
      <c r="D1011">
        <v>9</v>
      </c>
      <c r="E1011" t="s">
        <v>8</v>
      </c>
      <c r="F1011" t="s">
        <v>9</v>
      </c>
      <c r="G1011" t="s">
        <v>82</v>
      </c>
    </row>
    <row r="1012" spans="1:7" x14ac:dyDescent="0.25">
      <c r="A1012" t="s">
        <v>241</v>
      </c>
      <c r="B1012">
        <v>50</v>
      </c>
      <c r="C1012">
        <v>7</v>
      </c>
      <c r="D1012">
        <v>6</v>
      </c>
      <c r="E1012" t="s">
        <v>23</v>
      </c>
      <c r="F1012" t="s">
        <v>43</v>
      </c>
      <c r="G1012" t="s">
        <v>10</v>
      </c>
    </row>
    <row r="1013" spans="1:7" x14ac:dyDescent="0.25">
      <c r="A1013" t="s">
        <v>400</v>
      </c>
      <c r="B1013">
        <v>245</v>
      </c>
      <c r="C1013">
        <v>-3</v>
      </c>
      <c r="D1013">
        <v>4</v>
      </c>
      <c r="E1013" t="s">
        <v>8</v>
      </c>
      <c r="F1013" t="s">
        <v>21</v>
      </c>
      <c r="G1013" t="s">
        <v>28</v>
      </c>
    </row>
    <row r="1014" spans="1:7" x14ac:dyDescent="0.25">
      <c r="A1014" t="s">
        <v>157</v>
      </c>
      <c r="B1014">
        <v>82</v>
      </c>
      <c r="C1014">
        <v>24</v>
      </c>
      <c r="D1014">
        <v>6</v>
      </c>
      <c r="E1014" t="s">
        <v>23</v>
      </c>
      <c r="F1014" t="s">
        <v>30</v>
      </c>
      <c r="G1014" t="s">
        <v>14</v>
      </c>
    </row>
    <row r="1015" spans="1:7" x14ac:dyDescent="0.25">
      <c r="A1015" t="s">
        <v>144</v>
      </c>
      <c r="B1015">
        <v>229</v>
      </c>
      <c r="C1015">
        <v>-41</v>
      </c>
      <c r="D1015">
        <v>8</v>
      </c>
      <c r="E1015" t="s">
        <v>8</v>
      </c>
      <c r="F1015" t="s">
        <v>73</v>
      </c>
      <c r="G1015" t="s">
        <v>10</v>
      </c>
    </row>
    <row r="1016" spans="1:7" x14ac:dyDescent="0.25">
      <c r="A1016" t="s">
        <v>179</v>
      </c>
      <c r="B1016">
        <v>50</v>
      </c>
      <c r="C1016">
        <v>14</v>
      </c>
      <c r="D1016">
        <v>1</v>
      </c>
      <c r="E1016" t="s">
        <v>8</v>
      </c>
      <c r="F1016" t="s">
        <v>9</v>
      </c>
      <c r="G1016" t="s">
        <v>10</v>
      </c>
    </row>
    <row r="1017" spans="1:7" x14ac:dyDescent="0.25">
      <c r="A1017" t="s">
        <v>211</v>
      </c>
      <c r="B1017">
        <v>220</v>
      </c>
      <c r="C1017">
        <v>40</v>
      </c>
      <c r="D1017">
        <v>2</v>
      </c>
      <c r="E1017" t="s">
        <v>8</v>
      </c>
      <c r="F1017" t="s">
        <v>73</v>
      </c>
      <c r="G1017" t="s">
        <v>10</v>
      </c>
    </row>
    <row r="1018" spans="1:7" x14ac:dyDescent="0.25">
      <c r="A1018" t="s">
        <v>29</v>
      </c>
      <c r="B1018">
        <v>263</v>
      </c>
      <c r="C1018">
        <v>-63</v>
      </c>
      <c r="D1018">
        <v>2</v>
      </c>
      <c r="E1018" t="s">
        <v>8</v>
      </c>
      <c r="F1018" t="s">
        <v>9</v>
      </c>
      <c r="G1018" t="s">
        <v>82</v>
      </c>
    </row>
    <row r="1019" spans="1:7" x14ac:dyDescent="0.25">
      <c r="A1019" t="s">
        <v>17</v>
      </c>
      <c r="B1019">
        <v>81</v>
      </c>
      <c r="C1019">
        <v>-41</v>
      </c>
      <c r="D1019">
        <v>5</v>
      </c>
      <c r="E1019" t="s">
        <v>23</v>
      </c>
      <c r="F1019" t="s">
        <v>63</v>
      </c>
      <c r="G1019" t="s">
        <v>14</v>
      </c>
    </row>
    <row r="1020" spans="1:7" x14ac:dyDescent="0.25">
      <c r="A1020" t="s">
        <v>460</v>
      </c>
      <c r="B1020">
        <v>50</v>
      </c>
      <c r="C1020">
        <v>-17</v>
      </c>
      <c r="D1020">
        <v>2</v>
      </c>
      <c r="E1020" t="s">
        <v>23</v>
      </c>
      <c r="F1020" t="s">
        <v>57</v>
      </c>
      <c r="G1020" t="s">
        <v>10</v>
      </c>
    </row>
    <row r="1021" spans="1:7" x14ac:dyDescent="0.25">
      <c r="A1021" t="s">
        <v>17</v>
      </c>
      <c r="B1021">
        <v>49</v>
      </c>
      <c r="C1021">
        <v>5</v>
      </c>
      <c r="D1021">
        <v>4</v>
      </c>
      <c r="E1021" t="s">
        <v>23</v>
      </c>
      <c r="F1021" t="s">
        <v>30</v>
      </c>
      <c r="G1021" t="s">
        <v>10</v>
      </c>
    </row>
    <row r="1022" spans="1:7" x14ac:dyDescent="0.25">
      <c r="A1022" t="s">
        <v>31</v>
      </c>
      <c r="B1022">
        <v>237</v>
      </c>
      <c r="C1022">
        <v>47</v>
      </c>
      <c r="D1022">
        <v>9</v>
      </c>
      <c r="E1022" t="s">
        <v>23</v>
      </c>
      <c r="F1022" t="s">
        <v>81</v>
      </c>
      <c r="G1022" t="s">
        <v>28</v>
      </c>
    </row>
    <row r="1023" spans="1:7" x14ac:dyDescent="0.25">
      <c r="A1023" t="s">
        <v>461</v>
      </c>
      <c r="B1023">
        <v>264</v>
      </c>
      <c r="C1023">
        <v>-30</v>
      </c>
      <c r="D1023">
        <v>3</v>
      </c>
      <c r="E1023" t="s">
        <v>12</v>
      </c>
      <c r="F1023" t="s">
        <v>131</v>
      </c>
      <c r="G1023" t="s">
        <v>82</v>
      </c>
    </row>
    <row r="1024" spans="1:7" x14ac:dyDescent="0.25">
      <c r="A1024" t="s">
        <v>119</v>
      </c>
      <c r="B1024">
        <v>49</v>
      </c>
      <c r="C1024">
        <v>3</v>
      </c>
      <c r="D1024">
        <v>1</v>
      </c>
      <c r="E1024" t="s">
        <v>23</v>
      </c>
      <c r="F1024" t="s">
        <v>142</v>
      </c>
      <c r="G1024" t="s">
        <v>10</v>
      </c>
    </row>
    <row r="1025" spans="1:7" x14ac:dyDescent="0.25">
      <c r="A1025" t="s">
        <v>307</v>
      </c>
      <c r="B1025">
        <v>63</v>
      </c>
      <c r="C1025">
        <v>-24</v>
      </c>
      <c r="D1025">
        <v>6</v>
      </c>
      <c r="E1025" t="s">
        <v>23</v>
      </c>
      <c r="F1025" t="s">
        <v>32</v>
      </c>
      <c r="G1025" t="s">
        <v>10</v>
      </c>
    </row>
    <row r="1026" spans="1:7" x14ac:dyDescent="0.25">
      <c r="A1026" t="s">
        <v>152</v>
      </c>
      <c r="B1026">
        <v>81</v>
      </c>
      <c r="C1026">
        <v>-51</v>
      </c>
      <c r="D1026">
        <v>7</v>
      </c>
      <c r="E1026" t="s">
        <v>23</v>
      </c>
      <c r="F1026" t="s">
        <v>57</v>
      </c>
      <c r="G1026" t="s">
        <v>14</v>
      </c>
    </row>
    <row r="1027" spans="1:7" x14ac:dyDescent="0.25">
      <c r="A1027" t="s">
        <v>162</v>
      </c>
      <c r="B1027">
        <v>264</v>
      </c>
      <c r="C1027">
        <v>71</v>
      </c>
      <c r="D1027">
        <v>10</v>
      </c>
      <c r="E1027" t="s">
        <v>12</v>
      </c>
      <c r="F1027" t="s">
        <v>131</v>
      </c>
      <c r="G1027" t="s">
        <v>82</v>
      </c>
    </row>
    <row r="1028" spans="1:7" x14ac:dyDescent="0.25">
      <c r="A1028" t="s">
        <v>328</v>
      </c>
      <c r="B1028">
        <v>48</v>
      </c>
      <c r="C1028">
        <v>11</v>
      </c>
      <c r="D1028">
        <v>2</v>
      </c>
      <c r="E1028" t="s">
        <v>23</v>
      </c>
      <c r="F1028" t="s">
        <v>142</v>
      </c>
      <c r="G1028" t="s">
        <v>10</v>
      </c>
    </row>
    <row r="1029" spans="1:7" x14ac:dyDescent="0.25">
      <c r="A1029" t="s">
        <v>321</v>
      </c>
      <c r="B1029">
        <v>48</v>
      </c>
      <c r="C1029">
        <v>15</v>
      </c>
      <c r="D1029">
        <v>1</v>
      </c>
      <c r="E1029" t="s">
        <v>23</v>
      </c>
      <c r="F1029" t="s">
        <v>30</v>
      </c>
      <c r="G1029" t="s">
        <v>10</v>
      </c>
    </row>
    <row r="1030" spans="1:7" x14ac:dyDescent="0.25">
      <c r="A1030" t="s">
        <v>135</v>
      </c>
      <c r="B1030">
        <v>245</v>
      </c>
      <c r="C1030">
        <v>-78</v>
      </c>
      <c r="D1030">
        <v>2</v>
      </c>
      <c r="E1030" t="s">
        <v>8</v>
      </c>
      <c r="F1030" t="s">
        <v>18</v>
      </c>
      <c r="G1030" t="s">
        <v>28</v>
      </c>
    </row>
    <row r="1031" spans="1:7" x14ac:dyDescent="0.25">
      <c r="A1031" t="s">
        <v>59</v>
      </c>
      <c r="B1031">
        <v>146</v>
      </c>
      <c r="C1031">
        <v>42</v>
      </c>
      <c r="D1031">
        <v>5</v>
      </c>
      <c r="E1031" t="s">
        <v>23</v>
      </c>
      <c r="F1031" t="s">
        <v>30</v>
      </c>
      <c r="G1031" t="s">
        <v>28</v>
      </c>
    </row>
    <row r="1032" spans="1:7" x14ac:dyDescent="0.25">
      <c r="A1032" t="s">
        <v>125</v>
      </c>
      <c r="B1032">
        <v>245</v>
      </c>
      <c r="C1032">
        <v>10</v>
      </c>
      <c r="D1032">
        <v>2</v>
      </c>
      <c r="E1032" t="s">
        <v>12</v>
      </c>
      <c r="F1032" t="s">
        <v>16</v>
      </c>
      <c r="G1032" t="s">
        <v>10</v>
      </c>
    </row>
    <row r="1033" spans="1:7" x14ac:dyDescent="0.25">
      <c r="A1033" t="s">
        <v>264</v>
      </c>
      <c r="B1033">
        <v>245</v>
      </c>
      <c r="C1033">
        <v>91</v>
      </c>
      <c r="D1033">
        <v>2</v>
      </c>
      <c r="E1033" t="s">
        <v>12</v>
      </c>
      <c r="F1033" t="s">
        <v>16</v>
      </c>
      <c r="G1033" t="s">
        <v>28</v>
      </c>
    </row>
    <row r="1034" spans="1:7" x14ac:dyDescent="0.25">
      <c r="A1034" t="s">
        <v>395</v>
      </c>
      <c r="B1034">
        <v>80</v>
      </c>
      <c r="C1034">
        <v>3</v>
      </c>
      <c r="D1034">
        <v>3</v>
      </c>
      <c r="E1034" t="s">
        <v>23</v>
      </c>
      <c r="F1034" t="s">
        <v>57</v>
      </c>
      <c r="G1034" t="s">
        <v>14</v>
      </c>
    </row>
    <row r="1035" spans="1:7" x14ac:dyDescent="0.25">
      <c r="A1035" t="s">
        <v>196</v>
      </c>
      <c r="B1035">
        <v>269</v>
      </c>
      <c r="C1035">
        <v>33</v>
      </c>
      <c r="D1035">
        <v>5</v>
      </c>
      <c r="E1035" t="s">
        <v>12</v>
      </c>
      <c r="F1035" t="s">
        <v>13</v>
      </c>
      <c r="G1035" t="s">
        <v>82</v>
      </c>
    </row>
    <row r="1036" spans="1:7" x14ac:dyDescent="0.25">
      <c r="A1036" t="s">
        <v>462</v>
      </c>
      <c r="B1036">
        <v>80</v>
      </c>
      <c r="C1036">
        <v>22</v>
      </c>
      <c r="D1036">
        <v>3</v>
      </c>
      <c r="E1036" t="s">
        <v>23</v>
      </c>
      <c r="F1036" t="s">
        <v>57</v>
      </c>
      <c r="G1036" t="s">
        <v>14</v>
      </c>
    </row>
    <row r="1037" spans="1:7" x14ac:dyDescent="0.25">
      <c r="A1037" t="s">
        <v>230</v>
      </c>
      <c r="B1037">
        <v>284</v>
      </c>
      <c r="C1037">
        <v>44</v>
      </c>
      <c r="D1037">
        <v>6</v>
      </c>
      <c r="E1037" t="s">
        <v>23</v>
      </c>
      <c r="F1037" t="s">
        <v>30</v>
      </c>
      <c r="G1037" t="s">
        <v>10</v>
      </c>
    </row>
    <row r="1038" spans="1:7" x14ac:dyDescent="0.25">
      <c r="A1038" t="s">
        <v>463</v>
      </c>
      <c r="B1038">
        <v>313</v>
      </c>
      <c r="C1038">
        <v>44</v>
      </c>
      <c r="D1038">
        <v>3</v>
      </c>
      <c r="E1038" t="s">
        <v>8</v>
      </c>
      <c r="F1038" t="s">
        <v>9</v>
      </c>
      <c r="G1038" t="s">
        <v>10</v>
      </c>
    </row>
    <row r="1039" spans="1:7" x14ac:dyDescent="0.25">
      <c r="A1039" t="s">
        <v>464</v>
      </c>
      <c r="B1039">
        <v>80</v>
      </c>
      <c r="C1039">
        <v>-26</v>
      </c>
      <c r="D1039">
        <v>9</v>
      </c>
      <c r="E1039" t="s">
        <v>23</v>
      </c>
      <c r="F1039" t="s">
        <v>43</v>
      </c>
      <c r="G1039" t="s">
        <v>14</v>
      </c>
    </row>
    <row r="1040" spans="1:7" x14ac:dyDescent="0.25">
      <c r="A1040" t="s">
        <v>465</v>
      </c>
      <c r="B1040">
        <v>48</v>
      </c>
      <c r="C1040">
        <v>-8</v>
      </c>
      <c r="D1040">
        <v>8</v>
      </c>
      <c r="E1040" t="s">
        <v>23</v>
      </c>
      <c r="F1040" t="s">
        <v>57</v>
      </c>
      <c r="G1040" t="s">
        <v>10</v>
      </c>
    </row>
    <row r="1041" spans="1:7" x14ac:dyDescent="0.25">
      <c r="A1041" t="s">
        <v>466</v>
      </c>
      <c r="B1041">
        <v>87</v>
      </c>
      <c r="C1041">
        <v>16</v>
      </c>
      <c r="D1041">
        <v>2</v>
      </c>
      <c r="E1041" t="s">
        <v>23</v>
      </c>
      <c r="F1041" t="s">
        <v>26</v>
      </c>
      <c r="G1041" t="s">
        <v>28</v>
      </c>
    </row>
    <row r="1042" spans="1:7" x14ac:dyDescent="0.25">
      <c r="A1042" t="s">
        <v>288</v>
      </c>
      <c r="B1042">
        <v>47</v>
      </c>
      <c r="C1042">
        <v>-114</v>
      </c>
      <c r="D1042">
        <v>5</v>
      </c>
      <c r="E1042" t="s">
        <v>12</v>
      </c>
      <c r="F1042" t="s">
        <v>131</v>
      </c>
      <c r="G1042" t="s">
        <v>10</v>
      </c>
    </row>
    <row r="1043" spans="1:7" x14ac:dyDescent="0.25">
      <c r="A1043" t="s">
        <v>394</v>
      </c>
      <c r="B1043">
        <v>140</v>
      </c>
      <c r="C1043">
        <v>28</v>
      </c>
      <c r="D1043">
        <v>2</v>
      </c>
      <c r="E1043" t="s">
        <v>8</v>
      </c>
      <c r="F1043" t="s">
        <v>21</v>
      </c>
      <c r="G1043" t="s">
        <v>10</v>
      </c>
    </row>
    <row r="1044" spans="1:7" x14ac:dyDescent="0.25">
      <c r="A1044" t="s">
        <v>173</v>
      </c>
      <c r="B1044">
        <v>47</v>
      </c>
      <c r="C1044">
        <v>1</v>
      </c>
      <c r="D1044">
        <v>2</v>
      </c>
      <c r="E1044" t="s">
        <v>23</v>
      </c>
      <c r="F1044" t="s">
        <v>57</v>
      </c>
      <c r="G1044" t="s">
        <v>10</v>
      </c>
    </row>
    <row r="1045" spans="1:7" x14ac:dyDescent="0.25">
      <c r="A1045" t="s">
        <v>191</v>
      </c>
      <c r="B1045">
        <v>79</v>
      </c>
      <c r="C1045">
        <v>-2</v>
      </c>
      <c r="D1045">
        <v>2</v>
      </c>
      <c r="E1045" t="s">
        <v>12</v>
      </c>
      <c r="F1045" t="s">
        <v>131</v>
      </c>
      <c r="G1045" t="s">
        <v>14</v>
      </c>
    </row>
    <row r="1046" spans="1:7" x14ac:dyDescent="0.25">
      <c r="A1046" t="s">
        <v>163</v>
      </c>
      <c r="B1046">
        <v>78</v>
      </c>
      <c r="C1046">
        <v>-64</v>
      </c>
      <c r="D1046">
        <v>7</v>
      </c>
      <c r="E1046" t="s">
        <v>23</v>
      </c>
      <c r="F1046" t="s">
        <v>57</v>
      </c>
      <c r="G1046" t="s">
        <v>14</v>
      </c>
    </row>
    <row r="1047" spans="1:7" x14ac:dyDescent="0.25">
      <c r="A1047" t="s">
        <v>208</v>
      </c>
      <c r="B1047">
        <v>47</v>
      </c>
      <c r="C1047">
        <v>-3</v>
      </c>
      <c r="D1047">
        <v>2</v>
      </c>
      <c r="E1047" t="s">
        <v>23</v>
      </c>
      <c r="F1047" t="s">
        <v>57</v>
      </c>
      <c r="G1047" t="s">
        <v>10</v>
      </c>
    </row>
    <row r="1048" spans="1:7" x14ac:dyDescent="0.25">
      <c r="A1048" t="s">
        <v>329</v>
      </c>
      <c r="B1048">
        <v>185</v>
      </c>
      <c r="C1048">
        <v>48</v>
      </c>
      <c r="D1048">
        <v>4</v>
      </c>
      <c r="E1048" t="s">
        <v>23</v>
      </c>
      <c r="F1048" t="s">
        <v>57</v>
      </c>
      <c r="G1048" t="s">
        <v>28</v>
      </c>
    </row>
    <row r="1049" spans="1:7" x14ac:dyDescent="0.25">
      <c r="A1049" t="s">
        <v>204</v>
      </c>
      <c r="B1049">
        <v>77</v>
      </c>
      <c r="C1049">
        <v>36</v>
      </c>
      <c r="D1049">
        <v>2</v>
      </c>
      <c r="E1049" t="s">
        <v>23</v>
      </c>
      <c r="F1049" t="s">
        <v>142</v>
      </c>
      <c r="G1049" t="s">
        <v>14</v>
      </c>
    </row>
    <row r="1050" spans="1:7" x14ac:dyDescent="0.25">
      <c r="A1050" t="s">
        <v>467</v>
      </c>
      <c r="B1050">
        <v>259</v>
      </c>
      <c r="C1050">
        <v>47</v>
      </c>
      <c r="D1050">
        <v>5</v>
      </c>
      <c r="E1050" t="s">
        <v>23</v>
      </c>
      <c r="F1050" t="s">
        <v>30</v>
      </c>
      <c r="G1050" t="s">
        <v>28</v>
      </c>
    </row>
    <row r="1051" spans="1:7" x14ac:dyDescent="0.25">
      <c r="A1051" t="s">
        <v>468</v>
      </c>
      <c r="B1051">
        <v>75</v>
      </c>
      <c r="C1051">
        <v>0</v>
      </c>
      <c r="D1051">
        <v>7</v>
      </c>
      <c r="E1051" t="s">
        <v>23</v>
      </c>
      <c r="F1051" t="s">
        <v>26</v>
      </c>
      <c r="G1051" t="s">
        <v>14</v>
      </c>
    </row>
    <row r="1052" spans="1:7" x14ac:dyDescent="0.25">
      <c r="A1052" t="s">
        <v>469</v>
      </c>
      <c r="B1052">
        <v>75</v>
      </c>
      <c r="C1052">
        <v>0</v>
      </c>
      <c r="D1052">
        <v>3</v>
      </c>
      <c r="E1052" t="s">
        <v>23</v>
      </c>
      <c r="F1052" t="s">
        <v>142</v>
      </c>
      <c r="G1052" t="s">
        <v>14</v>
      </c>
    </row>
    <row r="1053" spans="1:7" x14ac:dyDescent="0.25">
      <c r="A1053" t="s">
        <v>193</v>
      </c>
      <c r="B1053">
        <v>46</v>
      </c>
      <c r="C1053">
        <v>0</v>
      </c>
      <c r="D1053">
        <v>4</v>
      </c>
      <c r="E1053" t="s">
        <v>23</v>
      </c>
      <c r="F1053" t="s">
        <v>63</v>
      </c>
      <c r="G1053" t="s">
        <v>10</v>
      </c>
    </row>
    <row r="1054" spans="1:7" x14ac:dyDescent="0.25">
      <c r="A1054" t="s">
        <v>194</v>
      </c>
      <c r="B1054">
        <v>46</v>
      </c>
      <c r="C1054">
        <v>13</v>
      </c>
      <c r="D1054">
        <v>3</v>
      </c>
      <c r="E1054" t="s">
        <v>23</v>
      </c>
      <c r="F1054" t="s">
        <v>30</v>
      </c>
      <c r="G1054" t="s">
        <v>10</v>
      </c>
    </row>
    <row r="1055" spans="1:7" x14ac:dyDescent="0.25">
      <c r="A1055" t="s">
        <v>15</v>
      </c>
      <c r="B1055">
        <v>200</v>
      </c>
      <c r="C1055">
        <v>13</v>
      </c>
      <c r="D1055">
        <v>5</v>
      </c>
      <c r="E1055" t="s">
        <v>8</v>
      </c>
      <c r="F1055" t="s">
        <v>21</v>
      </c>
      <c r="G1055" t="s">
        <v>10</v>
      </c>
    </row>
    <row r="1056" spans="1:7" x14ac:dyDescent="0.25">
      <c r="A1056" t="s">
        <v>470</v>
      </c>
      <c r="B1056">
        <v>46</v>
      </c>
      <c r="C1056">
        <v>-14</v>
      </c>
      <c r="D1056">
        <v>1</v>
      </c>
      <c r="E1056" t="s">
        <v>8</v>
      </c>
      <c r="F1056" t="s">
        <v>21</v>
      </c>
      <c r="G1056" t="s">
        <v>10</v>
      </c>
    </row>
    <row r="1057" spans="1:7" x14ac:dyDescent="0.25">
      <c r="A1057" t="s">
        <v>471</v>
      </c>
      <c r="B1057">
        <v>126</v>
      </c>
      <c r="C1057">
        <v>52</v>
      </c>
      <c r="D1057">
        <v>4</v>
      </c>
      <c r="E1057" t="s">
        <v>23</v>
      </c>
      <c r="F1057" t="s">
        <v>30</v>
      </c>
      <c r="G1057" t="s">
        <v>28</v>
      </c>
    </row>
    <row r="1058" spans="1:7" x14ac:dyDescent="0.25">
      <c r="A1058" t="s">
        <v>269</v>
      </c>
      <c r="B1058">
        <v>74</v>
      </c>
      <c r="C1058">
        <v>29</v>
      </c>
      <c r="D1058">
        <v>3</v>
      </c>
      <c r="E1058" t="s">
        <v>23</v>
      </c>
      <c r="F1058" t="s">
        <v>57</v>
      </c>
      <c r="G1058" t="s">
        <v>14</v>
      </c>
    </row>
    <row r="1059" spans="1:7" x14ac:dyDescent="0.25">
      <c r="A1059" t="s">
        <v>236</v>
      </c>
      <c r="B1059">
        <v>45</v>
      </c>
      <c r="C1059">
        <v>13</v>
      </c>
      <c r="D1059">
        <v>4</v>
      </c>
      <c r="E1059" t="s">
        <v>23</v>
      </c>
      <c r="F1059" t="s">
        <v>43</v>
      </c>
      <c r="G1059" t="s">
        <v>10</v>
      </c>
    </row>
    <row r="1060" spans="1:7" x14ac:dyDescent="0.25">
      <c r="A1060" t="s">
        <v>212</v>
      </c>
      <c r="B1060">
        <v>74</v>
      </c>
      <c r="C1060">
        <v>9</v>
      </c>
      <c r="D1060">
        <v>3</v>
      </c>
      <c r="E1060" t="s">
        <v>23</v>
      </c>
      <c r="F1060" t="s">
        <v>142</v>
      </c>
      <c r="G1060" t="s">
        <v>28</v>
      </c>
    </row>
    <row r="1061" spans="1:7" x14ac:dyDescent="0.25">
      <c r="A1061" t="s">
        <v>292</v>
      </c>
      <c r="B1061">
        <v>129</v>
      </c>
      <c r="C1061">
        <v>11</v>
      </c>
      <c r="D1061">
        <v>2</v>
      </c>
      <c r="E1061" t="s">
        <v>8</v>
      </c>
      <c r="F1061" t="s">
        <v>21</v>
      </c>
      <c r="G1061" t="s">
        <v>28</v>
      </c>
    </row>
    <row r="1062" spans="1:7" x14ac:dyDescent="0.25">
      <c r="A1062" t="s">
        <v>329</v>
      </c>
      <c r="B1062">
        <v>122</v>
      </c>
      <c r="C1062">
        <v>50</v>
      </c>
      <c r="D1062">
        <v>7</v>
      </c>
      <c r="E1062" t="s">
        <v>23</v>
      </c>
      <c r="F1062" t="s">
        <v>57</v>
      </c>
      <c r="G1062" t="s">
        <v>28</v>
      </c>
    </row>
    <row r="1063" spans="1:7" x14ac:dyDescent="0.25">
      <c r="A1063" t="s">
        <v>224</v>
      </c>
      <c r="B1063">
        <v>74</v>
      </c>
      <c r="C1063">
        <v>-51</v>
      </c>
      <c r="D1063">
        <v>3</v>
      </c>
      <c r="E1063" t="s">
        <v>23</v>
      </c>
      <c r="F1063" t="s">
        <v>57</v>
      </c>
      <c r="G1063" t="s">
        <v>28</v>
      </c>
    </row>
    <row r="1064" spans="1:7" x14ac:dyDescent="0.25">
      <c r="A1064" t="s">
        <v>261</v>
      </c>
      <c r="B1064">
        <v>278</v>
      </c>
      <c r="C1064">
        <v>39</v>
      </c>
      <c r="D1064">
        <v>5</v>
      </c>
      <c r="E1064" t="s">
        <v>12</v>
      </c>
      <c r="F1064" t="s">
        <v>13</v>
      </c>
      <c r="G1064" t="s">
        <v>82</v>
      </c>
    </row>
    <row r="1065" spans="1:7" x14ac:dyDescent="0.25">
      <c r="A1065" t="s">
        <v>472</v>
      </c>
      <c r="B1065">
        <v>282</v>
      </c>
      <c r="C1065">
        <v>14</v>
      </c>
      <c r="D1065">
        <v>4</v>
      </c>
      <c r="E1065" t="s">
        <v>23</v>
      </c>
      <c r="F1065" t="s">
        <v>24</v>
      </c>
      <c r="G1065" t="s">
        <v>82</v>
      </c>
    </row>
    <row r="1066" spans="1:7" x14ac:dyDescent="0.25">
      <c r="A1066" t="s">
        <v>166</v>
      </c>
      <c r="B1066">
        <v>45</v>
      </c>
      <c r="C1066">
        <v>0</v>
      </c>
      <c r="D1066">
        <v>2</v>
      </c>
      <c r="E1066" t="s">
        <v>23</v>
      </c>
      <c r="F1066" t="s">
        <v>81</v>
      </c>
      <c r="G1066" t="s">
        <v>10</v>
      </c>
    </row>
    <row r="1067" spans="1:7" x14ac:dyDescent="0.25">
      <c r="A1067" t="s">
        <v>79</v>
      </c>
      <c r="B1067">
        <v>45</v>
      </c>
      <c r="C1067">
        <v>6</v>
      </c>
      <c r="D1067">
        <v>3</v>
      </c>
      <c r="E1067" t="s">
        <v>23</v>
      </c>
      <c r="F1067" t="s">
        <v>142</v>
      </c>
      <c r="G1067" t="s">
        <v>10</v>
      </c>
    </row>
    <row r="1068" spans="1:7" x14ac:dyDescent="0.25">
      <c r="A1068" t="s">
        <v>424</v>
      </c>
      <c r="B1068">
        <v>45</v>
      </c>
      <c r="C1068">
        <v>16</v>
      </c>
      <c r="D1068">
        <v>3</v>
      </c>
      <c r="E1068" t="s">
        <v>23</v>
      </c>
      <c r="F1068" t="s">
        <v>57</v>
      </c>
      <c r="G1068" t="s">
        <v>10</v>
      </c>
    </row>
    <row r="1069" spans="1:7" x14ac:dyDescent="0.25">
      <c r="A1069" t="s">
        <v>473</v>
      </c>
      <c r="B1069">
        <v>73</v>
      </c>
      <c r="C1069">
        <v>-36</v>
      </c>
      <c r="D1069">
        <v>3</v>
      </c>
      <c r="E1069" t="s">
        <v>12</v>
      </c>
      <c r="F1069" t="s">
        <v>13</v>
      </c>
      <c r="G1069" t="s">
        <v>28</v>
      </c>
    </row>
    <row r="1070" spans="1:7" x14ac:dyDescent="0.25">
      <c r="A1070" t="s">
        <v>113</v>
      </c>
      <c r="B1070">
        <v>45</v>
      </c>
      <c r="C1070">
        <v>12</v>
      </c>
      <c r="D1070">
        <v>4</v>
      </c>
      <c r="E1070" t="s">
        <v>23</v>
      </c>
      <c r="F1070" t="s">
        <v>30</v>
      </c>
      <c r="G1070" t="s">
        <v>10</v>
      </c>
    </row>
    <row r="1071" spans="1:7" x14ac:dyDescent="0.25">
      <c r="A1071" t="s">
        <v>344</v>
      </c>
      <c r="B1071">
        <v>72</v>
      </c>
      <c r="C1071">
        <v>-6</v>
      </c>
      <c r="D1071">
        <v>3</v>
      </c>
      <c r="E1071" t="s">
        <v>23</v>
      </c>
      <c r="F1071" t="s">
        <v>26</v>
      </c>
      <c r="G1071" t="s">
        <v>28</v>
      </c>
    </row>
    <row r="1072" spans="1:7" x14ac:dyDescent="0.25">
      <c r="A1072" t="s">
        <v>403</v>
      </c>
      <c r="B1072">
        <v>71</v>
      </c>
      <c r="C1072">
        <v>-44</v>
      </c>
      <c r="D1072">
        <v>5</v>
      </c>
      <c r="E1072" t="s">
        <v>8</v>
      </c>
      <c r="F1072" t="s">
        <v>73</v>
      </c>
      <c r="G1072" t="s">
        <v>28</v>
      </c>
    </row>
    <row r="1073" spans="1:7" x14ac:dyDescent="0.25">
      <c r="A1073" t="s">
        <v>461</v>
      </c>
      <c r="B1073">
        <v>45</v>
      </c>
      <c r="C1073">
        <v>-2</v>
      </c>
      <c r="D1073">
        <v>4</v>
      </c>
      <c r="E1073" t="s">
        <v>23</v>
      </c>
      <c r="F1073" t="s">
        <v>142</v>
      </c>
      <c r="G1073" t="s">
        <v>10</v>
      </c>
    </row>
    <row r="1074" spans="1:7" x14ac:dyDescent="0.25">
      <c r="A1074" t="s">
        <v>173</v>
      </c>
      <c r="B1074">
        <v>286</v>
      </c>
      <c r="C1074">
        <v>140</v>
      </c>
      <c r="D1074">
        <v>6</v>
      </c>
      <c r="E1074" t="s">
        <v>23</v>
      </c>
      <c r="F1074" t="s">
        <v>142</v>
      </c>
      <c r="G1074" t="s">
        <v>82</v>
      </c>
    </row>
    <row r="1075" spans="1:7" x14ac:dyDescent="0.25">
      <c r="A1075" t="s">
        <v>474</v>
      </c>
      <c r="B1075">
        <v>294</v>
      </c>
      <c r="C1075">
        <v>138</v>
      </c>
      <c r="D1075">
        <v>2</v>
      </c>
      <c r="E1075" t="s">
        <v>8</v>
      </c>
      <c r="F1075" t="s">
        <v>18</v>
      </c>
      <c r="G1075" t="s">
        <v>82</v>
      </c>
    </row>
    <row r="1076" spans="1:7" x14ac:dyDescent="0.25">
      <c r="A1076" t="s">
        <v>159</v>
      </c>
      <c r="B1076">
        <v>223</v>
      </c>
      <c r="C1076">
        <v>4</v>
      </c>
      <c r="D1076">
        <v>3</v>
      </c>
      <c r="E1076" t="s">
        <v>8</v>
      </c>
      <c r="F1076" t="s">
        <v>21</v>
      </c>
      <c r="G1076" t="s">
        <v>10</v>
      </c>
    </row>
    <row r="1077" spans="1:7" x14ac:dyDescent="0.25">
      <c r="A1077" t="s">
        <v>475</v>
      </c>
      <c r="B1077">
        <v>20</v>
      </c>
      <c r="C1077">
        <v>-2</v>
      </c>
      <c r="D1077">
        <v>1</v>
      </c>
      <c r="E1077" t="s">
        <v>8</v>
      </c>
      <c r="F1077" t="s">
        <v>73</v>
      </c>
      <c r="G1077" t="s">
        <v>28</v>
      </c>
    </row>
    <row r="1078" spans="1:7" x14ac:dyDescent="0.25">
      <c r="A1078" t="s">
        <v>275</v>
      </c>
      <c r="B1078">
        <v>302</v>
      </c>
      <c r="C1078">
        <v>75</v>
      </c>
      <c r="D1078">
        <v>6</v>
      </c>
      <c r="E1078" t="s">
        <v>12</v>
      </c>
      <c r="F1078" t="s">
        <v>131</v>
      </c>
      <c r="G1078" t="s">
        <v>82</v>
      </c>
    </row>
    <row r="1079" spans="1:7" x14ac:dyDescent="0.25">
      <c r="A1079" t="s">
        <v>301</v>
      </c>
      <c r="B1079">
        <v>113</v>
      </c>
      <c r="C1079">
        <v>28</v>
      </c>
      <c r="D1079">
        <v>2</v>
      </c>
      <c r="E1079" t="s">
        <v>23</v>
      </c>
      <c r="F1079" t="s">
        <v>26</v>
      </c>
      <c r="G1079" t="s">
        <v>28</v>
      </c>
    </row>
    <row r="1080" spans="1:7" x14ac:dyDescent="0.25">
      <c r="A1080" t="s">
        <v>132</v>
      </c>
      <c r="B1080">
        <v>44</v>
      </c>
      <c r="C1080">
        <v>2</v>
      </c>
      <c r="D1080">
        <v>3</v>
      </c>
      <c r="E1080" t="s">
        <v>23</v>
      </c>
      <c r="F1080" t="s">
        <v>30</v>
      </c>
      <c r="G1080" t="s">
        <v>10</v>
      </c>
    </row>
    <row r="1081" spans="1:7" x14ac:dyDescent="0.25">
      <c r="A1081" t="s">
        <v>476</v>
      </c>
      <c r="B1081">
        <v>305</v>
      </c>
      <c r="C1081">
        <v>-270</v>
      </c>
      <c r="D1081">
        <v>5</v>
      </c>
      <c r="E1081" t="s">
        <v>8</v>
      </c>
      <c r="F1081" t="s">
        <v>9</v>
      </c>
      <c r="G1081" t="s">
        <v>82</v>
      </c>
    </row>
    <row r="1082" spans="1:7" x14ac:dyDescent="0.25">
      <c r="A1082" t="s">
        <v>469</v>
      </c>
      <c r="B1082">
        <v>306</v>
      </c>
      <c r="C1082">
        <v>-147</v>
      </c>
      <c r="D1082">
        <v>3</v>
      </c>
      <c r="E1082" t="s">
        <v>23</v>
      </c>
      <c r="F1082" t="s">
        <v>26</v>
      </c>
      <c r="G1082" t="s">
        <v>82</v>
      </c>
    </row>
    <row r="1083" spans="1:7" x14ac:dyDescent="0.25">
      <c r="A1083" t="s">
        <v>272</v>
      </c>
      <c r="B1083">
        <v>70</v>
      </c>
      <c r="C1083">
        <v>-64</v>
      </c>
      <c r="D1083">
        <v>5</v>
      </c>
      <c r="E1083" t="s">
        <v>23</v>
      </c>
      <c r="F1083" t="s">
        <v>57</v>
      </c>
      <c r="G1083" t="s">
        <v>28</v>
      </c>
    </row>
    <row r="1084" spans="1:7" x14ac:dyDescent="0.25">
      <c r="A1084" t="s">
        <v>281</v>
      </c>
      <c r="B1084">
        <v>44</v>
      </c>
      <c r="C1084">
        <v>11</v>
      </c>
      <c r="D1084">
        <v>4</v>
      </c>
      <c r="E1084" t="s">
        <v>23</v>
      </c>
      <c r="F1084" t="s">
        <v>57</v>
      </c>
      <c r="G1084" t="s">
        <v>10</v>
      </c>
    </row>
    <row r="1085" spans="1:7" x14ac:dyDescent="0.25">
      <c r="A1085" t="s">
        <v>133</v>
      </c>
      <c r="B1085">
        <v>44</v>
      </c>
      <c r="C1085">
        <v>14</v>
      </c>
      <c r="D1085">
        <v>3</v>
      </c>
      <c r="E1085" t="s">
        <v>23</v>
      </c>
      <c r="F1085" t="s">
        <v>30</v>
      </c>
      <c r="G1085" t="s">
        <v>10</v>
      </c>
    </row>
    <row r="1086" spans="1:7" x14ac:dyDescent="0.25">
      <c r="A1086" t="s">
        <v>54</v>
      </c>
      <c r="B1086">
        <v>319</v>
      </c>
      <c r="C1086">
        <v>312</v>
      </c>
      <c r="D1086">
        <v>5</v>
      </c>
      <c r="E1086" t="s">
        <v>23</v>
      </c>
      <c r="F1086" t="s">
        <v>26</v>
      </c>
      <c r="G1086" t="s">
        <v>82</v>
      </c>
    </row>
    <row r="1087" spans="1:7" x14ac:dyDescent="0.25">
      <c r="A1087" t="s">
        <v>249</v>
      </c>
      <c r="B1087">
        <v>287</v>
      </c>
      <c r="C1087">
        <v>-280</v>
      </c>
      <c r="D1087">
        <v>12</v>
      </c>
      <c r="E1087" t="s">
        <v>12</v>
      </c>
      <c r="F1087" t="s">
        <v>13</v>
      </c>
      <c r="G1087" t="s">
        <v>28</v>
      </c>
    </row>
    <row r="1088" spans="1:7" x14ac:dyDescent="0.25">
      <c r="A1088" t="s">
        <v>328</v>
      </c>
      <c r="B1088">
        <v>44</v>
      </c>
      <c r="C1088">
        <v>10</v>
      </c>
      <c r="D1088">
        <v>3</v>
      </c>
      <c r="E1088" t="s">
        <v>23</v>
      </c>
      <c r="F1088" t="s">
        <v>57</v>
      </c>
      <c r="G1088" t="s">
        <v>10</v>
      </c>
    </row>
    <row r="1089" spans="1:7" x14ac:dyDescent="0.25">
      <c r="A1089" t="s">
        <v>143</v>
      </c>
      <c r="B1089">
        <v>288</v>
      </c>
      <c r="C1089">
        <v>-180</v>
      </c>
      <c r="D1089">
        <v>4</v>
      </c>
      <c r="E1089" t="s">
        <v>12</v>
      </c>
      <c r="F1089" t="s">
        <v>13</v>
      </c>
      <c r="G1089" t="s">
        <v>10</v>
      </c>
    </row>
    <row r="1090" spans="1:7" x14ac:dyDescent="0.25">
      <c r="A1090" t="s">
        <v>80</v>
      </c>
      <c r="B1090">
        <v>49</v>
      </c>
      <c r="C1090">
        <v>-31</v>
      </c>
      <c r="D1090">
        <v>2</v>
      </c>
      <c r="E1090" t="s">
        <v>23</v>
      </c>
      <c r="F1090" t="s">
        <v>57</v>
      </c>
      <c r="G1090" t="s">
        <v>10</v>
      </c>
    </row>
    <row r="1091" spans="1:7" x14ac:dyDescent="0.25">
      <c r="A1091" t="s">
        <v>192</v>
      </c>
      <c r="B1091">
        <v>43</v>
      </c>
      <c r="C1091">
        <v>-10</v>
      </c>
      <c r="D1091">
        <v>4</v>
      </c>
      <c r="E1091" t="s">
        <v>23</v>
      </c>
      <c r="F1091" t="s">
        <v>43</v>
      </c>
      <c r="G1091" t="s">
        <v>10</v>
      </c>
    </row>
    <row r="1092" spans="1:7" x14ac:dyDescent="0.25">
      <c r="A1092" t="s">
        <v>185</v>
      </c>
      <c r="B1092">
        <v>43</v>
      </c>
      <c r="C1092">
        <v>5</v>
      </c>
      <c r="D1092">
        <v>3</v>
      </c>
      <c r="E1092" t="s">
        <v>23</v>
      </c>
      <c r="F1092" t="s">
        <v>57</v>
      </c>
      <c r="G1092" t="s">
        <v>10</v>
      </c>
    </row>
    <row r="1093" spans="1:7" x14ac:dyDescent="0.25">
      <c r="A1093" t="s">
        <v>7</v>
      </c>
      <c r="B1093">
        <v>68</v>
      </c>
      <c r="C1093">
        <v>-27</v>
      </c>
      <c r="D1093">
        <v>3</v>
      </c>
      <c r="E1093" t="s">
        <v>8</v>
      </c>
      <c r="F1093" t="s">
        <v>73</v>
      </c>
      <c r="G1093" t="s">
        <v>28</v>
      </c>
    </row>
    <row r="1094" spans="1:7" x14ac:dyDescent="0.25">
      <c r="A1094" t="s">
        <v>113</v>
      </c>
      <c r="B1094">
        <v>320</v>
      </c>
      <c r="C1094">
        <v>144</v>
      </c>
      <c r="D1094">
        <v>1</v>
      </c>
      <c r="E1094" t="s">
        <v>8</v>
      </c>
      <c r="F1094" t="s">
        <v>18</v>
      </c>
      <c r="G1094" t="s">
        <v>82</v>
      </c>
    </row>
    <row r="1095" spans="1:7" x14ac:dyDescent="0.25">
      <c r="A1095" t="s">
        <v>129</v>
      </c>
      <c r="B1095">
        <v>67</v>
      </c>
      <c r="C1095">
        <v>2</v>
      </c>
      <c r="D1095">
        <v>4</v>
      </c>
      <c r="E1095" t="s">
        <v>23</v>
      </c>
      <c r="F1095" t="s">
        <v>81</v>
      </c>
      <c r="G1095" t="s">
        <v>28</v>
      </c>
    </row>
    <row r="1096" spans="1:7" x14ac:dyDescent="0.25">
      <c r="A1096" t="s">
        <v>346</v>
      </c>
      <c r="B1096">
        <v>66</v>
      </c>
      <c r="C1096">
        <v>-12</v>
      </c>
      <c r="D1096">
        <v>5</v>
      </c>
      <c r="E1096" t="s">
        <v>23</v>
      </c>
      <c r="F1096" t="s">
        <v>57</v>
      </c>
      <c r="G1096" t="s">
        <v>28</v>
      </c>
    </row>
    <row r="1097" spans="1:7" x14ac:dyDescent="0.25">
      <c r="A1097" t="s">
        <v>379</v>
      </c>
      <c r="B1097">
        <v>321</v>
      </c>
      <c r="C1097">
        <v>26</v>
      </c>
      <c r="D1097">
        <v>3</v>
      </c>
      <c r="E1097" t="s">
        <v>8</v>
      </c>
      <c r="F1097" t="s">
        <v>18</v>
      </c>
      <c r="G1097" t="s">
        <v>82</v>
      </c>
    </row>
    <row r="1098" spans="1:7" x14ac:dyDescent="0.25">
      <c r="A1098" t="s">
        <v>262</v>
      </c>
      <c r="B1098">
        <v>43</v>
      </c>
      <c r="C1098">
        <v>-5</v>
      </c>
      <c r="D1098">
        <v>2</v>
      </c>
      <c r="E1098" t="s">
        <v>23</v>
      </c>
      <c r="F1098" t="s">
        <v>26</v>
      </c>
      <c r="G1098" t="s">
        <v>10</v>
      </c>
    </row>
    <row r="1099" spans="1:7" x14ac:dyDescent="0.25">
      <c r="A1099" t="s">
        <v>229</v>
      </c>
      <c r="B1099">
        <v>114</v>
      </c>
      <c r="C1099">
        <v>-39</v>
      </c>
      <c r="D1099">
        <v>5</v>
      </c>
      <c r="E1099" t="s">
        <v>23</v>
      </c>
      <c r="F1099" t="s">
        <v>32</v>
      </c>
      <c r="G1099" t="s">
        <v>10</v>
      </c>
    </row>
    <row r="1100" spans="1:7" x14ac:dyDescent="0.25">
      <c r="A1100" t="s">
        <v>178</v>
      </c>
      <c r="B1100">
        <v>43</v>
      </c>
      <c r="C1100">
        <v>17</v>
      </c>
      <c r="D1100">
        <v>1</v>
      </c>
      <c r="E1100" t="s">
        <v>23</v>
      </c>
      <c r="F1100" t="s">
        <v>26</v>
      </c>
      <c r="G1100" t="s">
        <v>10</v>
      </c>
    </row>
    <row r="1101" spans="1:7" x14ac:dyDescent="0.25">
      <c r="A1101" t="s">
        <v>262</v>
      </c>
      <c r="B1101">
        <v>43</v>
      </c>
      <c r="C1101">
        <v>21</v>
      </c>
      <c r="D1101">
        <v>3</v>
      </c>
      <c r="E1101" t="s">
        <v>23</v>
      </c>
      <c r="F1101" t="s">
        <v>142</v>
      </c>
      <c r="G1101" t="s">
        <v>10</v>
      </c>
    </row>
    <row r="1102" spans="1:7" x14ac:dyDescent="0.25">
      <c r="A1102" t="s">
        <v>200</v>
      </c>
      <c r="B1102">
        <v>637</v>
      </c>
      <c r="C1102">
        <v>50</v>
      </c>
      <c r="D1102">
        <v>5</v>
      </c>
      <c r="E1102" t="s">
        <v>23</v>
      </c>
      <c r="F1102" t="s">
        <v>26</v>
      </c>
      <c r="G1102" t="s">
        <v>10</v>
      </c>
    </row>
    <row r="1103" spans="1:7" x14ac:dyDescent="0.25">
      <c r="A1103" t="s">
        <v>31</v>
      </c>
      <c r="B1103">
        <v>300</v>
      </c>
      <c r="C1103">
        <v>42</v>
      </c>
      <c r="D1103">
        <v>2</v>
      </c>
      <c r="E1103" t="s">
        <v>8</v>
      </c>
      <c r="F1103" t="s">
        <v>18</v>
      </c>
      <c r="G1103" t="s">
        <v>10</v>
      </c>
    </row>
    <row r="1104" spans="1:7" x14ac:dyDescent="0.25">
      <c r="A1104" t="s">
        <v>477</v>
      </c>
      <c r="B1104">
        <v>341</v>
      </c>
      <c r="C1104">
        <v>44</v>
      </c>
      <c r="D1104">
        <v>7</v>
      </c>
      <c r="E1104" t="s">
        <v>12</v>
      </c>
      <c r="F1104" t="s">
        <v>131</v>
      </c>
      <c r="G1104" t="s">
        <v>28</v>
      </c>
    </row>
    <row r="1105" spans="1:7" x14ac:dyDescent="0.25">
      <c r="A1105" t="s">
        <v>120</v>
      </c>
      <c r="B1105">
        <v>102</v>
      </c>
      <c r="C1105">
        <v>0</v>
      </c>
      <c r="D1105">
        <v>3</v>
      </c>
      <c r="E1105" t="s">
        <v>8</v>
      </c>
      <c r="F1105" t="s">
        <v>21</v>
      </c>
      <c r="G1105" t="s">
        <v>10</v>
      </c>
    </row>
    <row r="1106" spans="1:7" x14ac:dyDescent="0.25">
      <c r="A1106" t="s">
        <v>37</v>
      </c>
      <c r="B1106">
        <v>328</v>
      </c>
      <c r="C1106">
        <v>-15</v>
      </c>
      <c r="D1106">
        <v>3</v>
      </c>
      <c r="E1106" t="s">
        <v>8</v>
      </c>
      <c r="F1106" t="s">
        <v>9</v>
      </c>
      <c r="G1106" t="s">
        <v>82</v>
      </c>
    </row>
    <row r="1107" spans="1:7" x14ac:dyDescent="0.25">
      <c r="A1107" t="s">
        <v>478</v>
      </c>
      <c r="B1107">
        <v>341</v>
      </c>
      <c r="C1107">
        <v>160</v>
      </c>
      <c r="D1107">
        <v>7</v>
      </c>
      <c r="E1107" t="s">
        <v>23</v>
      </c>
      <c r="F1107" t="s">
        <v>57</v>
      </c>
      <c r="G1107" t="s">
        <v>82</v>
      </c>
    </row>
    <row r="1108" spans="1:7" x14ac:dyDescent="0.25">
      <c r="A1108" t="s">
        <v>479</v>
      </c>
      <c r="B1108">
        <v>62</v>
      </c>
      <c r="C1108">
        <v>11</v>
      </c>
      <c r="D1108">
        <v>7</v>
      </c>
      <c r="E1108" t="s">
        <v>23</v>
      </c>
      <c r="F1108" t="s">
        <v>30</v>
      </c>
      <c r="G1108" t="s">
        <v>28</v>
      </c>
    </row>
    <row r="1109" spans="1:7" x14ac:dyDescent="0.25">
      <c r="A1109" t="s">
        <v>264</v>
      </c>
      <c r="B1109">
        <v>42</v>
      </c>
      <c r="C1109">
        <v>13</v>
      </c>
      <c r="D1109">
        <v>3</v>
      </c>
      <c r="E1109" t="s">
        <v>23</v>
      </c>
      <c r="F1109" t="s">
        <v>63</v>
      </c>
      <c r="G1109" t="s">
        <v>10</v>
      </c>
    </row>
    <row r="1110" spans="1:7" x14ac:dyDescent="0.25">
      <c r="A1110" t="s">
        <v>329</v>
      </c>
      <c r="B1110">
        <v>62</v>
      </c>
      <c r="C1110">
        <v>28</v>
      </c>
      <c r="D1110">
        <v>5</v>
      </c>
      <c r="E1110" t="s">
        <v>23</v>
      </c>
      <c r="F1110" t="s">
        <v>30</v>
      </c>
      <c r="G1110" t="s">
        <v>28</v>
      </c>
    </row>
    <row r="1111" spans="1:7" x14ac:dyDescent="0.25">
      <c r="A1111" t="s">
        <v>191</v>
      </c>
      <c r="B1111">
        <v>42</v>
      </c>
      <c r="C1111">
        <v>7</v>
      </c>
      <c r="D1111">
        <v>2</v>
      </c>
      <c r="E1111" t="s">
        <v>23</v>
      </c>
      <c r="F1111" t="s">
        <v>32</v>
      </c>
      <c r="G1111" t="s">
        <v>10</v>
      </c>
    </row>
    <row r="1112" spans="1:7" x14ac:dyDescent="0.25">
      <c r="A1112" t="s">
        <v>480</v>
      </c>
      <c r="B1112">
        <v>42</v>
      </c>
      <c r="C1112">
        <v>-3</v>
      </c>
      <c r="D1112">
        <v>1</v>
      </c>
      <c r="E1112" t="s">
        <v>8</v>
      </c>
      <c r="F1112" t="s">
        <v>9</v>
      </c>
      <c r="G1112" t="s">
        <v>10</v>
      </c>
    </row>
    <row r="1113" spans="1:7" x14ac:dyDescent="0.25">
      <c r="A1113" t="s">
        <v>420</v>
      </c>
      <c r="B1113">
        <v>313</v>
      </c>
      <c r="C1113">
        <v>-13</v>
      </c>
      <c r="D1113">
        <v>5</v>
      </c>
      <c r="E1113" t="s">
        <v>12</v>
      </c>
      <c r="F1113" t="s">
        <v>16</v>
      </c>
      <c r="G1113" t="s">
        <v>28</v>
      </c>
    </row>
    <row r="1114" spans="1:7" x14ac:dyDescent="0.25">
      <c r="A1114" t="s">
        <v>106</v>
      </c>
      <c r="B1114">
        <v>109</v>
      </c>
      <c r="C1114">
        <v>52</v>
      </c>
      <c r="D1114">
        <v>2</v>
      </c>
      <c r="E1114" t="s">
        <v>23</v>
      </c>
      <c r="F1114" t="s">
        <v>57</v>
      </c>
      <c r="G1114" t="s">
        <v>28</v>
      </c>
    </row>
    <row r="1115" spans="1:7" x14ac:dyDescent="0.25">
      <c r="A1115" t="s">
        <v>35</v>
      </c>
      <c r="B1115">
        <v>226</v>
      </c>
      <c r="C1115">
        <v>58</v>
      </c>
      <c r="D1115">
        <v>3</v>
      </c>
      <c r="E1115" t="s">
        <v>8</v>
      </c>
      <c r="F1115" t="s">
        <v>73</v>
      </c>
      <c r="G1115" t="s">
        <v>10</v>
      </c>
    </row>
    <row r="1116" spans="1:7" x14ac:dyDescent="0.25">
      <c r="A1116" t="s">
        <v>84</v>
      </c>
      <c r="B1116">
        <v>62</v>
      </c>
      <c r="C1116">
        <v>-1</v>
      </c>
      <c r="D1116">
        <v>1</v>
      </c>
      <c r="E1116" t="s">
        <v>8</v>
      </c>
      <c r="F1116" t="s">
        <v>21</v>
      </c>
      <c r="G1116" t="s">
        <v>28</v>
      </c>
    </row>
    <row r="1117" spans="1:7" x14ac:dyDescent="0.25">
      <c r="A1117" t="s">
        <v>97</v>
      </c>
      <c r="B1117">
        <v>61</v>
      </c>
      <c r="C1117">
        <v>-25</v>
      </c>
      <c r="D1117">
        <v>4</v>
      </c>
      <c r="E1117" t="s">
        <v>8</v>
      </c>
      <c r="F1117" t="s">
        <v>73</v>
      </c>
      <c r="G1117" t="s">
        <v>28</v>
      </c>
    </row>
    <row r="1118" spans="1:7" x14ac:dyDescent="0.25">
      <c r="A1118" t="s">
        <v>292</v>
      </c>
      <c r="B1118">
        <v>222</v>
      </c>
      <c r="C1118">
        <v>74</v>
      </c>
      <c r="D1118">
        <v>5</v>
      </c>
      <c r="E1118" t="s">
        <v>23</v>
      </c>
      <c r="F1118" t="s">
        <v>30</v>
      </c>
      <c r="G1118" t="s">
        <v>10</v>
      </c>
    </row>
    <row r="1119" spans="1:7" x14ac:dyDescent="0.25">
      <c r="A1119" t="s">
        <v>234</v>
      </c>
      <c r="B1119">
        <v>342</v>
      </c>
      <c r="C1119">
        <v>-154</v>
      </c>
      <c r="D1119">
        <v>7</v>
      </c>
      <c r="E1119" t="s">
        <v>12</v>
      </c>
      <c r="F1119" t="s">
        <v>131</v>
      </c>
      <c r="G1119" t="s">
        <v>82</v>
      </c>
    </row>
    <row r="1120" spans="1:7" x14ac:dyDescent="0.25">
      <c r="A1120" t="s">
        <v>100</v>
      </c>
      <c r="B1120">
        <v>344</v>
      </c>
      <c r="C1120">
        <v>-34</v>
      </c>
      <c r="D1120">
        <v>3</v>
      </c>
      <c r="E1120" t="s">
        <v>23</v>
      </c>
      <c r="F1120" t="s">
        <v>26</v>
      </c>
      <c r="G1120" t="s">
        <v>82</v>
      </c>
    </row>
    <row r="1121" spans="1:7" x14ac:dyDescent="0.25">
      <c r="A1121" t="s">
        <v>481</v>
      </c>
      <c r="B1121">
        <v>345</v>
      </c>
      <c r="C1121">
        <v>38</v>
      </c>
      <c r="D1121">
        <v>7</v>
      </c>
      <c r="E1121" t="s">
        <v>23</v>
      </c>
      <c r="F1121" t="s">
        <v>30</v>
      </c>
      <c r="G1121" t="s">
        <v>82</v>
      </c>
    </row>
    <row r="1122" spans="1:7" x14ac:dyDescent="0.25">
      <c r="A1122" t="s">
        <v>482</v>
      </c>
      <c r="B1122">
        <v>46</v>
      </c>
      <c r="C1122">
        <v>0</v>
      </c>
      <c r="D1122">
        <v>2</v>
      </c>
      <c r="E1122" t="s">
        <v>8</v>
      </c>
      <c r="F1122" t="s">
        <v>9</v>
      </c>
      <c r="G1122" t="s">
        <v>10</v>
      </c>
    </row>
    <row r="1123" spans="1:7" x14ac:dyDescent="0.25">
      <c r="A1123" t="s">
        <v>241</v>
      </c>
      <c r="B1123">
        <v>255</v>
      </c>
      <c r="C1123">
        <v>74</v>
      </c>
      <c r="D1123">
        <v>5</v>
      </c>
      <c r="E1123" t="s">
        <v>23</v>
      </c>
      <c r="F1123" t="s">
        <v>30</v>
      </c>
      <c r="G1123" t="s">
        <v>10</v>
      </c>
    </row>
    <row r="1124" spans="1:7" x14ac:dyDescent="0.25">
      <c r="A1124" t="s">
        <v>370</v>
      </c>
      <c r="B1124">
        <v>360</v>
      </c>
      <c r="C1124">
        <v>32</v>
      </c>
      <c r="D1124">
        <v>3</v>
      </c>
      <c r="E1124" t="s">
        <v>23</v>
      </c>
      <c r="F1124" t="s">
        <v>26</v>
      </c>
      <c r="G1124" t="s">
        <v>28</v>
      </c>
    </row>
    <row r="1125" spans="1:7" x14ac:dyDescent="0.25">
      <c r="A1125" t="s">
        <v>202</v>
      </c>
      <c r="B1125">
        <v>372</v>
      </c>
      <c r="C1125">
        <v>59</v>
      </c>
      <c r="D1125">
        <v>3</v>
      </c>
      <c r="E1125" t="s">
        <v>8</v>
      </c>
      <c r="F1125" t="s">
        <v>18</v>
      </c>
      <c r="G1125" t="s">
        <v>28</v>
      </c>
    </row>
    <row r="1126" spans="1:7" x14ac:dyDescent="0.25">
      <c r="A1126" t="s">
        <v>171</v>
      </c>
      <c r="B1126">
        <v>61</v>
      </c>
      <c r="C1126">
        <v>30</v>
      </c>
      <c r="D1126">
        <v>2</v>
      </c>
      <c r="E1126" t="s">
        <v>23</v>
      </c>
      <c r="F1126" t="s">
        <v>30</v>
      </c>
      <c r="G1126" t="s">
        <v>28</v>
      </c>
    </row>
    <row r="1127" spans="1:7" x14ac:dyDescent="0.25">
      <c r="A1127" t="s">
        <v>107</v>
      </c>
      <c r="B1127">
        <v>42</v>
      </c>
      <c r="C1127">
        <v>12</v>
      </c>
      <c r="D1127">
        <v>5</v>
      </c>
      <c r="E1127" t="s">
        <v>23</v>
      </c>
      <c r="F1127" t="s">
        <v>30</v>
      </c>
      <c r="G1127" t="s">
        <v>10</v>
      </c>
    </row>
    <row r="1128" spans="1:7" x14ac:dyDescent="0.25">
      <c r="A1128" t="s">
        <v>229</v>
      </c>
      <c r="B1128">
        <v>42</v>
      </c>
      <c r="C1128">
        <v>-26</v>
      </c>
      <c r="D1128">
        <v>2</v>
      </c>
      <c r="E1128" t="s">
        <v>23</v>
      </c>
      <c r="F1128" t="s">
        <v>32</v>
      </c>
      <c r="G1128" t="s">
        <v>10</v>
      </c>
    </row>
    <row r="1129" spans="1:7" x14ac:dyDescent="0.25">
      <c r="A1129" t="s">
        <v>483</v>
      </c>
      <c r="B1129">
        <v>61</v>
      </c>
      <c r="C1129">
        <v>25</v>
      </c>
      <c r="D1129">
        <v>4</v>
      </c>
      <c r="E1129" t="s">
        <v>23</v>
      </c>
      <c r="F1129" t="s">
        <v>26</v>
      </c>
      <c r="G1129" t="s">
        <v>28</v>
      </c>
    </row>
    <row r="1130" spans="1:7" x14ac:dyDescent="0.25">
      <c r="A1130" t="s">
        <v>50</v>
      </c>
      <c r="B1130">
        <v>41</v>
      </c>
      <c r="C1130">
        <v>11</v>
      </c>
      <c r="D1130">
        <v>6</v>
      </c>
      <c r="E1130" t="s">
        <v>23</v>
      </c>
      <c r="F1130" t="s">
        <v>30</v>
      </c>
      <c r="G1130" t="s">
        <v>10</v>
      </c>
    </row>
    <row r="1131" spans="1:7" x14ac:dyDescent="0.25">
      <c r="A1131" t="s">
        <v>165</v>
      </c>
      <c r="B1131">
        <v>40</v>
      </c>
      <c r="C1131">
        <v>13</v>
      </c>
      <c r="D1131">
        <v>3</v>
      </c>
      <c r="E1131" t="s">
        <v>23</v>
      </c>
      <c r="F1131" t="s">
        <v>81</v>
      </c>
      <c r="G1131" t="s">
        <v>10</v>
      </c>
    </row>
    <row r="1132" spans="1:7" x14ac:dyDescent="0.25">
      <c r="A1132" t="s">
        <v>145</v>
      </c>
      <c r="B1132">
        <v>59</v>
      </c>
      <c r="C1132">
        <v>21</v>
      </c>
      <c r="D1132">
        <v>2</v>
      </c>
      <c r="E1132" t="s">
        <v>23</v>
      </c>
      <c r="F1132" t="s">
        <v>57</v>
      </c>
      <c r="G1132" t="s">
        <v>28</v>
      </c>
    </row>
    <row r="1133" spans="1:7" x14ac:dyDescent="0.25">
      <c r="A1133" t="s">
        <v>300</v>
      </c>
      <c r="B1133">
        <v>57</v>
      </c>
      <c r="C1133">
        <v>27</v>
      </c>
      <c r="D1133">
        <v>2</v>
      </c>
      <c r="E1133" t="s">
        <v>23</v>
      </c>
      <c r="F1133" t="s">
        <v>142</v>
      </c>
      <c r="G1133" t="s">
        <v>28</v>
      </c>
    </row>
    <row r="1134" spans="1:7" x14ac:dyDescent="0.25">
      <c r="A1134" t="s">
        <v>27</v>
      </c>
      <c r="B1134">
        <v>17</v>
      </c>
      <c r="C1134">
        <v>6</v>
      </c>
      <c r="D1134">
        <v>1</v>
      </c>
      <c r="E1134" t="s">
        <v>23</v>
      </c>
      <c r="F1134" t="s">
        <v>57</v>
      </c>
      <c r="G1134" t="s">
        <v>28</v>
      </c>
    </row>
    <row r="1135" spans="1:7" x14ac:dyDescent="0.25">
      <c r="A1135" t="s">
        <v>194</v>
      </c>
      <c r="B1135">
        <v>40</v>
      </c>
      <c r="C1135">
        <v>10</v>
      </c>
      <c r="D1135">
        <v>2</v>
      </c>
      <c r="E1135" t="s">
        <v>23</v>
      </c>
      <c r="F1135" t="s">
        <v>57</v>
      </c>
      <c r="G1135" t="s">
        <v>10</v>
      </c>
    </row>
    <row r="1136" spans="1:7" x14ac:dyDescent="0.25">
      <c r="A1136" t="s">
        <v>341</v>
      </c>
      <c r="B1136">
        <v>349</v>
      </c>
      <c r="C1136">
        <v>-24</v>
      </c>
      <c r="D1136">
        <v>2</v>
      </c>
      <c r="E1136" t="s">
        <v>23</v>
      </c>
      <c r="F1136" t="s">
        <v>26</v>
      </c>
      <c r="G1136" t="s">
        <v>82</v>
      </c>
    </row>
    <row r="1137" spans="1:7" x14ac:dyDescent="0.25">
      <c r="A1137" t="s">
        <v>484</v>
      </c>
      <c r="B1137">
        <v>335</v>
      </c>
      <c r="C1137">
        <v>-22</v>
      </c>
      <c r="D1137">
        <v>7</v>
      </c>
      <c r="E1137" t="s">
        <v>12</v>
      </c>
      <c r="F1137" t="s">
        <v>13</v>
      </c>
      <c r="G1137" t="s">
        <v>28</v>
      </c>
    </row>
    <row r="1138" spans="1:7" x14ac:dyDescent="0.25">
      <c r="A1138" t="s">
        <v>234</v>
      </c>
      <c r="B1138">
        <v>40</v>
      </c>
      <c r="C1138">
        <v>16</v>
      </c>
      <c r="D1138">
        <v>3</v>
      </c>
      <c r="E1138" t="s">
        <v>23</v>
      </c>
      <c r="F1138" t="s">
        <v>30</v>
      </c>
      <c r="G1138" t="s">
        <v>10</v>
      </c>
    </row>
    <row r="1139" spans="1:7" x14ac:dyDescent="0.25">
      <c r="A1139" t="s">
        <v>83</v>
      </c>
      <c r="B1139">
        <v>40</v>
      </c>
      <c r="C1139">
        <v>17</v>
      </c>
      <c r="D1139">
        <v>2</v>
      </c>
      <c r="E1139" t="s">
        <v>23</v>
      </c>
      <c r="F1139" t="s">
        <v>57</v>
      </c>
      <c r="G1139" t="s">
        <v>10</v>
      </c>
    </row>
    <row r="1140" spans="1:7" x14ac:dyDescent="0.25">
      <c r="A1140" t="s">
        <v>229</v>
      </c>
      <c r="B1140">
        <v>40</v>
      </c>
      <c r="C1140">
        <v>-7</v>
      </c>
      <c r="D1140">
        <v>3</v>
      </c>
      <c r="E1140" t="s">
        <v>23</v>
      </c>
      <c r="F1140" t="s">
        <v>57</v>
      </c>
      <c r="G1140" t="s">
        <v>10</v>
      </c>
    </row>
    <row r="1141" spans="1:7" x14ac:dyDescent="0.25">
      <c r="A1141" t="s">
        <v>292</v>
      </c>
      <c r="B1141">
        <v>352</v>
      </c>
      <c r="C1141">
        <v>74</v>
      </c>
      <c r="D1141">
        <v>8</v>
      </c>
      <c r="E1141" t="s">
        <v>23</v>
      </c>
      <c r="F1141" t="s">
        <v>57</v>
      </c>
      <c r="G1141" t="s">
        <v>82</v>
      </c>
    </row>
    <row r="1142" spans="1:7" x14ac:dyDescent="0.25">
      <c r="A1142" t="s">
        <v>218</v>
      </c>
      <c r="B1142">
        <v>55</v>
      </c>
      <c r="C1142">
        <v>-26</v>
      </c>
      <c r="D1142">
        <v>4</v>
      </c>
      <c r="E1142" t="s">
        <v>23</v>
      </c>
      <c r="F1142" t="s">
        <v>26</v>
      </c>
      <c r="G1142" t="s">
        <v>28</v>
      </c>
    </row>
    <row r="1143" spans="1:7" x14ac:dyDescent="0.25">
      <c r="A1143" t="s">
        <v>133</v>
      </c>
      <c r="B1143">
        <v>352</v>
      </c>
      <c r="C1143">
        <v>18</v>
      </c>
      <c r="D1143">
        <v>5</v>
      </c>
      <c r="E1143" t="s">
        <v>23</v>
      </c>
      <c r="F1143" t="s">
        <v>24</v>
      </c>
      <c r="G1143" t="s">
        <v>82</v>
      </c>
    </row>
    <row r="1144" spans="1:7" x14ac:dyDescent="0.25">
      <c r="A1144" t="s">
        <v>62</v>
      </c>
      <c r="B1144">
        <v>53</v>
      </c>
      <c r="C1144">
        <v>-18</v>
      </c>
      <c r="D1144">
        <v>4</v>
      </c>
      <c r="E1144" t="s">
        <v>23</v>
      </c>
      <c r="F1144" t="s">
        <v>81</v>
      </c>
      <c r="G1144" t="s">
        <v>28</v>
      </c>
    </row>
    <row r="1145" spans="1:7" x14ac:dyDescent="0.25">
      <c r="A1145" t="s">
        <v>461</v>
      </c>
      <c r="B1145">
        <v>51</v>
      </c>
      <c r="C1145">
        <v>7</v>
      </c>
      <c r="D1145">
        <v>2</v>
      </c>
      <c r="E1145" t="s">
        <v>12</v>
      </c>
      <c r="F1145" t="s">
        <v>131</v>
      </c>
      <c r="G1145" t="s">
        <v>28</v>
      </c>
    </row>
    <row r="1146" spans="1:7" x14ac:dyDescent="0.25">
      <c r="A1146" t="s">
        <v>438</v>
      </c>
      <c r="B1146">
        <v>40</v>
      </c>
      <c r="C1146">
        <v>-37</v>
      </c>
      <c r="D1146">
        <v>3</v>
      </c>
      <c r="E1146" t="s">
        <v>23</v>
      </c>
      <c r="F1146" t="s">
        <v>57</v>
      </c>
      <c r="G1146" t="s">
        <v>10</v>
      </c>
    </row>
    <row r="1147" spans="1:7" x14ac:dyDescent="0.25">
      <c r="A1147" t="s">
        <v>225</v>
      </c>
      <c r="B1147">
        <v>39</v>
      </c>
      <c r="C1147">
        <v>14</v>
      </c>
      <c r="D1147">
        <v>5</v>
      </c>
      <c r="E1147" t="s">
        <v>23</v>
      </c>
      <c r="F1147" t="s">
        <v>63</v>
      </c>
      <c r="G1147" t="s">
        <v>10</v>
      </c>
    </row>
    <row r="1148" spans="1:7" x14ac:dyDescent="0.25">
      <c r="A1148" t="s">
        <v>485</v>
      </c>
      <c r="B1148">
        <v>355</v>
      </c>
      <c r="C1148">
        <v>-4</v>
      </c>
      <c r="D1148">
        <v>2</v>
      </c>
      <c r="E1148" t="s">
        <v>23</v>
      </c>
      <c r="F1148" t="s">
        <v>26</v>
      </c>
      <c r="G1148" t="s">
        <v>82</v>
      </c>
    </row>
    <row r="1149" spans="1:7" x14ac:dyDescent="0.25">
      <c r="A1149" t="s">
        <v>27</v>
      </c>
      <c r="B1149">
        <v>357</v>
      </c>
      <c r="C1149">
        <v>139</v>
      </c>
      <c r="D1149">
        <v>2</v>
      </c>
      <c r="E1149" t="s">
        <v>23</v>
      </c>
      <c r="F1149" t="s">
        <v>26</v>
      </c>
      <c r="G1149" t="s">
        <v>82</v>
      </c>
    </row>
    <row r="1150" spans="1:7" x14ac:dyDescent="0.25">
      <c r="A1150" t="s">
        <v>149</v>
      </c>
      <c r="B1150">
        <v>38</v>
      </c>
      <c r="C1150">
        <v>18</v>
      </c>
      <c r="D1150">
        <v>1</v>
      </c>
      <c r="E1150" t="s">
        <v>23</v>
      </c>
      <c r="F1150" t="s">
        <v>32</v>
      </c>
      <c r="G1150" t="s">
        <v>10</v>
      </c>
    </row>
    <row r="1151" spans="1:7" x14ac:dyDescent="0.25">
      <c r="A1151" t="s">
        <v>230</v>
      </c>
      <c r="B1151">
        <v>38</v>
      </c>
      <c r="C1151">
        <v>9</v>
      </c>
      <c r="D1151">
        <v>2</v>
      </c>
      <c r="E1151" t="s">
        <v>23</v>
      </c>
      <c r="F1151" t="s">
        <v>57</v>
      </c>
      <c r="G1151" t="s">
        <v>10</v>
      </c>
    </row>
    <row r="1152" spans="1:7" x14ac:dyDescent="0.25">
      <c r="A1152" t="s">
        <v>326</v>
      </c>
      <c r="B1152">
        <v>141</v>
      </c>
      <c r="C1152">
        <v>10</v>
      </c>
      <c r="D1152">
        <v>4</v>
      </c>
      <c r="E1152" t="s">
        <v>23</v>
      </c>
      <c r="F1152" t="s">
        <v>142</v>
      </c>
      <c r="G1152" t="s">
        <v>28</v>
      </c>
    </row>
    <row r="1153" spans="1:7" x14ac:dyDescent="0.25">
      <c r="A1153" t="s">
        <v>424</v>
      </c>
      <c r="B1153">
        <v>36</v>
      </c>
      <c r="C1153">
        <v>4</v>
      </c>
      <c r="D1153">
        <v>9</v>
      </c>
      <c r="E1153" t="s">
        <v>23</v>
      </c>
      <c r="F1153" t="s">
        <v>30</v>
      </c>
      <c r="G1153" t="s">
        <v>10</v>
      </c>
    </row>
    <row r="1154" spans="1:7" x14ac:dyDescent="0.25">
      <c r="A1154" t="s">
        <v>165</v>
      </c>
      <c r="B1154">
        <v>351</v>
      </c>
      <c r="C1154">
        <v>-94</v>
      </c>
      <c r="D1154">
        <v>5</v>
      </c>
      <c r="E1154" t="s">
        <v>8</v>
      </c>
      <c r="F1154" t="s">
        <v>9</v>
      </c>
      <c r="G1154" t="s">
        <v>10</v>
      </c>
    </row>
    <row r="1155" spans="1:7" x14ac:dyDescent="0.25">
      <c r="A1155" t="s">
        <v>231</v>
      </c>
      <c r="B1155">
        <v>369</v>
      </c>
      <c r="C1155">
        <v>15</v>
      </c>
      <c r="D1155">
        <v>3</v>
      </c>
      <c r="E1155" t="s">
        <v>8</v>
      </c>
      <c r="F1155" t="s">
        <v>9</v>
      </c>
      <c r="G1155" t="s">
        <v>82</v>
      </c>
    </row>
    <row r="1156" spans="1:7" x14ac:dyDescent="0.25">
      <c r="A1156" t="s">
        <v>31</v>
      </c>
      <c r="B1156">
        <v>53</v>
      </c>
      <c r="C1156">
        <v>24</v>
      </c>
      <c r="D1156">
        <v>6</v>
      </c>
      <c r="E1156" t="s">
        <v>23</v>
      </c>
      <c r="F1156" t="s">
        <v>30</v>
      </c>
      <c r="G1156" t="s">
        <v>14</v>
      </c>
    </row>
    <row r="1157" spans="1:7" x14ac:dyDescent="0.25">
      <c r="A1157" t="s">
        <v>486</v>
      </c>
      <c r="B1157">
        <v>371</v>
      </c>
      <c r="C1157">
        <v>115</v>
      </c>
      <c r="D1157">
        <v>1</v>
      </c>
      <c r="E1157" t="s">
        <v>12</v>
      </c>
      <c r="F1157" t="s">
        <v>16</v>
      </c>
      <c r="G1157" t="s">
        <v>82</v>
      </c>
    </row>
    <row r="1158" spans="1:7" x14ac:dyDescent="0.25">
      <c r="A1158" t="s">
        <v>115</v>
      </c>
      <c r="B1158">
        <v>499</v>
      </c>
      <c r="C1158">
        <v>33</v>
      </c>
      <c r="D1158">
        <v>4</v>
      </c>
      <c r="E1158" t="s">
        <v>23</v>
      </c>
      <c r="F1158" t="s">
        <v>26</v>
      </c>
      <c r="G1158" t="s">
        <v>10</v>
      </c>
    </row>
    <row r="1159" spans="1:7" x14ac:dyDescent="0.25">
      <c r="A1159" t="s">
        <v>202</v>
      </c>
      <c r="B1159">
        <v>223</v>
      </c>
      <c r="C1159">
        <v>62</v>
      </c>
      <c r="D1159">
        <v>7</v>
      </c>
      <c r="E1159" t="s">
        <v>23</v>
      </c>
      <c r="F1159" t="s">
        <v>142</v>
      </c>
      <c r="G1159" t="s">
        <v>10</v>
      </c>
    </row>
    <row r="1160" spans="1:7" x14ac:dyDescent="0.25">
      <c r="A1160" t="s">
        <v>223</v>
      </c>
      <c r="B1160">
        <v>50</v>
      </c>
      <c r="C1160">
        <v>-4</v>
      </c>
      <c r="D1160">
        <v>6</v>
      </c>
      <c r="E1160" t="s">
        <v>23</v>
      </c>
      <c r="F1160" t="s">
        <v>81</v>
      </c>
      <c r="G1160" t="s">
        <v>14</v>
      </c>
    </row>
    <row r="1161" spans="1:7" x14ac:dyDescent="0.25">
      <c r="A1161" t="s">
        <v>211</v>
      </c>
      <c r="B1161">
        <v>391</v>
      </c>
      <c r="C1161">
        <v>90</v>
      </c>
      <c r="D1161">
        <v>6</v>
      </c>
      <c r="E1161" t="s">
        <v>8</v>
      </c>
      <c r="F1161" t="s">
        <v>21</v>
      </c>
      <c r="G1161" t="s">
        <v>82</v>
      </c>
    </row>
    <row r="1162" spans="1:7" x14ac:dyDescent="0.25">
      <c r="A1162" t="s">
        <v>487</v>
      </c>
      <c r="B1162">
        <v>416</v>
      </c>
      <c r="C1162">
        <v>137</v>
      </c>
      <c r="D1162">
        <v>3</v>
      </c>
      <c r="E1162" t="s">
        <v>8</v>
      </c>
      <c r="F1162" t="s">
        <v>21</v>
      </c>
      <c r="G1162" t="s">
        <v>82</v>
      </c>
    </row>
    <row r="1163" spans="1:7" x14ac:dyDescent="0.25">
      <c r="A1163" t="s">
        <v>469</v>
      </c>
      <c r="B1163">
        <v>424</v>
      </c>
      <c r="C1163">
        <v>-17</v>
      </c>
      <c r="D1163">
        <v>9</v>
      </c>
      <c r="E1163" t="s">
        <v>12</v>
      </c>
      <c r="F1163" t="s">
        <v>13</v>
      </c>
      <c r="G1163" t="s">
        <v>82</v>
      </c>
    </row>
    <row r="1164" spans="1:7" x14ac:dyDescent="0.25">
      <c r="A1164" t="s">
        <v>65</v>
      </c>
      <c r="B1164">
        <v>362</v>
      </c>
      <c r="C1164">
        <v>127</v>
      </c>
      <c r="D1164">
        <v>1</v>
      </c>
      <c r="E1164" t="s">
        <v>12</v>
      </c>
      <c r="F1164" t="s">
        <v>16</v>
      </c>
      <c r="G1164" t="s">
        <v>10</v>
      </c>
    </row>
    <row r="1165" spans="1:7" x14ac:dyDescent="0.25">
      <c r="A1165" t="s">
        <v>29</v>
      </c>
      <c r="B1165">
        <v>36</v>
      </c>
      <c r="C1165">
        <v>-7</v>
      </c>
      <c r="D1165">
        <v>1</v>
      </c>
      <c r="E1165" t="s">
        <v>8</v>
      </c>
      <c r="F1165" t="s">
        <v>9</v>
      </c>
      <c r="G1165" t="s">
        <v>10</v>
      </c>
    </row>
    <row r="1166" spans="1:7" x14ac:dyDescent="0.25">
      <c r="A1166" t="s">
        <v>209</v>
      </c>
      <c r="B1166">
        <v>34</v>
      </c>
      <c r="C1166">
        <v>-10</v>
      </c>
      <c r="D1166">
        <v>3</v>
      </c>
      <c r="E1166" t="s">
        <v>23</v>
      </c>
      <c r="F1166" t="s">
        <v>43</v>
      </c>
      <c r="G1166" t="s">
        <v>10</v>
      </c>
    </row>
    <row r="1167" spans="1:7" x14ac:dyDescent="0.25">
      <c r="A1167" t="s">
        <v>186</v>
      </c>
      <c r="B1167">
        <v>367</v>
      </c>
      <c r="C1167">
        <v>73</v>
      </c>
      <c r="D1167">
        <v>3</v>
      </c>
      <c r="E1167" t="s">
        <v>8</v>
      </c>
      <c r="F1167" t="s">
        <v>9</v>
      </c>
      <c r="G1167" t="s">
        <v>28</v>
      </c>
    </row>
    <row r="1168" spans="1:7" x14ac:dyDescent="0.25">
      <c r="A1168" t="s">
        <v>167</v>
      </c>
      <c r="B1168">
        <v>425</v>
      </c>
      <c r="C1168">
        <v>208</v>
      </c>
      <c r="D1168">
        <v>7</v>
      </c>
      <c r="E1168" t="s">
        <v>23</v>
      </c>
      <c r="F1168" t="s">
        <v>26</v>
      </c>
      <c r="G1168" t="s">
        <v>82</v>
      </c>
    </row>
    <row r="1169" spans="1:7" x14ac:dyDescent="0.25">
      <c r="A1169" t="s">
        <v>400</v>
      </c>
      <c r="B1169">
        <v>433</v>
      </c>
      <c r="C1169">
        <v>26</v>
      </c>
      <c r="D1169">
        <v>3</v>
      </c>
      <c r="E1169" t="s">
        <v>8</v>
      </c>
      <c r="F1169" t="s">
        <v>18</v>
      </c>
      <c r="G1169" t="s">
        <v>82</v>
      </c>
    </row>
    <row r="1170" spans="1:7" x14ac:dyDescent="0.25">
      <c r="A1170" t="s">
        <v>486</v>
      </c>
      <c r="B1170">
        <v>460</v>
      </c>
      <c r="C1170">
        <v>31</v>
      </c>
      <c r="D1170">
        <v>3</v>
      </c>
      <c r="E1170" t="s">
        <v>12</v>
      </c>
      <c r="F1170" t="s">
        <v>16</v>
      </c>
      <c r="G1170" t="s">
        <v>82</v>
      </c>
    </row>
    <row r="1171" spans="1:7" x14ac:dyDescent="0.25">
      <c r="A1171" t="s">
        <v>288</v>
      </c>
      <c r="B1171">
        <v>62</v>
      </c>
      <c r="C1171">
        <v>-56</v>
      </c>
      <c r="D1171">
        <v>5</v>
      </c>
      <c r="E1171" t="s">
        <v>23</v>
      </c>
      <c r="F1171" t="s">
        <v>32</v>
      </c>
      <c r="G1171" t="s">
        <v>10</v>
      </c>
    </row>
    <row r="1172" spans="1:7" x14ac:dyDescent="0.25">
      <c r="A1172" t="s">
        <v>113</v>
      </c>
      <c r="B1172">
        <v>50</v>
      </c>
      <c r="C1172">
        <v>16</v>
      </c>
      <c r="D1172">
        <v>1</v>
      </c>
      <c r="E1172" t="s">
        <v>23</v>
      </c>
      <c r="F1172" t="s">
        <v>57</v>
      </c>
      <c r="G1172" t="s">
        <v>14</v>
      </c>
    </row>
    <row r="1173" spans="1:7" x14ac:dyDescent="0.25">
      <c r="A1173" t="s">
        <v>401</v>
      </c>
      <c r="B1173">
        <v>460</v>
      </c>
      <c r="C1173">
        <v>-143</v>
      </c>
      <c r="D1173">
        <v>3</v>
      </c>
      <c r="E1173" t="s">
        <v>12</v>
      </c>
      <c r="F1173" t="s">
        <v>13</v>
      </c>
      <c r="G1173" t="s">
        <v>82</v>
      </c>
    </row>
    <row r="1174" spans="1:7" x14ac:dyDescent="0.25">
      <c r="A1174" t="s">
        <v>297</v>
      </c>
      <c r="B1174">
        <v>34</v>
      </c>
      <c r="C1174">
        <v>3</v>
      </c>
      <c r="D1174">
        <v>3</v>
      </c>
      <c r="E1174" t="s">
        <v>23</v>
      </c>
      <c r="F1174" t="s">
        <v>26</v>
      </c>
      <c r="G1174" t="s">
        <v>10</v>
      </c>
    </row>
    <row r="1175" spans="1:7" x14ac:dyDescent="0.25">
      <c r="A1175" t="s">
        <v>291</v>
      </c>
      <c r="B1175">
        <v>227</v>
      </c>
      <c r="C1175">
        <v>59</v>
      </c>
      <c r="D1175">
        <v>2</v>
      </c>
      <c r="E1175" t="s">
        <v>12</v>
      </c>
      <c r="F1175" t="s">
        <v>131</v>
      </c>
      <c r="G1175" t="s">
        <v>28</v>
      </c>
    </row>
    <row r="1176" spans="1:7" x14ac:dyDescent="0.25">
      <c r="A1176" t="s">
        <v>408</v>
      </c>
      <c r="B1176">
        <v>469</v>
      </c>
      <c r="C1176">
        <v>33</v>
      </c>
      <c r="D1176">
        <v>4</v>
      </c>
      <c r="E1176" t="s">
        <v>8</v>
      </c>
      <c r="F1176" t="s">
        <v>9</v>
      </c>
      <c r="G1176" t="s">
        <v>82</v>
      </c>
    </row>
    <row r="1177" spans="1:7" x14ac:dyDescent="0.25">
      <c r="A1177" t="s">
        <v>31</v>
      </c>
      <c r="B1177">
        <v>103</v>
      </c>
      <c r="C1177">
        <v>46</v>
      </c>
      <c r="D1177">
        <v>2</v>
      </c>
      <c r="E1177" t="s">
        <v>23</v>
      </c>
      <c r="F1177" t="s">
        <v>26</v>
      </c>
      <c r="G1177" t="s">
        <v>28</v>
      </c>
    </row>
    <row r="1178" spans="1:7" x14ac:dyDescent="0.25">
      <c r="A1178" t="s">
        <v>279</v>
      </c>
      <c r="B1178">
        <v>34</v>
      </c>
      <c r="C1178">
        <v>-13</v>
      </c>
      <c r="D1178">
        <v>5</v>
      </c>
      <c r="E1178" t="s">
        <v>23</v>
      </c>
      <c r="F1178" t="s">
        <v>63</v>
      </c>
      <c r="G1178" t="s">
        <v>10</v>
      </c>
    </row>
    <row r="1179" spans="1:7" x14ac:dyDescent="0.25">
      <c r="A1179" t="s">
        <v>174</v>
      </c>
      <c r="B1179">
        <v>137</v>
      </c>
      <c r="C1179">
        <v>63</v>
      </c>
      <c r="D1179">
        <v>3</v>
      </c>
      <c r="E1179" t="s">
        <v>23</v>
      </c>
      <c r="F1179" t="s">
        <v>57</v>
      </c>
      <c r="G1179" t="s">
        <v>10</v>
      </c>
    </row>
    <row r="1180" spans="1:7" x14ac:dyDescent="0.25">
      <c r="A1180" t="s">
        <v>488</v>
      </c>
      <c r="B1180">
        <v>34</v>
      </c>
      <c r="C1180">
        <v>12</v>
      </c>
      <c r="D1180">
        <v>2</v>
      </c>
      <c r="E1180" t="s">
        <v>23</v>
      </c>
      <c r="F1180" t="s">
        <v>57</v>
      </c>
      <c r="G1180" t="s">
        <v>10</v>
      </c>
    </row>
    <row r="1181" spans="1:7" x14ac:dyDescent="0.25">
      <c r="A1181" t="s">
        <v>394</v>
      </c>
      <c r="B1181">
        <v>474</v>
      </c>
      <c r="C1181">
        <v>56</v>
      </c>
      <c r="D1181">
        <v>4</v>
      </c>
      <c r="E1181" t="s">
        <v>8</v>
      </c>
      <c r="F1181" t="s">
        <v>21</v>
      </c>
      <c r="G1181" t="s">
        <v>82</v>
      </c>
    </row>
    <row r="1182" spans="1:7" x14ac:dyDescent="0.25">
      <c r="A1182" t="s">
        <v>271</v>
      </c>
      <c r="B1182">
        <v>50</v>
      </c>
      <c r="C1182">
        <v>3</v>
      </c>
      <c r="D1182">
        <v>2</v>
      </c>
      <c r="E1182" t="s">
        <v>23</v>
      </c>
      <c r="F1182" t="s">
        <v>57</v>
      </c>
      <c r="G1182" t="s">
        <v>14</v>
      </c>
    </row>
    <row r="1183" spans="1:7" x14ac:dyDescent="0.25">
      <c r="A1183" t="s">
        <v>97</v>
      </c>
      <c r="B1183">
        <v>69</v>
      </c>
      <c r="C1183">
        <v>-67</v>
      </c>
      <c r="D1183">
        <v>4</v>
      </c>
      <c r="E1183" t="s">
        <v>23</v>
      </c>
      <c r="F1183" t="s">
        <v>32</v>
      </c>
      <c r="G1183" t="s">
        <v>28</v>
      </c>
    </row>
    <row r="1184" spans="1:7" x14ac:dyDescent="0.25">
      <c r="A1184" t="s">
        <v>489</v>
      </c>
      <c r="B1184">
        <v>389</v>
      </c>
      <c r="C1184">
        <v>-83</v>
      </c>
      <c r="D1184">
        <v>3</v>
      </c>
      <c r="E1184" t="s">
        <v>12</v>
      </c>
      <c r="F1184" t="s">
        <v>13</v>
      </c>
      <c r="G1184" t="s">
        <v>28</v>
      </c>
    </row>
    <row r="1185" spans="1:7" x14ac:dyDescent="0.25">
      <c r="A1185" t="s">
        <v>288</v>
      </c>
      <c r="B1185">
        <v>77</v>
      </c>
      <c r="C1185">
        <v>-43</v>
      </c>
      <c r="D1185">
        <v>8</v>
      </c>
      <c r="E1185" t="s">
        <v>23</v>
      </c>
      <c r="F1185" t="s">
        <v>57</v>
      </c>
      <c r="G1185" t="s">
        <v>10</v>
      </c>
    </row>
    <row r="1186" spans="1:7" x14ac:dyDescent="0.25">
      <c r="A1186" t="s">
        <v>27</v>
      </c>
      <c r="B1186">
        <v>51</v>
      </c>
      <c r="C1186">
        <v>21</v>
      </c>
      <c r="D1186">
        <v>3</v>
      </c>
      <c r="E1186" t="s">
        <v>23</v>
      </c>
      <c r="F1186" t="s">
        <v>81</v>
      </c>
      <c r="G1186" t="s">
        <v>10</v>
      </c>
    </row>
    <row r="1187" spans="1:7" x14ac:dyDescent="0.25">
      <c r="A1187" t="s">
        <v>146</v>
      </c>
      <c r="B1187">
        <v>394</v>
      </c>
      <c r="C1187">
        <v>146</v>
      </c>
      <c r="D1187">
        <v>2</v>
      </c>
      <c r="E1187" t="s">
        <v>12</v>
      </c>
      <c r="F1187" t="s">
        <v>16</v>
      </c>
      <c r="G1187" t="s">
        <v>28</v>
      </c>
    </row>
    <row r="1188" spans="1:7" x14ac:dyDescent="0.25">
      <c r="A1188" t="s">
        <v>284</v>
      </c>
      <c r="B1188">
        <v>48</v>
      </c>
      <c r="C1188">
        <v>-22</v>
      </c>
      <c r="D1188">
        <v>2</v>
      </c>
      <c r="E1188" t="s">
        <v>23</v>
      </c>
      <c r="F1188" t="s">
        <v>26</v>
      </c>
      <c r="G1188" t="s">
        <v>14</v>
      </c>
    </row>
    <row r="1189" spans="1:7" x14ac:dyDescent="0.25">
      <c r="A1189" t="s">
        <v>209</v>
      </c>
      <c r="B1189">
        <v>34</v>
      </c>
      <c r="C1189">
        <v>-12</v>
      </c>
      <c r="D1189">
        <v>5</v>
      </c>
      <c r="E1189" t="s">
        <v>23</v>
      </c>
      <c r="F1189" t="s">
        <v>63</v>
      </c>
      <c r="G1189" t="s">
        <v>10</v>
      </c>
    </row>
    <row r="1190" spans="1:7" x14ac:dyDescent="0.25">
      <c r="A1190" t="s">
        <v>35</v>
      </c>
      <c r="B1190">
        <v>484</v>
      </c>
      <c r="C1190">
        <v>28</v>
      </c>
      <c r="D1190">
        <v>3</v>
      </c>
      <c r="E1190" t="s">
        <v>8</v>
      </c>
      <c r="F1190" t="s">
        <v>18</v>
      </c>
      <c r="G1190" t="s">
        <v>82</v>
      </c>
    </row>
    <row r="1191" spans="1:7" x14ac:dyDescent="0.25">
      <c r="A1191" t="s">
        <v>272</v>
      </c>
      <c r="B1191">
        <v>47</v>
      </c>
      <c r="C1191">
        <v>-27</v>
      </c>
      <c r="D1191">
        <v>4</v>
      </c>
      <c r="E1191" t="s">
        <v>23</v>
      </c>
      <c r="F1191" t="s">
        <v>26</v>
      </c>
      <c r="G1191" t="s">
        <v>14</v>
      </c>
    </row>
    <row r="1192" spans="1:7" x14ac:dyDescent="0.25">
      <c r="A1192" t="s">
        <v>15</v>
      </c>
      <c r="B1192">
        <v>45</v>
      </c>
      <c r="C1192">
        <v>8</v>
      </c>
      <c r="D1192">
        <v>4</v>
      </c>
      <c r="E1192" t="s">
        <v>23</v>
      </c>
      <c r="F1192" t="s">
        <v>43</v>
      </c>
      <c r="G1192" t="s">
        <v>14</v>
      </c>
    </row>
    <row r="1193" spans="1:7" x14ac:dyDescent="0.25">
      <c r="A1193" t="s">
        <v>490</v>
      </c>
      <c r="B1193">
        <v>128</v>
      </c>
      <c r="C1193">
        <v>55</v>
      </c>
      <c r="D1193">
        <v>1</v>
      </c>
      <c r="E1193" t="s">
        <v>23</v>
      </c>
      <c r="F1193" t="s">
        <v>26</v>
      </c>
      <c r="G1193" t="s">
        <v>10</v>
      </c>
    </row>
    <row r="1194" spans="1:7" x14ac:dyDescent="0.25">
      <c r="A1194" t="s">
        <v>88</v>
      </c>
      <c r="B1194">
        <v>669</v>
      </c>
      <c r="C1194">
        <v>74</v>
      </c>
      <c r="D1194">
        <v>5</v>
      </c>
      <c r="E1194" t="s">
        <v>12</v>
      </c>
      <c r="F1194" t="s">
        <v>16</v>
      </c>
      <c r="G1194" t="s">
        <v>10</v>
      </c>
    </row>
    <row r="1195" spans="1:7" x14ac:dyDescent="0.25">
      <c r="A1195" t="s">
        <v>491</v>
      </c>
      <c r="B1195">
        <v>34</v>
      </c>
      <c r="C1195">
        <v>13</v>
      </c>
      <c r="D1195">
        <v>2</v>
      </c>
      <c r="E1195" t="s">
        <v>23</v>
      </c>
      <c r="F1195" t="s">
        <v>26</v>
      </c>
      <c r="G1195" t="s">
        <v>10</v>
      </c>
    </row>
    <row r="1196" spans="1:7" x14ac:dyDescent="0.25">
      <c r="A1196" t="s">
        <v>255</v>
      </c>
      <c r="B1196">
        <v>44</v>
      </c>
      <c r="C1196">
        <v>14</v>
      </c>
      <c r="D1196">
        <v>3</v>
      </c>
      <c r="E1196" t="s">
        <v>23</v>
      </c>
      <c r="F1196" t="s">
        <v>30</v>
      </c>
      <c r="G1196" t="s">
        <v>19</v>
      </c>
    </row>
    <row r="1197" spans="1:7" x14ac:dyDescent="0.25">
      <c r="A1197" t="s">
        <v>44</v>
      </c>
      <c r="B1197">
        <v>33</v>
      </c>
      <c r="C1197">
        <v>1</v>
      </c>
      <c r="D1197">
        <v>2</v>
      </c>
      <c r="E1197" t="s">
        <v>23</v>
      </c>
      <c r="F1197" t="s">
        <v>142</v>
      </c>
      <c r="G1197" t="s">
        <v>10</v>
      </c>
    </row>
    <row r="1198" spans="1:7" x14ac:dyDescent="0.25">
      <c r="A1198" t="s">
        <v>394</v>
      </c>
      <c r="B1198">
        <v>33</v>
      </c>
      <c r="C1198">
        <v>10</v>
      </c>
      <c r="D1198">
        <v>3</v>
      </c>
      <c r="E1198" t="s">
        <v>23</v>
      </c>
      <c r="F1198" t="s">
        <v>30</v>
      </c>
      <c r="G1198" t="s">
        <v>10</v>
      </c>
    </row>
    <row r="1199" spans="1:7" x14ac:dyDescent="0.25">
      <c r="A1199" t="s">
        <v>130</v>
      </c>
      <c r="B1199">
        <v>487</v>
      </c>
      <c r="C1199">
        <v>-23</v>
      </c>
      <c r="D1199">
        <v>3</v>
      </c>
      <c r="E1199" t="s">
        <v>8</v>
      </c>
      <c r="F1199" t="s">
        <v>18</v>
      </c>
      <c r="G1199" t="s">
        <v>82</v>
      </c>
    </row>
    <row r="1200" spans="1:7" x14ac:dyDescent="0.25">
      <c r="A1200" t="s">
        <v>128</v>
      </c>
      <c r="B1200">
        <v>497</v>
      </c>
      <c r="C1200">
        <v>179</v>
      </c>
      <c r="D1200">
        <v>3</v>
      </c>
      <c r="E1200" t="s">
        <v>12</v>
      </c>
      <c r="F1200" t="s">
        <v>13</v>
      </c>
      <c r="G1200" t="s">
        <v>82</v>
      </c>
    </row>
    <row r="1201" spans="1:7" x14ac:dyDescent="0.25">
      <c r="A1201" t="s">
        <v>106</v>
      </c>
      <c r="B1201">
        <v>508</v>
      </c>
      <c r="C1201">
        <v>203</v>
      </c>
      <c r="D1201">
        <v>2</v>
      </c>
      <c r="E1201" t="s">
        <v>8</v>
      </c>
      <c r="F1201" t="s">
        <v>73</v>
      </c>
      <c r="G1201" t="s">
        <v>82</v>
      </c>
    </row>
    <row r="1202" spans="1:7" x14ac:dyDescent="0.25">
      <c r="A1202" t="s">
        <v>328</v>
      </c>
      <c r="B1202">
        <v>524</v>
      </c>
      <c r="C1202">
        <v>-25</v>
      </c>
      <c r="D1202">
        <v>2</v>
      </c>
      <c r="E1202" t="s">
        <v>8</v>
      </c>
      <c r="F1202" t="s">
        <v>9</v>
      </c>
      <c r="G1202" t="s">
        <v>82</v>
      </c>
    </row>
    <row r="1203" spans="1:7" x14ac:dyDescent="0.25">
      <c r="A1203" t="s">
        <v>492</v>
      </c>
      <c r="B1203">
        <v>425</v>
      </c>
      <c r="C1203">
        <v>183</v>
      </c>
      <c r="D1203">
        <v>5</v>
      </c>
      <c r="E1203" t="s">
        <v>8</v>
      </c>
      <c r="F1203" t="s">
        <v>73</v>
      </c>
      <c r="G1203" t="s">
        <v>28</v>
      </c>
    </row>
    <row r="1204" spans="1:7" x14ac:dyDescent="0.25">
      <c r="A1204" t="s">
        <v>71</v>
      </c>
      <c r="B1204">
        <v>168</v>
      </c>
      <c r="C1204">
        <v>56</v>
      </c>
      <c r="D1204">
        <v>3</v>
      </c>
      <c r="E1204" t="s">
        <v>23</v>
      </c>
      <c r="F1204" t="s">
        <v>26</v>
      </c>
      <c r="G1204" t="s">
        <v>10</v>
      </c>
    </row>
    <row r="1205" spans="1:7" x14ac:dyDescent="0.25">
      <c r="A1205" t="s">
        <v>493</v>
      </c>
      <c r="B1205">
        <v>141</v>
      </c>
      <c r="C1205">
        <v>28</v>
      </c>
      <c r="D1205">
        <v>7</v>
      </c>
      <c r="E1205" t="s">
        <v>12</v>
      </c>
      <c r="F1205" t="s">
        <v>131</v>
      </c>
      <c r="G1205" t="s">
        <v>28</v>
      </c>
    </row>
    <row r="1206" spans="1:7" x14ac:dyDescent="0.25">
      <c r="A1206" t="s">
        <v>157</v>
      </c>
      <c r="B1206">
        <v>429</v>
      </c>
      <c r="C1206">
        <v>17</v>
      </c>
      <c r="D1206">
        <v>3</v>
      </c>
      <c r="E1206" t="s">
        <v>12</v>
      </c>
      <c r="F1206" t="s">
        <v>13</v>
      </c>
      <c r="G1206" t="s">
        <v>28</v>
      </c>
    </row>
    <row r="1207" spans="1:7" x14ac:dyDescent="0.25">
      <c r="A1207" t="s">
        <v>252</v>
      </c>
      <c r="B1207">
        <v>44</v>
      </c>
      <c r="C1207">
        <v>-8</v>
      </c>
      <c r="D1207">
        <v>3</v>
      </c>
      <c r="E1207" t="s">
        <v>23</v>
      </c>
      <c r="F1207" t="s">
        <v>57</v>
      </c>
      <c r="G1207" t="s">
        <v>19</v>
      </c>
    </row>
    <row r="1208" spans="1:7" x14ac:dyDescent="0.25">
      <c r="A1208" t="s">
        <v>203</v>
      </c>
      <c r="B1208">
        <v>149</v>
      </c>
      <c r="C1208">
        <v>136</v>
      </c>
      <c r="D1208">
        <v>3</v>
      </c>
      <c r="E1208" t="s">
        <v>23</v>
      </c>
      <c r="F1208" t="s">
        <v>57</v>
      </c>
      <c r="G1208" t="s">
        <v>28</v>
      </c>
    </row>
    <row r="1209" spans="1:7" x14ac:dyDescent="0.25">
      <c r="A1209" t="s">
        <v>39</v>
      </c>
      <c r="B1209">
        <v>44</v>
      </c>
      <c r="C1209">
        <v>-34</v>
      </c>
      <c r="D1209">
        <v>3</v>
      </c>
      <c r="E1209" t="s">
        <v>23</v>
      </c>
      <c r="F1209" t="s">
        <v>57</v>
      </c>
      <c r="G1209" t="s">
        <v>19</v>
      </c>
    </row>
    <row r="1210" spans="1:7" x14ac:dyDescent="0.25">
      <c r="A1210" t="s">
        <v>185</v>
      </c>
      <c r="B1210">
        <v>33</v>
      </c>
      <c r="C1210">
        <v>10</v>
      </c>
      <c r="D1210">
        <v>3</v>
      </c>
      <c r="E1210" t="s">
        <v>23</v>
      </c>
      <c r="F1210" t="s">
        <v>30</v>
      </c>
      <c r="G1210" t="s">
        <v>10</v>
      </c>
    </row>
    <row r="1211" spans="1:7" x14ac:dyDescent="0.25">
      <c r="A1211" t="s">
        <v>211</v>
      </c>
      <c r="B1211">
        <v>33</v>
      </c>
      <c r="C1211">
        <v>9</v>
      </c>
      <c r="D1211">
        <v>2</v>
      </c>
      <c r="E1211" t="s">
        <v>23</v>
      </c>
      <c r="F1211" t="s">
        <v>30</v>
      </c>
      <c r="G1211" t="s">
        <v>10</v>
      </c>
    </row>
    <row r="1212" spans="1:7" x14ac:dyDescent="0.25">
      <c r="A1212" t="s">
        <v>171</v>
      </c>
      <c r="B1212">
        <v>442</v>
      </c>
      <c r="C1212">
        <v>31</v>
      </c>
      <c r="D1212">
        <v>2</v>
      </c>
      <c r="E1212" t="s">
        <v>8</v>
      </c>
      <c r="F1212" t="s">
        <v>9</v>
      </c>
      <c r="G1212" t="s">
        <v>28</v>
      </c>
    </row>
    <row r="1213" spans="1:7" x14ac:dyDescent="0.25">
      <c r="A1213" t="s">
        <v>100</v>
      </c>
      <c r="B1213">
        <v>41</v>
      </c>
      <c r="C1213">
        <v>6</v>
      </c>
      <c r="D1213">
        <v>5</v>
      </c>
      <c r="E1213" t="s">
        <v>23</v>
      </c>
      <c r="F1213" t="s">
        <v>43</v>
      </c>
      <c r="G1213" t="s">
        <v>19</v>
      </c>
    </row>
    <row r="1214" spans="1:7" x14ac:dyDescent="0.25">
      <c r="A1214" t="s">
        <v>210</v>
      </c>
      <c r="B1214">
        <v>33</v>
      </c>
      <c r="C1214">
        <v>-12</v>
      </c>
      <c r="D1214">
        <v>5</v>
      </c>
      <c r="E1214" t="s">
        <v>23</v>
      </c>
      <c r="F1214" t="s">
        <v>30</v>
      </c>
      <c r="G1214" t="s">
        <v>10</v>
      </c>
    </row>
    <row r="1215" spans="1:7" x14ac:dyDescent="0.25">
      <c r="A1215" t="s">
        <v>494</v>
      </c>
      <c r="B1215">
        <v>32</v>
      </c>
      <c r="C1215">
        <v>3</v>
      </c>
      <c r="D1215">
        <v>8</v>
      </c>
      <c r="E1215" t="s">
        <v>23</v>
      </c>
      <c r="F1215" t="s">
        <v>30</v>
      </c>
      <c r="G1215" t="s">
        <v>10</v>
      </c>
    </row>
    <row r="1216" spans="1:7" x14ac:dyDescent="0.25">
      <c r="A1216" t="s">
        <v>158</v>
      </c>
      <c r="B1216">
        <v>32</v>
      </c>
      <c r="C1216">
        <v>6</v>
      </c>
      <c r="D1216">
        <v>3</v>
      </c>
      <c r="E1216" t="s">
        <v>23</v>
      </c>
      <c r="F1216" t="s">
        <v>142</v>
      </c>
      <c r="G1216" t="s">
        <v>10</v>
      </c>
    </row>
    <row r="1217" spans="1:7" x14ac:dyDescent="0.25">
      <c r="A1217" t="s">
        <v>275</v>
      </c>
      <c r="B1217">
        <v>179</v>
      </c>
      <c r="C1217">
        <v>77</v>
      </c>
      <c r="D1217">
        <v>1</v>
      </c>
      <c r="E1217" t="s">
        <v>23</v>
      </c>
      <c r="F1217" t="s">
        <v>26</v>
      </c>
      <c r="G1217" t="s">
        <v>28</v>
      </c>
    </row>
    <row r="1218" spans="1:7" x14ac:dyDescent="0.25">
      <c r="A1218" t="s">
        <v>386</v>
      </c>
      <c r="B1218">
        <v>31</v>
      </c>
      <c r="C1218">
        <v>10</v>
      </c>
      <c r="D1218">
        <v>1</v>
      </c>
      <c r="E1218" t="s">
        <v>23</v>
      </c>
      <c r="F1218" t="s">
        <v>32</v>
      </c>
      <c r="G1218" t="s">
        <v>10</v>
      </c>
    </row>
    <row r="1219" spans="1:7" x14ac:dyDescent="0.25">
      <c r="A1219" t="s">
        <v>89</v>
      </c>
      <c r="B1219">
        <v>140</v>
      </c>
      <c r="C1219">
        <v>68</v>
      </c>
      <c r="D1219">
        <v>5</v>
      </c>
      <c r="E1219" t="s">
        <v>23</v>
      </c>
      <c r="F1219" t="s">
        <v>81</v>
      </c>
      <c r="G1219" t="s">
        <v>10</v>
      </c>
    </row>
    <row r="1220" spans="1:7" x14ac:dyDescent="0.25">
      <c r="A1220" t="s">
        <v>461</v>
      </c>
      <c r="B1220">
        <v>529</v>
      </c>
      <c r="C1220">
        <v>137</v>
      </c>
      <c r="D1220">
        <v>3</v>
      </c>
      <c r="E1220" t="s">
        <v>8</v>
      </c>
      <c r="F1220" t="s">
        <v>21</v>
      </c>
      <c r="G1220" t="s">
        <v>82</v>
      </c>
    </row>
    <row r="1221" spans="1:7" x14ac:dyDescent="0.25">
      <c r="A1221" t="s">
        <v>495</v>
      </c>
      <c r="B1221">
        <v>534</v>
      </c>
      <c r="C1221">
        <v>0</v>
      </c>
      <c r="D1221">
        <v>3</v>
      </c>
      <c r="E1221" t="s">
        <v>23</v>
      </c>
      <c r="F1221" t="s">
        <v>26</v>
      </c>
      <c r="G1221" t="s">
        <v>82</v>
      </c>
    </row>
    <row r="1222" spans="1:7" x14ac:dyDescent="0.25">
      <c r="A1222" t="s">
        <v>351</v>
      </c>
      <c r="B1222">
        <v>41</v>
      </c>
      <c r="C1222">
        <v>-6</v>
      </c>
      <c r="D1222">
        <v>1</v>
      </c>
      <c r="E1222" t="s">
        <v>12</v>
      </c>
      <c r="F1222" t="s">
        <v>13</v>
      </c>
      <c r="G1222" t="s">
        <v>19</v>
      </c>
    </row>
    <row r="1223" spans="1:7" x14ac:dyDescent="0.25">
      <c r="A1223" t="s">
        <v>208</v>
      </c>
      <c r="B1223">
        <v>379</v>
      </c>
      <c r="C1223">
        <v>63</v>
      </c>
      <c r="D1223">
        <v>2</v>
      </c>
      <c r="E1223" t="s">
        <v>23</v>
      </c>
      <c r="F1223" t="s">
        <v>26</v>
      </c>
      <c r="G1223" t="s">
        <v>10</v>
      </c>
    </row>
    <row r="1224" spans="1:7" x14ac:dyDescent="0.25">
      <c r="A1224" t="s">
        <v>219</v>
      </c>
      <c r="B1224">
        <v>81</v>
      </c>
      <c r="C1224">
        <v>-44</v>
      </c>
      <c r="D1224">
        <v>3</v>
      </c>
      <c r="E1224" t="s">
        <v>23</v>
      </c>
      <c r="F1224" t="s">
        <v>57</v>
      </c>
      <c r="G1224" t="s">
        <v>10</v>
      </c>
    </row>
    <row r="1225" spans="1:7" x14ac:dyDescent="0.25">
      <c r="A1225" t="s">
        <v>307</v>
      </c>
      <c r="B1225">
        <v>40</v>
      </c>
      <c r="C1225">
        <v>-33</v>
      </c>
      <c r="D1225">
        <v>5</v>
      </c>
      <c r="E1225" t="s">
        <v>23</v>
      </c>
      <c r="F1225" t="s">
        <v>30</v>
      </c>
      <c r="G1225" t="s">
        <v>19</v>
      </c>
    </row>
    <row r="1226" spans="1:7" x14ac:dyDescent="0.25">
      <c r="A1226" t="s">
        <v>179</v>
      </c>
      <c r="B1226">
        <v>40</v>
      </c>
      <c r="C1226">
        <v>18</v>
      </c>
      <c r="D1226">
        <v>1</v>
      </c>
      <c r="E1226" t="s">
        <v>8</v>
      </c>
      <c r="F1226" t="s">
        <v>73</v>
      </c>
      <c r="G1226" t="s">
        <v>19</v>
      </c>
    </row>
    <row r="1227" spans="1:7" x14ac:dyDescent="0.25">
      <c r="A1227" t="s">
        <v>123</v>
      </c>
      <c r="B1227">
        <v>534</v>
      </c>
      <c r="C1227">
        <v>0</v>
      </c>
      <c r="D1227">
        <v>3</v>
      </c>
      <c r="E1227" t="s">
        <v>23</v>
      </c>
      <c r="F1227" t="s">
        <v>26</v>
      </c>
      <c r="G1227" t="s">
        <v>82</v>
      </c>
    </row>
    <row r="1228" spans="1:7" x14ac:dyDescent="0.25">
      <c r="A1228" t="s">
        <v>211</v>
      </c>
      <c r="B1228">
        <v>31</v>
      </c>
      <c r="C1228">
        <v>9</v>
      </c>
      <c r="D1228">
        <v>2</v>
      </c>
      <c r="E1228" t="s">
        <v>23</v>
      </c>
      <c r="F1228" t="s">
        <v>30</v>
      </c>
      <c r="G1228" t="s">
        <v>10</v>
      </c>
    </row>
    <row r="1229" spans="1:7" x14ac:dyDescent="0.25">
      <c r="A1229" t="s">
        <v>170</v>
      </c>
      <c r="B1229">
        <v>473</v>
      </c>
      <c r="C1229">
        <v>-113</v>
      </c>
      <c r="D1229">
        <v>9</v>
      </c>
      <c r="E1229" t="s">
        <v>23</v>
      </c>
      <c r="F1229" t="s">
        <v>30</v>
      </c>
      <c r="G1229" t="s">
        <v>28</v>
      </c>
    </row>
    <row r="1230" spans="1:7" x14ac:dyDescent="0.25">
      <c r="A1230" t="s">
        <v>496</v>
      </c>
      <c r="B1230">
        <v>31</v>
      </c>
      <c r="C1230">
        <v>-10</v>
      </c>
      <c r="D1230">
        <v>3</v>
      </c>
      <c r="E1230" t="s">
        <v>23</v>
      </c>
      <c r="F1230" t="s">
        <v>43</v>
      </c>
      <c r="G1230" t="s">
        <v>10</v>
      </c>
    </row>
    <row r="1231" spans="1:7" x14ac:dyDescent="0.25">
      <c r="A1231" t="s">
        <v>469</v>
      </c>
      <c r="B1231">
        <v>31</v>
      </c>
      <c r="C1231">
        <v>-3</v>
      </c>
      <c r="D1231">
        <v>4</v>
      </c>
      <c r="E1231" t="s">
        <v>23</v>
      </c>
      <c r="F1231" t="s">
        <v>26</v>
      </c>
      <c r="G1231" t="s">
        <v>10</v>
      </c>
    </row>
    <row r="1232" spans="1:7" x14ac:dyDescent="0.25">
      <c r="A1232" t="s">
        <v>127</v>
      </c>
      <c r="B1232">
        <v>91</v>
      </c>
      <c r="C1232">
        <v>15</v>
      </c>
      <c r="D1232">
        <v>6</v>
      </c>
      <c r="E1232" t="s">
        <v>23</v>
      </c>
      <c r="F1232" t="s">
        <v>81</v>
      </c>
      <c r="G1232" t="s">
        <v>28</v>
      </c>
    </row>
    <row r="1233" spans="1:7" x14ac:dyDescent="0.25">
      <c r="A1233" t="s">
        <v>276</v>
      </c>
      <c r="B1233">
        <v>30</v>
      </c>
      <c r="C1233">
        <v>-25</v>
      </c>
      <c r="D1233">
        <v>2</v>
      </c>
      <c r="E1233" t="s">
        <v>23</v>
      </c>
      <c r="F1233" t="s">
        <v>81</v>
      </c>
      <c r="G1233" t="s">
        <v>10</v>
      </c>
    </row>
    <row r="1234" spans="1:7" x14ac:dyDescent="0.25">
      <c r="A1234" t="s">
        <v>260</v>
      </c>
      <c r="B1234">
        <v>30</v>
      </c>
      <c r="C1234">
        <v>6</v>
      </c>
      <c r="D1234">
        <v>1</v>
      </c>
      <c r="E1234" t="s">
        <v>23</v>
      </c>
      <c r="F1234" t="s">
        <v>81</v>
      </c>
      <c r="G1234" t="s">
        <v>10</v>
      </c>
    </row>
    <row r="1235" spans="1:7" x14ac:dyDescent="0.25">
      <c r="A1235" t="s">
        <v>37</v>
      </c>
      <c r="B1235">
        <v>40</v>
      </c>
      <c r="C1235">
        <v>0</v>
      </c>
      <c r="D1235">
        <v>3</v>
      </c>
      <c r="E1235" t="s">
        <v>23</v>
      </c>
      <c r="F1235" t="s">
        <v>26</v>
      </c>
      <c r="G1235" t="s">
        <v>19</v>
      </c>
    </row>
    <row r="1236" spans="1:7" x14ac:dyDescent="0.25">
      <c r="A1236" t="s">
        <v>262</v>
      </c>
      <c r="B1236">
        <v>534</v>
      </c>
      <c r="C1236">
        <v>5</v>
      </c>
      <c r="D1236">
        <v>2</v>
      </c>
      <c r="E1236" t="s">
        <v>8</v>
      </c>
      <c r="F1236" t="s">
        <v>9</v>
      </c>
      <c r="G1236" t="s">
        <v>82</v>
      </c>
    </row>
    <row r="1237" spans="1:7" x14ac:dyDescent="0.25">
      <c r="A1237" t="s">
        <v>141</v>
      </c>
      <c r="B1237">
        <v>539</v>
      </c>
      <c r="C1237">
        <v>-146</v>
      </c>
      <c r="D1237">
        <v>7</v>
      </c>
      <c r="E1237" t="s">
        <v>12</v>
      </c>
      <c r="F1237" t="s">
        <v>131</v>
      </c>
      <c r="G1237" t="s">
        <v>82</v>
      </c>
    </row>
    <row r="1238" spans="1:7" x14ac:dyDescent="0.25">
      <c r="A1238" t="s">
        <v>497</v>
      </c>
      <c r="B1238">
        <v>490</v>
      </c>
      <c r="C1238">
        <v>-128</v>
      </c>
      <c r="D1238">
        <v>8</v>
      </c>
      <c r="E1238" t="s">
        <v>12</v>
      </c>
      <c r="F1238" t="s">
        <v>16</v>
      </c>
      <c r="G1238" t="s">
        <v>28</v>
      </c>
    </row>
    <row r="1239" spans="1:7" x14ac:dyDescent="0.25">
      <c r="A1239" t="s">
        <v>55</v>
      </c>
      <c r="B1239">
        <v>163</v>
      </c>
      <c r="C1239">
        <v>81</v>
      </c>
      <c r="D1239">
        <v>2</v>
      </c>
      <c r="E1239" t="s">
        <v>8</v>
      </c>
      <c r="F1239" t="s">
        <v>73</v>
      </c>
      <c r="G1239" t="s">
        <v>10</v>
      </c>
    </row>
    <row r="1240" spans="1:7" x14ac:dyDescent="0.25">
      <c r="A1240" t="s">
        <v>88</v>
      </c>
      <c r="B1240">
        <v>184</v>
      </c>
      <c r="C1240">
        <v>85</v>
      </c>
      <c r="D1240">
        <v>6</v>
      </c>
      <c r="E1240" t="s">
        <v>23</v>
      </c>
      <c r="F1240" t="s">
        <v>81</v>
      </c>
      <c r="G1240" t="s">
        <v>28</v>
      </c>
    </row>
    <row r="1241" spans="1:7" x14ac:dyDescent="0.25">
      <c r="A1241" t="s">
        <v>440</v>
      </c>
      <c r="B1241">
        <v>494</v>
      </c>
      <c r="C1241">
        <v>54</v>
      </c>
      <c r="D1241">
        <v>4</v>
      </c>
      <c r="E1241" t="s">
        <v>12</v>
      </c>
      <c r="F1241" t="s">
        <v>16</v>
      </c>
      <c r="G1241" t="s">
        <v>10</v>
      </c>
    </row>
    <row r="1242" spans="1:7" x14ac:dyDescent="0.25">
      <c r="A1242" t="s">
        <v>498</v>
      </c>
      <c r="B1242">
        <v>30</v>
      </c>
      <c r="C1242">
        <v>11</v>
      </c>
      <c r="D1242">
        <v>5</v>
      </c>
      <c r="E1242" t="s">
        <v>23</v>
      </c>
      <c r="F1242" t="s">
        <v>30</v>
      </c>
      <c r="G1242" t="s">
        <v>10</v>
      </c>
    </row>
    <row r="1243" spans="1:7" x14ac:dyDescent="0.25">
      <c r="A1243" t="s">
        <v>420</v>
      </c>
      <c r="B1243">
        <v>30</v>
      </c>
      <c r="C1243">
        <v>0</v>
      </c>
      <c r="D1243">
        <v>1</v>
      </c>
      <c r="E1243" t="s">
        <v>23</v>
      </c>
      <c r="F1243" t="s">
        <v>32</v>
      </c>
      <c r="G1243" t="s">
        <v>10</v>
      </c>
    </row>
    <row r="1244" spans="1:7" x14ac:dyDescent="0.25">
      <c r="A1244" t="s">
        <v>61</v>
      </c>
      <c r="B1244">
        <v>39</v>
      </c>
      <c r="C1244">
        <v>-18</v>
      </c>
      <c r="D1244">
        <v>2</v>
      </c>
      <c r="E1244" t="s">
        <v>23</v>
      </c>
      <c r="F1244" t="s">
        <v>63</v>
      </c>
      <c r="G1244" t="s">
        <v>19</v>
      </c>
    </row>
    <row r="1245" spans="1:7" x14ac:dyDescent="0.25">
      <c r="A1245" t="s">
        <v>306</v>
      </c>
      <c r="B1245">
        <v>1700</v>
      </c>
      <c r="C1245">
        <v>85</v>
      </c>
      <c r="D1245">
        <v>3</v>
      </c>
      <c r="E1245" t="s">
        <v>23</v>
      </c>
      <c r="F1245" t="s">
        <v>24</v>
      </c>
      <c r="G1245" t="s">
        <v>10</v>
      </c>
    </row>
    <row r="1246" spans="1:7" x14ac:dyDescent="0.25">
      <c r="A1246" t="s">
        <v>143</v>
      </c>
      <c r="B1246">
        <v>332</v>
      </c>
      <c r="C1246">
        <v>-43</v>
      </c>
      <c r="D1246">
        <v>6</v>
      </c>
      <c r="E1246" t="s">
        <v>8</v>
      </c>
      <c r="F1246" t="s">
        <v>21</v>
      </c>
      <c r="G1246" t="s">
        <v>28</v>
      </c>
    </row>
    <row r="1247" spans="1:7" x14ac:dyDescent="0.25">
      <c r="A1247" t="s">
        <v>234</v>
      </c>
      <c r="B1247">
        <v>436</v>
      </c>
      <c r="C1247">
        <v>131</v>
      </c>
      <c r="D1247">
        <v>9</v>
      </c>
      <c r="E1247" t="s">
        <v>23</v>
      </c>
      <c r="F1247" t="s">
        <v>30</v>
      </c>
      <c r="G1247" t="s">
        <v>28</v>
      </c>
    </row>
    <row r="1248" spans="1:7" x14ac:dyDescent="0.25">
      <c r="A1248" t="s">
        <v>265</v>
      </c>
      <c r="B1248">
        <v>30</v>
      </c>
      <c r="C1248">
        <v>-5</v>
      </c>
      <c r="D1248">
        <v>2</v>
      </c>
      <c r="E1248" t="s">
        <v>12</v>
      </c>
      <c r="F1248" t="s">
        <v>131</v>
      </c>
      <c r="G1248" t="s">
        <v>10</v>
      </c>
    </row>
    <row r="1249" spans="1:7" x14ac:dyDescent="0.25">
      <c r="A1249" t="s">
        <v>266</v>
      </c>
      <c r="B1249">
        <v>30</v>
      </c>
      <c r="C1249">
        <v>-10</v>
      </c>
      <c r="D1249">
        <v>2</v>
      </c>
      <c r="E1249" t="s">
        <v>23</v>
      </c>
      <c r="F1249" t="s">
        <v>57</v>
      </c>
      <c r="G1249" t="s">
        <v>10</v>
      </c>
    </row>
    <row r="1250" spans="1:7" x14ac:dyDescent="0.25">
      <c r="A1250" t="s">
        <v>208</v>
      </c>
      <c r="B1250">
        <v>38</v>
      </c>
      <c r="C1250">
        <v>-13</v>
      </c>
      <c r="D1250">
        <v>3</v>
      </c>
      <c r="E1250" t="s">
        <v>23</v>
      </c>
      <c r="F1250" t="s">
        <v>57</v>
      </c>
      <c r="G1250" t="s">
        <v>19</v>
      </c>
    </row>
    <row r="1251" spans="1:7" x14ac:dyDescent="0.25">
      <c r="A1251" t="s">
        <v>172</v>
      </c>
      <c r="B1251">
        <v>511</v>
      </c>
      <c r="C1251">
        <v>194</v>
      </c>
      <c r="D1251">
        <v>3</v>
      </c>
      <c r="E1251" t="s">
        <v>12</v>
      </c>
      <c r="F1251" t="s">
        <v>13</v>
      </c>
      <c r="G1251" t="s">
        <v>28</v>
      </c>
    </row>
    <row r="1252" spans="1:7" x14ac:dyDescent="0.25">
      <c r="A1252" t="s">
        <v>67</v>
      </c>
      <c r="B1252">
        <v>37</v>
      </c>
      <c r="C1252">
        <v>-53</v>
      </c>
      <c r="D1252">
        <v>3</v>
      </c>
      <c r="E1252" t="s">
        <v>23</v>
      </c>
      <c r="F1252" t="s">
        <v>26</v>
      </c>
      <c r="G1252" t="s">
        <v>19</v>
      </c>
    </row>
    <row r="1253" spans="1:7" x14ac:dyDescent="0.25">
      <c r="A1253" t="s">
        <v>111</v>
      </c>
      <c r="B1253">
        <v>513</v>
      </c>
      <c r="C1253">
        <v>215</v>
      </c>
      <c r="D1253">
        <v>2</v>
      </c>
      <c r="E1253" t="s">
        <v>8</v>
      </c>
      <c r="F1253" t="s">
        <v>73</v>
      </c>
      <c r="G1253" t="s">
        <v>10</v>
      </c>
    </row>
    <row r="1254" spans="1:7" x14ac:dyDescent="0.25">
      <c r="A1254" t="s">
        <v>100</v>
      </c>
      <c r="B1254">
        <v>516</v>
      </c>
      <c r="C1254">
        <v>69</v>
      </c>
      <c r="D1254">
        <v>4</v>
      </c>
      <c r="E1254" t="s">
        <v>12</v>
      </c>
      <c r="F1254" t="s">
        <v>16</v>
      </c>
      <c r="G1254" t="s">
        <v>28</v>
      </c>
    </row>
    <row r="1255" spans="1:7" x14ac:dyDescent="0.25">
      <c r="A1255" t="s">
        <v>163</v>
      </c>
      <c r="B1255">
        <v>559</v>
      </c>
      <c r="C1255">
        <v>-19</v>
      </c>
      <c r="D1255">
        <v>2</v>
      </c>
      <c r="E1255" t="s">
        <v>23</v>
      </c>
      <c r="F1255" t="s">
        <v>24</v>
      </c>
      <c r="G1255" t="s">
        <v>82</v>
      </c>
    </row>
    <row r="1256" spans="1:7" x14ac:dyDescent="0.25">
      <c r="A1256" t="s">
        <v>499</v>
      </c>
      <c r="B1256">
        <v>29</v>
      </c>
      <c r="C1256">
        <v>-10</v>
      </c>
      <c r="D1256">
        <v>3</v>
      </c>
      <c r="E1256" t="s">
        <v>23</v>
      </c>
      <c r="F1256" t="s">
        <v>43</v>
      </c>
      <c r="G1256" t="s">
        <v>10</v>
      </c>
    </row>
    <row r="1257" spans="1:7" x14ac:dyDescent="0.25">
      <c r="A1257" t="s">
        <v>400</v>
      </c>
      <c r="B1257">
        <v>148</v>
      </c>
      <c r="C1257">
        <v>52</v>
      </c>
      <c r="D1257">
        <v>5</v>
      </c>
      <c r="E1257" t="s">
        <v>23</v>
      </c>
      <c r="F1257" t="s">
        <v>57</v>
      </c>
      <c r="G1257" t="s">
        <v>28</v>
      </c>
    </row>
    <row r="1258" spans="1:7" x14ac:dyDescent="0.25">
      <c r="A1258" t="s">
        <v>273</v>
      </c>
      <c r="B1258">
        <v>559</v>
      </c>
      <c r="C1258">
        <v>-174</v>
      </c>
      <c r="D1258">
        <v>2</v>
      </c>
      <c r="E1258" t="s">
        <v>8</v>
      </c>
      <c r="F1258" t="s">
        <v>9</v>
      </c>
      <c r="G1258" t="s">
        <v>82</v>
      </c>
    </row>
    <row r="1259" spans="1:7" x14ac:dyDescent="0.25">
      <c r="A1259" t="s">
        <v>299</v>
      </c>
      <c r="B1259">
        <v>527</v>
      </c>
      <c r="C1259">
        <v>26</v>
      </c>
      <c r="D1259">
        <v>3</v>
      </c>
      <c r="E1259" t="s">
        <v>8</v>
      </c>
      <c r="F1259" t="s">
        <v>9</v>
      </c>
      <c r="G1259" t="s">
        <v>10</v>
      </c>
    </row>
    <row r="1260" spans="1:7" x14ac:dyDescent="0.25">
      <c r="A1260" t="s">
        <v>300</v>
      </c>
      <c r="B1260">
        <v>560</v>
      </c>
      <c r="C1260">
        <v>44</v>
      </c>
      <c r="D1260">
        <v>3</v>
      </c>
      <c r="E1260" t="s">
        <v>23</v>
      </c>
      <c r="F1260" t="s">
        <v>26</v>
      </c>
      <c r="G1260" t="s">
        <v>82</v>
      </c>
    </row>
    <row r="1261" spans="1:7" x14ac:dyDescent="0.25">
      <c r="A1261" t="s">
        <v>225</v>
      </c>
      <c r="B1261">
        <v>571</v>
      </c>
      <c r="C1261">
        <v>108</v>
      </c>
      <c r="D1261">
        <v>12</v>
      </c>
      <c r="E1261" t="s">
        <v>23</v>
      </c>
      <c r="F1261" t="s">
        <v>57</v>
      </c>
      <c r="G1261" t="s">
        <v>82</v>
      </c>
    </row>
    <row r="1262" spans="1:7" x14ac:dyDescent="0.25">
      <c r="A1262" t="s">
        <v>500</v>
      </c>
      <c r="B1262">
        <v>29</v>
      </c>
      <c r="C1262">
        <v>2</v>
      </c>
      <c r="D1262">
        <v>3</v>
      </c>
      <c r="E1262" t="s">
        <v>23</v>
      </c>
      <c r="F1262" t="s">
        <v>43</v>
      </c>
      <c r="G1262" t="s">
        <v>10</v>
      </c>
    </row>
    <row r="1263" spans="1:7" x14ac:dyDescent="0.25">
      <c r="A1263" t="s">
        <v>299</v>
      </c>
      <c r="B1263">
        <v>29</v>
      </c>
      <c r="C1263">
        <v>3</v>
      </c>
      <c r="D1263">
        <v>2</v>
      </c>
      <c r="E1263" t="s">
        <v>23</v>
      </c>
      <c r="F1263" t="s">
        <v>57</v>
      </c>
      <c r="G1263" t="s">
        <v>10</v>
      </c>
    </row>
    <row r="1264" spans="1:7" x14ac:dyDescent="0.25">
      <c r="A1264" t="s">
        <v>284</v>
      </c>
      <c r="B1264">
        <v>29</v>
      </c>
      <c r="C1264">
        <v>-3</v>
      </c>
      <c r="D1264">
        <v>3</v>
      </c>
      <c r="E1264" t="s">
        <v>23</v>
      </c>
      <c r="F1264" t="s">
        <v>26</v>
      </c>
      <c r="G1264" t="s">
        <v>10</v>
      </c>
    </row>
    <row r="1265" spans="1:7" x14ac:dyDescent="0.25">
      <c r="A1265" t="s">
        <v>501</v>
      </c>
      <c r="B1265">
        <v>35</v>
      </c>
      <c r="C1265">
        <v>14</v>
      </c>
      <c r="D1265">
        <v>2</v>
      </c>
      <c r="E1265" t="s">
        <v>23</v>
      </c>
      <c r="F1265" t="s">
        <v>57</v>
      </c>
      <c r="G1265" t="s">
        <v>19</v>
      </c>
    </row>
    <row r="1266" spans="1:7" x14ac:dyDescent="0.25">
      <c r="A1266" t="s">
        <v>41</v>
      </c>
      <c r="B1266">
        <v>579</v>
      </c>
      <c r="C1266">
        <v>139</v>
      </c>
      <c r="D1266">
        <v>3</v>
      </c>
      <c r="E1266" t="s">
        <v>8</v>
      </c>
      <c r="F1266" t="s">
        <v>18</v>
      </c>
      <c r="G1266" t="s">
        <v>82</v>
      </c>
    </row>
    <row r="1267" spans="1:7" x14ac:dyDescent="0.25">
      <c r="A1267" t="s">
        <v>36</v>
      </c>
      <c r="B1267">
        <v>29</v>
      </c>
      <c r="C1267">
        <v>-24</v>
      </c>
      <c r="D1267">
        <v>4</v>
      </c>
      <c r="E1267" t="s">
        <v>23</v>
      </c>
      <c r="F1267" t="s">
        <v>63</v>
      </c>
      <c r="G1267" t="s">
        <v>10</v>
      </c>
    </row>
    <row r="1268" spans="1:7" x14ac:dyDescent="0.25">
      <c r="A1268" t="s">
        <v>67</v>
      </c>
      <c r="B1268">
        <v>593</v>
      </c>
      <c r="C1268">
        <v>213</v>
      </c>
      <c r="D1268">
        <v>4</v>
      </c>
      <c r="E1268" t="s">
        <v>12</v>
      </c>
      <c r="F1268" t="s">
        <v>16</v>
      </c>
      <c r="G1268" t="s">
        <v>82</v>
      </c>
    </row>
    <row r="1269" spans="1:7" x14ac:dyDescent="0.25">
      <c r="A1269" t="s">
        <v>173</v>
      </c>
      <c r="B1269">
        <v>217</v>
      </c>
      <c r="C1269">
        <v>72</v>
      </c>
      <c r="D1269">
        <v>2</v>
      </c>
      <c r="E1269" t="s">
        <v>12</v>
      </c>
      <c r="F1269" t="s">
        <v>131</v>
      </c>
      <c r="G1269" t="s">
        <v>10</v>
      </c>
    </row>
    <row r="1270" spans="1:7" x14ac:dyDescent="0.25">
      <c r="A1270" t="s">
        <v>502</v>
      </c>
      <c r="B1270">
        <v>353</v>
      </c>
      <c r="C1270">
        <v>90</v>
      </c>
      <c r="D1270">
        <v>8</v>
      </c>
      <c r="E1270" t="s">
        <v>23</v>
      </c>
      <c r="F1270" t="s">
        <v>26</v>
      </c>
      <c r="G1270" t="s">
        <v>10</v>
      </c>
    </row>
    <row r="1271" spans="1:7" x14ac:dyDescent="0.25">
      <c r="A1271" t="s">
        <v>230</v>
      </c>
      <c r="B1271">
        <v>382</v>
      </c>
      <c r="C1271">
        <v>92</v>
      </c>
      <c r="D1271">
        <v>2</v>
      </c>
      <c r="E1271" t="s">
        <v>8</v>
      </c>
      <c r="F1271" t="s">
        <v>18</v>
      </c>
      <c r="G1271" t="s">
        <v>10</v>
      </c>
    </row>
    <row r="1272" spans="1:7" x14ac:dyDescent="0.25">
      <c r="A1272" t="s">
        <v>192</v>
      </c>
      <c r="B1272">
        <v>597</v>
      </c>
      <c r="C1272">
        <v>93</v>
      </c>
      <c r="D1272">
        <v>4</v>
      </c>
      <c r="E1272" t="s">
        <v>12</v>
      </c>
      <c r="F1272" t="s">
        <v>13</v>
      </c>
      <c r="G1272" t="s">
        <v>82</v>
      </c>
    </row>
    <row r="1273" spans="1:7" x14ac:dyDescent="0.25">
      <c r="A1273" t="s">
        <v>503</v>
      </c>
      <c r="B1273">
        <v>212</v>
      </c>
      <c r="C1273">
        <v>97</v>
      </c>
      <c r="D1273">
        <v>7</v>
      </c>
      <c r="E1273" t="s">
        <v>23</v>
      </c>
      <c r="F1273" t="s">
        <v>30</v>
      </c>
      <c r="G1273" t="s">
        <v>10</v>
      </c>
    </row>
    <row r="1274" spans="1:7" x14ac:dyDescent="0.25">
      <c r="A1274" t="s">
        <v>269</v>
      </c>
      <c r="B1274">
        <v>689</v>
      </c>
      <c r="C1274">
        <v>90</v>
      </c>
      <c r="D1274">
        <v>5</v>
      </c>
      <c r="E1274" t="s">
        <v>23</v>
      </c>
      <c r="F1274" t="s">
        <v>26</v>
      </c>
      <c r="G1274" t="s">
        <v>10</v>
      </c>
    </row>
    <row r="1275" spans="1:7" x14ac:dyDescent="0.25">
      <c r="A1275" t="s">
        <v>504</v>
      </c>
      <c r="B1275">
        <v>28</v>
      </c>
      <c r="C1275">
        <v>-10</v>
      </c>
      <c r="D1275">
        <v>3</v>
      </c>
      <c r="E1275" t="s">
        <v>23</v>
      </c>
      <c r="F1275" t="s">
        <v>43</v>
      </c>
      <c r="G1275" t="s">
        <v>10</v>
      </c>
    </row>
    <row r="1276" spans="1:7" x14ac:dyDescent="0.25">
      <c r="A1276" t="s">
        <v>205</v>
      </c>
      <c r="B1276">
        <v>34</v>
      </c>
      <c r="C1276">
        <v>12</v>
      </c>
      <c r="D1276">
        <v>3</v>
      </c>
      <c r="E1276" t="s">
        <v>23</v>
      </c>
      <c r="F1276" t="s">
        <v>30</v>
      </c>
      <c r="G1276" t="s">
        <v>19</v>
      </c>
    </row>
    <row r="1277" spans="1:7" x14ac:dyDescent="0.25">
      <c r="A1277" t="s">
        <v>88</v>
      </c>
      <c r="B1277">
        <v>600</v>
      </c>
      <c r="C1277">
        <v>-102</v>
      </c>
      <c r="D1277">
        <v>5</v>
      </c>
      <c r="E1277" t="s">
        <v>8</v>
      </c>
      <c r="F1277" t="s">
        <v>9</v>
      </c>
      <c r="G1277" t="s">
        <v>82</v>
      </c>
    </row>
    <row r="1278" spans="1:7" x14ac:dyDescent="0.25">
      <c r="A1278" t="s">
        <v>505</v>
      </c>
      <c r="B1278">
        <v>637</v>
      </c>
      <c r="C1278">
        <v>113</v>
      </c>
      <c r="D1278">
        <v>5</v>
      </c>
      <c r="E1278" t="s">
        <v>23</v>
      </c>
      <c r="F1278" t="s">
        <v>26</v>
      </c>
      <c r="G1278" t="s">
        <v>28</v>
      </c>
    </row>
    <row r="1279" spans="1:7" x14ac:dyDescent="0.25">
      <c r="A1279" t="s">
        <v>62</v>
      </c>
      <c r="B1279">
        <v>616</v>
      </c>
      <c r="C1279">
        <v>-69</v>
      </c>
      <c r="D1279">
        <v>7</v>
      </c>
      <c r="E1279" t="s">
        <v>12</v>
      </c>
      <c r="F1279" t="s">
        <v>131</v>
      </c>
      <c r="G1279" t="s">
        <v>82</v>
      </c>
    </row>
    <row r="1280" spans="1:7" x14ac:dyDescent="0.25">
      <c r="A1280" t="s">
        <v>123</v>
      </c>
      <c r="B1280">
        <v>624</v>
      </c>
      <c r="C1280">
        <v>37</v>
      </c>
      <c r="D1280">
        <v>2</v>
      </c>
      <c r="E1280" t="s">
        <v>8</v>
      </c>
      <c r="F1280" t="s">
        <v>9</v>
      </c>
      <c r="G1280" t="s">
        <v>82</v>
      </c>
    </row>
    <row r="1281" spans="1:7" x14ac:dyDescent="0.25">
      <c r="A1281" t="s">
        <v>385</v>
      </c>
      <c r="B1281">
        <v>28</v>
      </c>
      <c r="C1281">
        <v>4</v>
      </c>
      <c r="D1281">
        <v>1</v>
      </c>
      <c r="E1281" t="s">
        <v>23</v>
      </c>
      <c r="F1281" t="s">
        <v>81</v>
      </c>
      <c r="G1281" t="s">
        <v>10</v>
      </c>
    </row>
    <row r="1282" spans="1:7" x14ac:dyDescent="0.25">
      <c r="A1282" t="s">
        <v>276</v>
      </c>
      <c r="B1282">
        <v>584</v>
      </c>
      <c r="C1282">
        <v>-444</v>
      </c>
      <c r="D1282">
        <v>7</v>
      </c>
      <c r="E1282" t="s">
        <v>8</v>
      </c>
      <c r="F1282" t="s">
        <v>18</v>
      </c>
      <c r="G1282" t="s">
        <v>28</v>
      </c>
    </row>
    <row r="1283" spans="1:7" x14ac:dyDescent="0.25">
      <c r="A1283" t="s">
        <v>178</v>
      </c>
      <c r="B1283">
        <v>28</v>
      </c>
      <c r="C1283">
        <v>6</v>
      </c>
      <c r="D1283">
        <v>4</v>
      </c>
      <c r="E1283" t="s">
        <v>23</v>
      </c>
      <c r="F1283" t="s">
        <v>43</v>
      </c>
      <c r="G1283" t="s">
        <v>10</v>
      </c>
    </row>
    <row r="1284" spans="1:7" x14ac:dyDescent="0.25">
      <c r="A1284" t="s">
        <v>17</v>
      </c>
      <c r="B1284">
        <v>33</v>
      </c>
      <c r="C1284">
        <v>-1</v>
      </c>
      <c r="D1284">
        <v>1</v>
      </c>
      <c r="E1284" t="s">
        <v>23</v>
      </c>
      <c r="F1284" t="s">
        <v>26</v>
      </c>
      <c r="G1284" t="s">
        <v>19</v>
      </c>
    </row>
    <row r="1285" spans="1:7" x14ac:dyDescent="0.25">
      <c r="A1285" t="s">
        <v>288</v>
      </c>
      <c r="B1285">
        <v>27</v>
      </c>
      <c r="C1285">
        <v>-20</v>
      </c>
      <c r="D1285">
        <v>2</v>
      </c>
      <c r="E1285" t="s">
        <v>23</v>
      </c>
      <c r="F1285" t="s">
        <v>30</v>
      </c>
      <c r="G1285" t="s">
        <v>10</v>
      </c>
    </row>
    <row r="1286" spans="1:7" x14ac:dyDescent="0.25">
      <c r="A1286" t="s">
        <v>187</v>
      </c>
      <c r="B1286">
        <v>27</v>
      </c>
      <c r="C1286">
        <v>5</v>
      </c>
      <c r="D1286">
        <v>2</v>
      </c>
      <c r="E1286" t="s">
        <v>23</v>
      </c>
      <c r="F1286" t="s">
        <v>43</v>
      </c>
      <c r="G1286" t="s">
        <v>10</v>
      </c>
    </row>
    <row r="1287" spans="1:7" x14ac:dyDescent="0.25">
      <c r="A1287" t="s">
        <v>91</v>
      </c>
      <c r="B1287">
        <v>27</v>
      </c>
      <c r="C1287">
        <v>4</v>
      </c>
      <c r="D1287">
        <v>3</v>
      </c>
      <c r="E1287" t="s">
        <v>23</v>
      </c>
      <c r="F1287" t="s">
        <v>43</v>
      </c>
      <c r="G1287" t="s">
        <v>10</v>
      </c>
    </row>
    <row r="1288" spans="1:7" x14ac:dyDescent="0.25">
      <c r="A1288" t="s">
        <v>298</v>
      </c>
      <c r="B1288">
        <v>635</v>
      </c>
      <c r="C1288">
        <v>-349</v>
      </c>
      <c r="D1288">
        <v>5</v>
      </c>
      <c r="E1288" t="s">
        <v>23</v>
      </c>
      <c r="F1288" t="s">
        <v>26</v>
      </c>
      <c r="G1288" t="s">
        <v>82</v>
      </c>
    </row>
    <row r="1289" spans="1:7" x14ac:dyDescent="0.25">
      <c r="A1289" t="s">
        <v>291</v>
      </c>
      <c r="B1289">
        <v>598</v>
      </c>
      <c r="C1289">
        <v>166</v>
      </c>
      <c r="D1289">
        <v>4</v>
      </c>
      <c r="E1289" t="s">
        <v>12</v>
      </c>
      <c r="F1289" t="s">
        <v>16</v>
      </c>
      <c r="G1289" t="s">
        <v>28</v>
      </c>
    </row>
    <row r="1290" spans="1:7" x14ac:dyDescent="0.25">
      <c r="A1290" t="s">
        <v>385</v>
      </c>
      <c r="B1290">
        <v>636</v>
      </c>
      <c r="C1290">
        <v>-204</v>
      </c>
      <c r="D1290">
        <v>2</v>
      </c>
      <c r="E1290" t="s">
        <v>8</v>
      </c>
      <c r="F1290" t="s">
        <v>18</v>
      </c>
      <c r="G1290" t="s">
        <v>82</v>
      </c>
    </row>
    <row r="1291" spans="1:7" x14ac:dyDescent="0.25">
      <c r="A1291" t="s">
        <v>382</v>
      </c>
      <c r="B1291">
        <v>27</v>
      </c>
      <c r="C1291">
        <v>9</v>
      </c>
      <c r="D1291">
        <v>2</v>
      </c>
      <c r="E1291" t="s">
        <v>23</v>
      </c>
      <c r="F1291" t="s">
        <v>30</v>
      </c>
      <c r="G1291" t="s">
        <v>10</v>
      </c>
    </row>
    <row r="1292" spans="1:7" x14ac:dyDescent="0.25">
      <c r="A1292" t="s">
        <v>182</v>
      </c>
      <c r="B1292">
        <v>27</v>
      </c>
      <c r="C1292">
        <v>-6</v>
      </c>
      <c r="D1292">
        <v>4</v>
      </c>
      <c r="E1292" t="s">
        <v>23</v>
      </c>
      <c r="F1292" t="s">
        <v>30</v>
      </c>
      <c r="G1292" t="s">
        <v>10</v>
      </c>
    </row>
    <row r="1293" spans="1:7" x14ac:dyDescent="0.25">
      <c r="A1293" t="s">
        <v>157</v>
      </c>
      <c r="B1293">
        <v>637</v>
      </c>
      <c r="C1293">
        <v>212</v>
      </c>
      <c r="D1293">
        <v>8</v>
      </c>
      <c r="E1293" t="s">
        <v>8</v>
      </c>
      <c r="F1293" t="s">
        <v>21</v>
      </c>
      <c r="G1293" t="s">
        <v>82</v>
      </c>
    </row>
    <row r="1294" spans="1:7" x14ac:dyDescent="0.25">
      <c r="A1294" t="s">
        <v>253</v>
      </c>
      <c r="B1294">
        <v>290</v>
      </c>
      <c r="C1294">
        <v>110</v>
      </c>
      <c r="D1294">
        <v>9</v>
      </c>
      <c r="E1294" t="s">
        <v>23</v>
      </c>
      <c r="F1294" t="s">
        <v>57</v>
      </c>
      <c r="G1294" t="s">
        <v>28</v>
      </c>
    </row>
    <row r="1295" spans="1:7" x14ac:dyDescent="0.25">
      <c r="A1295" t="s">
        <v>506</v>
      </c>
      <c r="B1295">
        <v>27</v>
      </c>
      <c r="C1295">
        <v>-25</v>
      </c>
      <c r="D1295">
        <v>2</v>
      </c>
      <c r="E1295" t="s">
        <v>23</v>
      </c>
      <c r="F1295" t="s">
        <v>57</v>
      </c>
      <c r="G1295" t="s">
        <v>10</v>
      </c>
    </row>
    <row r="1296" spans="1:7" x14ac:dyDescent="0.25">
      <c r="A1296" t="s">
        <v>507</v>
      </c>
      <c r="B1296">
        <v>632</v>
      </c>
      <c r="C1296">
        <v>-114</v>
      </c>
      <c r="D1296">
        <v>4</v>
      </c>
      <c r="E1296" t="s">
        <v>12</v>
      </c>
      <c r="F1296" t="s">
        <v>45</v>
      </c>
      <c r="G1296" t="s">
        <v>28</v>
      </c>
    </row>
    <row r="1297" spans="1:7" x14ac:dyDescent="0.25">
      <c r="A1297" t="s">
        <v>36</v>
      </c>
      <c r="B1297">
        <v>643</v>
      </c>
      <c r="C1297">
        <v>-45</v>
      </c>
      <c r="D1297">
        <v>2</v>
      </c>
      <c r="E1297" t="s">
        <v>8</v>
      </c>
      <c r="F1297" t="s">
        <v>18</v>
      </c>
      <c r="G1297" t="s">
        <v>82</v>
      </c>
    </row>
    <row r="1298" spans="1:7" x14ac:dyDescent="0.25">
      <c r="A1298" t="s">
        <v>60</v>
      </c>
      <c r="B1298">
        <v>652</v>
      </c>
      <c r="C1298">
        <v>13</v>
      </c>
      <c r="D1298">
        <v>6</v>
      </c>
      <c r="E1298" t="s">
        <v>12</v>
      </c>
      <c r="F1298" t="s">
        <v>131</v>
      </c>
      <c r="G1298" t="s">
        <v>82</v>
      </c>
    </row>
    <row r="1299" spans="1:7" x14ac:dyDescent="0.25">
      <c r="A1299" t="s">
        <v>127</v>
      </c>
      <c r="B1299">
        <v>33</v>
      </c>
      <c r="C1299">
        <v>-27</v>
      </c>
      <c r="D1299">
        <v>1</v>
      </c>
      <c r="E1299" t="s">
        <v>12</v>
      </c>
      <c r="F1299" t="s">
        <v>13</v>
      </c>
      <c r="G1299" t="s">
        <v>19</v>
      </c>
    </row>
    <row r="1300" spans="1:7" x14ac:dyDescent="0.25">
      <c r="A1300" t="s">
        <v>388</v>
      </c>
      <c r="B1300">
        <v>26</v>
      </c>
      <c r="C1300">
        <v>2</v>
      </c>
      <c r="D1300">
        <v>2</v>
      </c>
      <c r="E1300" t="s">
        <v>23</v>
      </c>
      <c r="F1300" t="s">
        <v>30</v>
      </c>
      <c r="G1300" t="s">
        <v>10</v>
      </c>
    </row>
    <row r="1301" spans="1:7" x14ac:dyDescent="0.25">
      <c r="A1301" t="s">
        <v>371</v>
      </c>
      <c r="B1301">
        <v>633</v>
      </c>
      <c r="C1301">
        <v>-633</v>
      </c>
      <c r="D1301">
        <v>11</v>
      </c>
      <c r="E1301" t="s">
        <v>8</v>
      </c>
      <c r="F1301" t="s">
        <v>73</v>
      </c>
      <c r="G1301" t="s">
        <v>28</v>
      </c>
    </row>
    <row r="1302" spans="1:7" x14ac:dyDescent="0.25">
      <c r="A1302" t="s">
        <v>22</v>
      </c>
      <c r="B1302">
        <v>26</v>
      </c>
      <c r="C1302">
        <v>9</v>
      </c>
      <c r="D1302">
        <v>2</v>
      </c>
      <c r="E1302" t="s">
        <v>23</v>
      </c>
      <c r="F1302" t="s">
        <v>63</v>
      </c>
      <c r="G1302" t="s">
        <v>10</v>
      </c>
    </row>
    <row r="1303" spans="1:7" x14ac:dyDescent="0.25">
      <c r="A1303" t="s">
        <v>115</v>
      </c>
      <c r="B1303">
        <v>191</v>
      </c>
      <c r="C1303">
        <v>93</v>
      </c>
      <c r="D1303">
        <v>4</v>
      </c>
      <c r="E1303" t="s">
        <v>23</v>
      </c>
      <c r="F1303" t="s">
        <v>142</v>
      </c>
      <c r="G1303" t="s">
        <v>28</v>
      </c>
    </row>
    <row r="1304" spans="1:7" x14ac:dyDescent="0.25">
      <c r="A1304" t="s">
        <v>25</v>
      </c>
      <c r="B1304">
        <v>887</v>
      </c>
      <c r="C1304">
        <v>80</v>
      </c>
      <c r="D1304">
        <v>3</v>
      </c>
      <c r="E1304" t="s">
        <v>8</v>
      </c>
      <c r="F1304" t="s">
        <v>18</v>
      </c>
      <c r="G1304" t="s">
        <v>28</v>
      </c>
    </row>
    <row r="1305" spans="1:7" x14ac:dyDescent="0.25">
      <c r="A1305" t="s">
        <v>508</v>
      </c>
      <c r="B1305">
        <v>637</v>
      </c>
      <c r="C1305">
        <v>261</v>
      </c>
      <c r="D1305">
        <v>2</v>
      </c>
      <c r="E1305" t="s">
        <v>8</v>
      </c>
      <c r="F1305" t="s">
        <v>18</v>
      </c>
      <c r="G1305" t="s">
        <v>10</v>
      </c>
    </row>
    <row r="1306" spans="1:7" x14ac:dyDescent="0.25">
      <c r="A1306" t="s">
        <v>252</v>
      </c>
      <c r="B1306">
        <v>670</v>
      </c>
      <c r="C1306">
        <v>15</v>
      </c>
      <c r="D1306">
        <v>5</v>
      </c>
      <c r="E1306" t="s">
        <v>12</v>
      </c>
      <c r="F1306" t="s">
        <v>16</v>
      </c>
      <c r="G1306" t="s">
        <v>82</v>
      </c>
    </row>
    <row r="1307" spans="1:7" x14ac:dyDescent="0.25">
      <c r="A1307" t="s">
        <v>72</v>
      </c>
      <c r="B1307">
        <v>26</v>
      </c>
      <c r="C1307">
        <v>7</v>
      </c>
      <c r="D1307">
        <v>4</v>
      </c>
      <c r="E1307" t="s">
        <v>23</v>
      </c>
      <c r="F1307" t="s">
        <v>30</v>
      </c>
      <c r="G1307" t="s">
        <v>10</v>
      </c>
    </row>
    <row r="1308" spans="1:7" x14ac:dyDescent="0.25">
      <c r="A1308" t="s">
        <v>88</v>
      </c>
      <c r="B1308">
        <v>676</v>
      </c>
      <c r="C1308">
        <v>195</v>
      </c>
      <c r="D1308">
        <v>5</v>
      </c>
      <c r="E1308" t="s">
        <v>12</v>
      </c>
      <c r="F1308" t="s">
        <v>16</v>
      </c>
      <c r="G1308" t="s">
        <v>82</v>
      </c>
    </row>
    <row r="1309" spans="1:7" x14ac:dyDescent="0.25">
      <c r="A1309" t="s">
        <v>509</v>
      </c>
      <c r="B1309">
        <v>26</v>
      </c>
      <c r="C1309">
        <v>12</v>
      </c>
      <c r="D1309">
        <v>3</v>
      </c>
      <c r="E1309" t="s">
        <v>23</v>
      </c>
      <c r="F1309" t="s">
        <v>30</v>
      </c>
      <c r="G1309" t="s">
        <v>10</v>
      </c>
    </row>
    <row r="1310" spans="1:7" x14ac:dyDescent="0.25">
      <c r="A1310" t="s">
        <v>66</v>
      </c>
      <c r="B1310">
        <v>26</v>
      </c>
      <c r="C1310">
        <v>-24</v>
      </c>
      <c r="D1310">
        <v>1</v>
      </c>
      <c r="E1310" t="s">
        <v>23</v>
      </c>
      <c r="F1310" t="s">
        <v>57</v>
      </c>
      <c r="G1310" t="s">
        <v>10</v>
      </c>
    </row>
    <row r="1311" spans="1:7" x14ac:dyDescent="0.25">
      <c r="A1311" t="s">
        <v>122</v>
      </c>
      <c r="B1311">
        <v>25</v>
      </c>
      <c r="C1311">
        <v>7</v>
      </c>
      <c r="D1311">
        <v>2</v>
      </c>
      <c r="E1311" t="s">
        <v>23</v>
      </c>
      <c r="F1311" t="s">
        <v>57</v>
      </c>
      <c r="G1311" t="s">
        <v>10</v>
      </c>
    </row>
    <row r="1312" spans="1:7" x14ac:dyDescent="0.25">
      <c r="A1312" t="s">
        <v>149</v>
      </c>
      <c r="B1312">
        <v>24</v>
      </c>
      <c r="C1312">
        <v>-30</v>
      </c>
      <c r="D1312">
        <v>1</v>
      </c>
      <c r="E1312" t="s">
        <v>12</v>
      </c>
      <c r="F1312" t="s">
        <v>13</v>
      </c>
      <c r="G1312" t="s">
        <v>10</v>
      </c>
    </row>
    <row r="1313" spans="1:7" x14ac:dyDescent="0.25">
      <c r="A1313" t="s">
        <v>223</v>
      </c>
      <c r="B1313">
        <v>32</v>
      </c>
      <c r="C1313">
        <v>-12</v>
      </c>
      <c r="D1313">
        <v>1</v>
      </c>
      <c r="E1313" t="s">
        <v>12</v>
      </c>
      <c r="F1313" t="s">
        <v>13</v>
      </c>
      <c r="G1313" t="s">
        <v>19</v>
      </c>
    </row>
    <row r="1314" spans="1:7" x14ac:dyDescent="0.25">
      <c r="A1314" t="s">
        <v>135</v>
      </c>
      <c r="B1314">
        <v>31</v>
      </c>
      <c r="C1314">
        <v>-2</v>
      </c>
      <c r="D1314">
        <v>2</v>
      </c>
      <c r="E1314" t="s">
        <v>23</v>
      </c>
      <c r="F1314" t="s">
        <v>26</v>
      </c>
      <c r="G1314" t="s">
        <v>19</v>
      </c>
    </row>
    <row r="1315" spans="1:7" x14ac:dyDescent="0.25">
      <c r="A1315" t="s">
        <v>123</v>
      </c>
      <c r="B1315">
        <v>651</v>
      </c>
      <c r="C1315">
        <v>169</v>
      </c>
      <c r="D1315">
        <v>5</v>
      </c>
      <c r="E1315" t="s">
        <v>8</v>
      </c>
      <c r="F1315" t="s">
        <v>18</v>
      </c>
      <c r="G1315" t="s">
        <v>10</v>
      </c>
    </row>
    <row r="1316" spans="1:7" x14ac:dyDescent="0.25">
      <c r="A1316" t="s">
        <v>309</v>
      </c>
      <c r="B1316">
        <v>326</v>
      </c>
      <c r="C1316">
        <v>107</v>
      </c>
      <c r="D1316">
        <v>3</v>
      </c>
      <c r="E1316" t="s">
        <v>12</v>
      </c>
      <c r="F1316" t="s">
        <v>131</v>
      </c>
      <c r="G1316" t="s">
        <v>28</v>
      </c>
    </row>
    <row r="1317" spans="1:7" x14ac:dyDescent="0.25">
      <c r="A1317" t="s">
        <v>388</v>
      </c>
      <c r="B1317">
        <v>30</v>
      </c>
      <c r="C1317">
        <v>-6</v>
      </c>
      <c r="D1317">
        <v>2</v>
      </c>
      <c r="E1317" t="s">
        <v>23</v>
      </c>
      <c r="F1317" t="s">
        <v>30</v>
      </c>
      <c r="G1317" t="s">
        <v>28</v>
      </c>
    </row>
    <row r="1318" spans="1:7" x14ac:dyDescent="0.25">
      <c r="A1318" t="s">
        <v>179</v>
      </c>
      <c r="B1318">
        <v>30</v>
      </c>
      <c r="C1318">
        <v>5</v>
      </c>
      <c r="D1318">
        <v>2</v>
      </c>
      <c r="E1318" t="s">
        <v>23</v>
      </c>
      <c r="F1318" t="s">
        <v>32</v>
      </c>
      <c r="G1318" t="s">
        <v>28</v>
      </c>
    </row>
    <row r="1319" spans="1:7" x14ac:dyDescent="0.25">
      <c r="A1319" t="s">
        <v>510</v>
      </c>
      <c r="B1319">
        <v>662</v>
      </c>
      <c r="C1319">
        <v>240</v>
      </c>
      <c r="D1319">
        <v>2</v>
      </c>
      <c r="E1319" t="s">
        <v>12</v>
      </c>
      <c r="F1319" t="s">
        <v>16</v>
      </c>
      <c r="G1319" t="s">
        <v>10</v>
      </c>
    </row>
    <row r="1320" spans="1:7" x14ac:dyDescent="0.25">
      <c r="A1320" t="s">
        <v>54</v>
      </c>
      <c r="B1320">
        <v>30</v>
      </c>
      <c r="C1320">
        <v>-23</v>
      </c>
      <c r="D1320">
        <v>2</v>
      </c>
      <c r="E1320" t="s">
        <v>23</v>
      </c>
      <c r="F1320" t="s">
        <v>26</v>
      </c>
      <c r="G1320" t="s">
        <v>28</v>
      </c>
    </row>
    <row r="1321" spans="1:7" x14ac:dyDescent="0.25">
      <c r="A1321" t="s">
        <v>253</v>
      </c>
      <c r="B1321">
        <v>29</v>
      </c>
      <c r="C1321">
        <v>9</v>
      </c>
      <c r="D1321">
        <v>3</v>
      </c>
      <c r="E1321" t="s">
        <v>23</v>
      </c>
      <c r="F1321" t="s">
        <v>26</v>
      </c>
      <c r="G1321" t="s">
        <v>28</v>
      </c>
    </row>
    <row r="1322" spans="1:7" x14ac:dyDescent="0.25">
      <c r="A1322" t="s">
        <v>163</v>
      </c>
      <c r="B1322">
        <v>28</v>
      </c>
      <c r="C1322">
        <v>1</v>
      </c>
      <c r="D1322">
        <v>1</v>
      </c>
      <c r="E1322" t="s">
        <v>8</v>
      </c>
      <c r="F1322" t="s">
        <v>73</v>
      </c>
      <c r="G1322" t="s">
        <v>28</v>
      </c>
    </row>
    <row r="1323" spans="1:7" x14ac:dyDescent="0.25">
      <c r="A1323" t="s">
        <v>117</v>
      </c>
      <c r="B1323">
        <v>28</v>
      </c>
      <c r="C1323">
        <v>-3</v>
      </c>
      <c r="D1323">
        <v>2</v>
      </c>
      <c r="E1323" t="s">
        <v>23</v>
      </c>
      <c r="F1323" t="s">
        <v>26</v>
      </c>
      <c r="G1323" t="s">
        <v>28</v>
      </c>
    </row>
    <row r="1324" spans="1:7" x14ac:dyDescent="0.25">
      <c r="A1324" t="s">
        <v>511</v>
      </c>
      <c r="B1324">
        <v>24</v>
      </c>
      <c r="C1324">
        <v>2</v>
      </c>
      <c r="D1324">
        <v>4</v>
      </c>
      <c r="E1324" t="s">
        <v>23</v>
      </c>
      <c r="F1324" t="s">
        <v>30</v>
      </c>
      <c r="G1324" t="s">
        <v>10</v>
      </c>
    </row>
    <row r="1325" spans="1:7" x14ac:dyDescent="0.25">
      <c r="A1325" t="s">
        <v>135</v>
      </c>
      <c r="B1325">
        <v>28</v>
      </c>
      <c r="C1325">
        <v>-26</v>
      </c>
      <c r="D1325">
        <v>2</v>
      </c>
      <c r="E1325" t="s">
        <v>23</v>
      </c>
      <c r="F1325" t="s">
        <v>57</v>
      </c>
      <c r="G1325" t="s">
        <v>28</v>
      </c>
    </row>
    <row r="1326" spans="1:7" x14ac:dyDescent="0.25">
      <c r="A1326" t="s">
        <v>275</v>
      </c>
      <c r="B1326">
        <v>27</v>
      </c>
      <c r="C1326">
        <v>5</v>
      </c>
      <c r="D1326">
        <v>1</v>
      </c>
      <c r="E1326" t="s">
        <v>23</v>
      </c>
      <c r="F1326" t="s">
        <v>57</v>
      </c>
      <c r="G1326" t="s">
        <v>28</v>
      </c>
    </row>
    <row r="1327" spans="1:7" x14ac:dyDescent="0.25">
      <c r="A1327" t="s">
        <v>512</v>
      </c>
      <c r="B1327">
        <v>27</v>
      </c>
      <c r="C1327">
        <v>-15</v>
      </c>
      <c r="D1327">
        <v>1</v>
      </c>
      <c r="E1327" t="s">
        <v>23</v>
      </c>
      <c r="F1327" t="s">
        <v>57</v>
      </c>
      <c r="G1327" t="s">
        <v>28</v>
      </c>
    </row>
    <row r="1328" spans="1:7" x14ac:dyDescent="0.25">
      <c r="A1328" t="s">
        <v>383</v>
      </c>
      <c r="B1328">
        <v>24</v>
      </c>
      <c r="C1328">
        <v>11</v>
      </c>
      <c r="D1328">
        <v>3</v>
      </c>
      <c r="E1328" t="s">
        <v>23</v>
      </c>
      <c r="F1328" t="s">
        <v>30</v>
      </c>
      <c r="G1328" t="s">
        <v>10</v>
      </c>
    </row>
    <row r="1329" spans="1:7" x14ac:dyDescent="0.25">
      <c r="A1329" t="s">
        <v>266</v>
      </c>
      <c r="B1329">
        <v>23</v>
      </c>
      <c r="C1329">
        <v>-6</v>
      </c>
      <c r="D1329">
        <v>4</v>
      </c>
      <c r="E1329" t="s">
        <v>23</v>
      </c>
      <c r="F1329" t="s">
        <v>30</v>
      </c>
      <c r="G1329" t="s">
        <v>10</v>
      </c>
    </row>
    <row r="1330" spans="1:7" x14ac:dyDescent="0.25">
      <c r="A1330" t="s">
        <v>99</v>
      </c>
      <c r="B1330">
        <v>322</v>
      </c>
      <c r="C1330">
        <v>193</v>
      </c>
      <c r="D1330">
        <v>5</v>
      </c>
      <c r="E1330" t="s">
        <v>8</v>
      </c>
      <c r="F1330" t="s">
        <v>18</v>
      </c>
      <c r="G1330" t="s">
        <v>10</v>
      </c>
    </row>
    <row r="1331" spans="1:7" x14ac:dyDescent="0.25">
      <c r="A1331" t="s">
        <v>202</v>
      </c>
      <c r="B1331">
        <v>688</v>
      </c>
      <c r="C1331">
        <v>-103</v>
      </c>
      <c r="D1331">
        <v>6</v>
      </c>
      <c r="E1331" t="s">
        <v>8</v>
      </c>
      <c r="F1331" t="s">
        <v>73</v>
      </c>
      <c r="G1331" t="s">
        <v>82</v>
      </c>
    </row>
    <row r="1332" spans="1:7" x14ac:dyDescent="0.25">
      <c r="A1332" t="s">
        <v>371</v>
      </c>
      <c r="B1332">
        <v>23</v>
      </c>
      <c r="C1332">
        <v>-3</v>
      </c>
      <c r="D1332">
        <v>1</v>
      </c>
      <c r="E1332" t="s">
        <v>23</v>
      </c>
      <c r="F1332" t="s">
        <v>142</v>
      </c>
      <c r="G1332" t="s">
        <v>10</v>
      </c>
    </row>
    <row r="1333" spans="1:7" x14ac:dyDescent="0.25">
      <c r="A1333" t="s">
        <v>209</v>
      </c>
      <c r="B1333">
        <v>26</v>
      </c>
      <c r="C1333">
        <v>3</v>
      </c>
      <c r="D1333">
        <v>3</v>
      </c>
      <c r="E1333" t="s">
        <v>23</v>
      </c>
      <c r="F1333" t="s">
        <v>43</v>
      </c>
      <c r="G1333" t="s">
        <v>28</v>
      </c>
    </row>
    <row r="1334" spans="1:7" x14ac:dyDescent="0.25">
      <c r="A1334" t="s">
        <v>262</v>
      </c>
      <c r="B1334">
        <v>68</v>
      </c>
      <c r="C1334">
        <v>-56</v>
      </c>
      <c r="D1334">
        <v>2</v>
      </c>
      <c r="E1334" t="s">
        <v>8</v>
      </c>
      <c r="F1334" t="s">
        <v>21</v>
      </c>
      <c r="G1334" t="s">
        <v>10</v>
      </c>
    </row>
    <row r="1335" spans="1:7" x14ac:dyDescent="0.25">
      <c r="A1335" t="s">
        <v>392</v>
      </c>
      <c r="B1335">
        <v>462</v>
      </c>
      <c r="C1335">
        <v>169</v>
      </c>
      <c r="D1335">
        <v>4</v>
      </c>
      <c r="E1335" t="s">
        <v>23</v>
      </c>
      <c r="F1335" t="s">
        <v>26</v>
      </c>
      <c r="G1335" t="s">
        <v>10</v>
      </c>
    </row>
    <row r="1336" spans="1:7" x14ac:dyDescent="0.25">
      <c r="A1336" t="s">
        <v>469</v>
      </c>
      <c r="B1336">
        <v>941</v>
      </c>
      <c r="C1336">
        <v>203</v>
      </c>
      <c r="D1336">
        <v>3</v>
      </c>
      <c r="E1336" t="s">
        <v>12</v>
      </c>
      <c r="F1336" t="s">
        <v>45</v>
      </c>
      <c r="G1336" t="s">
        <v>28</v>
      </c>
    </row>
    <row r="1337" spans="1:7" x14ac:dyDescent="0.25">
      <c r="A1337" t="s">
        <v>191</v>
      </c>
      <c r="B1337">
        <v>23</v>
      </c>
      <c r="C1337">
        <v>4</v>
      </c>
      <c r="D1337">
        <v>2</v>
      </c>
      <c r="E1337" t="s">
        <v>23</v>
      </c>
      <c r="F1337" t="s">
        <v>43</v>
      </c>
      <c r="G1337" t="s">
        <v>10</v>
      </c>
    </row>
    <row r="1338" spans="1:7" x14ac:dyDescent="0.25">
      <c r="A1338" t="s">
        <v>436</v>
      </c>
      <c r="B1338">
        <v>720</v>
      </c>
      <c r="C1338">
        <v>43</v>
      </c>
      <c r="D1338">
        <v>2</v>
      </c>
      <c r="E1338" t="s">
        <v>8</v>
      </c>
      <c r="F1338" t="s">
        <v>18</v>
      </c>
      <c r="G1338" t="s">
        <v>28</v>
      </c>
    </row>
    <row r="1339" spans="1:7" x14ac:dyDescent="0.25">
      <c r="A1339" t="s">
        <v>52</v>
      </c>
      <c r="B1339">
        <v>724</v>
      </c>
      <c r="C1339">
        <v>-447</v>
      </c>
      <c r="D1339">
        <v>4</v>
      </c>
      <c r="E1339" t="s">
        <v>8</v>
      </c>
      <c r="F1339" t="s">
        <v>9</v>
      </c>
      <c r="G1339" t="s">
        <v>28</v>
      </c>
    </row>
    <row r="1340" spans="1:7" x14ac:dyDescent="0.25">
      <c r="A1340" t="s">
        <v>513</v>
      </c>
      <c r="B1340">
        <v>724</v>
      </c>
      <c r="C1340">
        <v>253</v>
      </c>
      <c r="D1340">
        <v>2</v>
      </c>
      <c r="E1340" t="s">
        <v>12</v>
      </c>
      <c r="F1340" t="s">
        <v>16</v>
      </c>
      <c r="G1340" t="s">
        <v>28</v>
      </c>
    </row>
    <row r="1341" spans="1:7" x14ac:dyDescent="0.25">
      <c r="A1341" t="s">
        <v>79</v>
      </c>
      <c r="B1341">
        <v>26</v>
      </c>
      <c r="C1341">
        <v>10</v>
      </c>
      <c r="D1341">
        <v>4</v>
      </c>
      <c r="E1341" t="s">
        <v>23</v>
      </c>
      <c r="F1341" t="s">
        <v>30</v>
      </c>
      <c r="G1341" t="s">
        <v>28</v>
      </c>
    </row>
    <row r="1342" spans="1:7" x14ac:dyDescent="0.25">
      <c r="A1342" t="s">
        <v>107</v>
      </c>
      <c r="B1342">
        <v>22</v>
      </c>
      <c r="C1342">
        <v>-2</v>
      </c>
      <c r="D1342">
        <v>3</v>
      </c>
      <c r="E1342" t="s">
        <v>23</v>
      </c>
      <c r="F1342" t="s">
        <v>30</v>
      </c>
      <c r="G1342" t="s">
        <v>10</v>
      </c>
    </row>
    <row r="1343" spans="1:7" x14ac:dyDescent="0.25">
      <c r="A1343" t="s">
        <v>189</v>
      </c>
      <c r="B1343">
        <v>711</v>
      </c>
      <c r="C1343">
        <v>-8</v>
      </c>
      <c r="D1343">
        <v>4</v>
      </c>
      <c r="E1343" t="s">
        <v>23</v>
      </c>
      <c r="F1343" t="s">
        <v>26</v>
      </c>
      <c r="G1343" t="s">
        <v>82</v>
      </c>
    </row>
    <row r="1344" spans="1:7" x14ac:dyDescent="0.25">
      <c r="A1344" t="s">
        <v>288</v>
      </c>
      <c r="B1344">
        <v>107</v>
      </c>
      <c r="C1344">
        <v>31</v>
      </c>
      <c r="D1344">
        <v>5</v>
      </c>
      <c r="E1344" t="s">
        <v>23</v>
      </c>
      <c r="F1344" t="s">
        <v>81</v>
      </c>
      <c r="G1344" t="s">
        <v>10</v>
      </c>
    </row>
    <row r="1345" spans="1:7" x14ac:dyDescent="0.25">
      <c r="A1345" t="s">
        <v>341</v>
      </c>
      <c r="B1345">
        <v>765</v>
      </c>
      <c r="C1345">
        <v>-153</v>
      </c>
      <c r="D1345">
        <v>2</v>
      </c>
      <c r="E1345" t="s">
        <v>8</v>
      </c>
      <c r="F1345" t="s">
        <v>21</v>
      </c>
      <c r="G1345" t="s">
        <v>82</v>
      </c>
    </row>
    <row r="1346" spans="1:7" x14ac:dyDescent="0.25">
      <c r="A1346" t="s">
        <v>382</v>
      </c>
      <c r="B1346">
        <v>22</v>
      </c>
      <c r="C1346">
        <v>8</v>
      </c>
      <c r="D1346">
        <v>2</v>
      </c>
      <c r="E1346" t="s">
        <v>23</v>
      </c>
      <c r="F1346" t="s">
        <v>63</v>
      </c>
      <c r="G1346" t="s">
        <v>10</v>
      </c>
    </row>
    <row r="1347" spans="1:7" x14ac:dyDescent="0.25">
      <c r="A1347" t="s">
        <v>418</v>
      </c>
      <c r="B1347">
        <v>26</v>
      </c>
      <c r="C1347">
        <v>-5</v>
      </c>
      <c r="D1347">
        <v>2</v>
      </c>
      <c r="E1347" t="s">
        <v>23</v>
      </c>
      <c r="F1347" t="s">
        <v>57</v>
      </c>
      <c r="G1347" t="s">
        <v>28</v>
      </c>
    </row>
    <row r="1348" spans="1:7" x14ac:dyDescent="0.25">
      <c r="A1348" t="s">
        <v>187</v>
      </c>
      <c r="B1348">
        <v>22</v>
      </c>
      <c r="C1348">
        <v>8</v>
      </c>
      <c r="D1348">
        <v>3</v>
      </c>
      <c r="E1348" t="s">
        <v>23</v>
      </c>
      <c r="F1348" t="s">
        <v>30</v>
      </c>
      <c r="G1348" t="s">
        <v>10</v>
      </c>
    </row>
    <row r="1349" spans="1:7" x14ac:dyDescent="0.25">
      <c r="A1349" t="s">
        <v>514</v>
      </c>
      <c r="B1349">
        <v>743</v>
      </c>
      <c r="C1349">
        <v>89</v>
      </c>
      <c r="D1349">
        <v>5</v>
      </c>
      <c r="E1349" t="s">
        <v>8</v>
      </c>
      <c r="F1349" t="s">
        <v>18</v>
      </c>
      <c r="G1349" t="s">
        <v>28</v>
      </c>
    </row>
    <row r="1350" spans="1:7" x14ac:dyDescent="0.25">
      <c r="A1350" t="s">
        <v>33</v>
      </c>
      <c r="B1350">
        <v>22</v>
      </c>
      <c r="C1350">
        <v>-15</v>
      </c>
      <c r="D1350">
        <v>4</v>
      </c>
      <c r="E1350" t="s">
        <v>23</v>
      </c>
      <c r="F1350" t="s">
        <v>32</v>
      </c>
      <c r="G1350" t="s">
        <v>10</v>
      </c>
    </row>
    <row r="1351" spans="1:7" x14ac:dyDescent="0.25">
      <c r="A1351" t="s">
        <v>265</v>
      </c>
      <c r="B1351">
        <v>781</v>
      </c>
      <c r="C1351">
        <v>594</v>
      </c>
      <c r="D1351">
        <v>6</v>
      </c>
      <c r="E1351" t="s">
        <v>8</v>
      </c>
      <c r="F1351" t="s">
        <v>18</v>
      </c>
      <c r="G1351" t="s">
        <v>82</v>
      </c>
    </row>
    <row r="1352" spans="1:7" x14ac:dyDescent="0.25">
      <c r="A1352" t="s">
        <v>308</v>
      </c>
      <c r="B1352">
        <v>25</v>
      </c>
      <c r="C1352">
        <v>-2</v>
      </c>
      <c r="D1352">
        <v>5</v>
      </c>
      <c r="E1352" t="s">
        <v>23</v>
      </c>
      <c r="F1352" t="s">
        <v>30</v>
      </c>
      <c r="G1352" t="s">
        <v>28</v>
      </c>
    </row>
    <row r="1353" spans="1:7" x14ac:dyDescent="0.25">
      <c r="A1353" t="s">
        <v>237</v>
      </c>
      <c r="B1353">
        <v>25</v>
      </c>
      <c r="C1353">
        <v>2</v>
      </c>
      <c r="D1353">
        <v>2</v>
      </c>
      <c r="E1353" t="s">
        <v>23</v>
      </c>
      <c r="F1353" t="s">
        <v>30</v>
      </c>
      <c r="G1353" t="s">
        <v>28</v>
      </c>
    </row>
    <row r="1354" spans="1:7" x14ac:dyDescent="0.25">
      <c r="A1354" t="s">
        <v>341</v>
      </c>
      <c r="B1354">
        <v>119</v>
      </c>
      <c r="C1354">
        <v>43</v>
      </c>
      <c r="D1354">
        <v>5</v>
      </c>
      <c r="E1354" t="s">
        <v>23</v>
      </c>
      <c r="F1354" t="s">
        <v>81</v>
      </c>
      <c r="G1354" t="s">
        <v>10</v>
      </c>
    </row>
    <row r="1355" spans="1:7" x14ac:dyDescent="0.25">
      <c r="A1355" t="s">
        <v>246</v>
      </c>
      <c r="B1355">
        <v>785</v>
      </c>
      <c r="C1355">
        <v>52</v>
      </c>
      <c r="D1355">
        <v>2</v>
      </c>
      <c r="E1355" t="s">
        <v>8</v>
      </c>
      <c r="F1355" t="s">
        <v>21</v>
      </c>
      <c r="G1355" t="s">
        <v>82</v>
      </c>
    </row>
    <row r="1356" spans="1:7" x14ac:dyDescent="0.25">
      <c r="A1356" t="s">
        <v>258</v>
      </c>
      <c r="B1356">
        <v>183</v>
      </c>
      <c r="C1356">
        <v>-66</v>
      </c>
      <c r="D1356">
        <v>5</v>
      </c>
      <c r="E1356" t="s">
        <v>8</v>
      </c>
      <c r="F1356" t="s">
        <v>21</v>
      </c>
      <c r="G1356" t="s">
        <v>28</v>
      </c>
    </row>
    <row r="1357" spans="1:7" x14ac:dyDescent="0.25">
      <c r="A1357" t="s">
        <v>332</v>
      </c>
      <c r="B1357">
        <v>22</v>
      </c>
      <c r="C1357">
        <v>4</v>
      </c>
      <c r="D1357">
        <v>1</v>
      </c>
      <c r="E1357" t="s">
        <v>23</v>
      </c>
      <c r="F1357" t="s">
        <v>57</v>
      </c>
      <c r="G1357" t="s">
        <v>10</v>
      </c>
    </row>
    <row r="1358" spans="1:7" x14ac:dyDescent="0.25">
      <c r="A1358" t="s">
        <v>106</v>
      </c>
      <c r="B1358">
        <v>642</v>
      </c>
      <c r="C1358">
        <v>180</v>
      </c>
      <c r="D1358">
        <v>5</v>
      </c>
      <c r="E1358" t="s">
        <v>23</v>
      </c>
      <c r="F1358" t="s">
        <v>26</v>
      </c>
      <c r="G1358" t="s">
        <v>10</v>
      </c>
    </row>
    <row r="1359" spans="1:7" x14ac:dyDescent="0.25">
      <c r="A1359" t="s">
        <v>276</v>
      </c>
      <c r="B1359">
        <v>767</v>
      </c>
      <c r="C1359">
        <v>-353</v>
      </c>
      <c r="D1359">
        <v>5</v>
      </c>
      <c r="E1359" t="s">
        <v>23</v>
      </c>
      <c r="F1359" t="s">
        <v>24</v>
      </c>
      <c r="G1359" t="s">
        <v>10</v>
      </c>
    </row>
    <row r="1360" spans="1:7" x14ac:dyDescent="0.25">
      <c r="A1360" t="s">
        <v>292</v>
      </c>
      <c r="B1360">
        <v>770</v>
      </c>
      <c r="C1360">
        <v>323</v>
      </c>
      <c r="D1360">
        <v>3</v>
      </c>
      <c r="E1360" t="s">
        <v>8</v>
      </c>
      <c r="F1360" t="s">
        <v>73</v>
      </c>
      <c r="G1360" t="s">
        <v>10</v>
      </c>
    </row>
    <row r="1361" spans="1:7" x14ac:dyDescent="0.25">
      <c r="A1361" t="s">
        <v>388</v>
      </c>
      <c r="B1361">
        <v>21</v>
      </c>
      <c r="C1361">
        <v>-17</v>
      </c>
      <c r="D1361">
        <v>3</v>
      </c>
      <c r="E1361" t="s">
        <v>23</v>
      </c>
      <c r="F1361" t="s">
        <v>142</v>
      </c>
      <c r="G1361" t="s">
        <v>10</v>
      </c>
    </row>
    <row r="1362" spans="1:7" x14ac:dyDescent="0.25">
      <c r="A1362" t="s">
        <v>337</v>
      </c>
      <c r="B1362">
        <v>21</v>
      </c>
      <c r="C1362">
        <v>-6</v>
      </c>
      <c r="D1362">
        <v>3</v>
      </c>
      <c r="E1362" t="s">
        <v>23</v>
      </c>
      <c r="F1362" t="s">
        <v>63</v>
      </c>
      <c r="G1362" t="s">
        <v>10</v>
      </c>
    </row>
    <row r="1363" spans="1:7" x14ac:dyDescent="0.25">
      <c r="A1363" t="s">
        <v>17</v>
      </c>
      <c r="B1363">
        <v>492</v>
      </c>
      <c r="C1363">
        <v>187</v>
      </c>
      <c r="D1363">
        <v>2</v>
      </c>
      <c r="E1363" t="s">
        <v>8</v>
      </c>
      <c r="F1363" t="s">
        <v>73</v>
      </c>
      <c r="G1363" t="s">
        <v>28</v>
      </c>
    </row>
    <row r="1364" spans="1:7" x14ac:dyDescent="0.25">
      <c r="A1364" t="s">
        <v>359</v>
      </c>
      <c r="B1364">
        <v>816</v>
      </c>
      <c r="C1364">
        <v>-96</v>
      </c>
      <c r="D1364">
        <v>3</v>
      </c>
      <c r="E1364" t="s">
        <v>8</v>
      </c>
      <c r="F1364" t="s">
        <v>18</v>
      </c>
      <c r="G1364" t="s">
        <v>82</v>
      </c>
    </row>
    <row r="1365" spans="1:7" x14ac:dyDescent="0.25">
      <c r="A1365" t="s">
        <v>270</v>
      </c>
      <c r="B1365">
        <v>25</v>
      </c>
      <c r="C1365">
        <v>2</v>
      </c>
      <c r="D1365">
        <v>3</v>
      </c>
      <c r="E1365" t="s">
        <v>23</v>
      </c>
      <c r="F1365" t="s">
        <v>32</v>
      </c>
      <c r="G1365" t="s">
        <v>19</v>
      </c>
    </row>
    <row r="1366" spans="1:7" x14ac:dyDescent="0.25">
      <c r="A1366" t="s">
        <v>306</v>
      </c>
      <c r="B1366">
        <v>802</v>
      </c>
      <c r="C1366">
        <v>120</v>
      </c>
      <c r="D1366">
        <v>7</v>
      </c>
      <c r="E1366" t="s">
        <v>8</v>
      </c>
      <c r="F1366" t="s">
        <v>73</v>
      </c>
      <c r="G1366" t="s">
        <v>10</v>
      </c>
    </row>
    <row r="1367" spans="1:7" x14ac:dyDescent="0.25">
      <c r="A1367" t="s">
        <v>515</v>
      </c>
      <c r="B1367">
        <v>811</v>
      </c>
      <c r="C1367">
        <v>154</v>
      </c>
      <c r="D1367">
        <v>7</v>
      </c>
      <c r="E1367" t="s">
        <v>8</v>
      </c>
      <c r="F1367" t="s">
        <v>73</v>
      </c>
      <c r="G1367" t="s">
        <v>28</v>
      </c>
    </row>
    <row r="1368" spans="1:7" x14ac:dyDescent="0.25">
      <c r="A1368" t="s">
        <v>458</v>
      </c>
      <c r="B1368">
        <v>835</v>
      </c>
      <c r="C1368">
        <v>267</v>
      </c>
      <c r="D1368">
        <v>5</v>
      </c>
      <c r="E1368" t="s">
        <v>8</v>
      </c>
      <c r="F1368" t="s">
        <v>21</v>
      </c>
      <c r="G1368" t="s">
        <v>82</v>
      </c>
    </row>
    <row r="1369" spans="1:7" x14ac:dyDescent="0.25">
      <c r="A1369" t="s">
        <v>279</v>
      </c>
      <c r="B1369">
        <v>21</v>
      </c>
      <c r="C1369">
        <v>-5</v>
      </c>
      <c r="D1369">
        <v>1</v>
      </c>
      <c r="E1369" t="s">
        <v>8</v>
      </c>
      <c r="F1369" t="s">
        <v>73</v>
      </c>
      <c r="G1369" t="s">
        <v>10</v>
      </c>
    </row>
    <row r="1370" spans="1:7" x14ac:dyDescent="0.25">
      <c r="A1370" t="s">
        <v>294</v>
      </c>
      <c r="B1370">
        <v>450</v>
      </c>
      <c r="C1370">
        <v>-190</v>
      </c>
      <c r="D1370">
        <v>4</v>
      </c>
      <c r="E1370" t="s">
        <v>12</v>
      </c>
      <c r="F1370" t="s">
        <v>16</v>
      </c>
      <c r="G1370" t="s">
        <v>10</v>
      </c>
    </row>
    <row r="1371" spans="1:7" x14ac:dyDescent="0.25">
      <c r="A1371" t="s">
        <v>307</v>
      </c>
      <c r="B1371">
        <v>24</v>
      </c>
      <c r="C1371">
        <v>-1</v>
      </c>
      <c r="D1371">
        <v>4</v>
      </c>
      <c r="E1371" t="s">
        <v>23</v>
      </c>
      <c r="F1371" t="s">
        <v>43</v>
      </c>
      <c r="G1371" t="s">
        <v>19</v>
      </c>
    </row>
    <row r="1372" spans="1:7" x14ac:dyDescent="0.25">
      <c r="A1372" t="s">
        <v>516</v>
      </c>
      <c r="B1372">
        <v>832</v>
      </c>
      <c r="C1372">
        <v>0</v>
      </c>
      <c r="D1372">
        <v>3</v>
      </c>
      <c r="E1372" t="s">
        <v>23</v>
      </c>
      <c r="F1372" t="s">
        <v>24</v>
      </c>
      <c r="G1372" t="s">
        <v>28</v>
      </c>
    </row>
    <row r="1373" spans="1:7" x14ac:dyDescent="0.25">
      <c r="A1373" t="s">
        <v>361</v>
      </c>
      <c r="B1373">
        <v>833</v>
      </c>
      <c r="C1373">
        <v>93</v>
      </c>
      <c r="D1373">
        <v>3</v>
      </c>
      <c r="E1373" t="s">
        <v>23</v>
      </c>
      <c r="F1373" t="s">
        <v>24</v>
      </c>
      <c r="G1373" t="s">
        <v>28</v>
      </c>
    </row>
    <row r="1374" spans="1:7" x14ac:dyDescent="0.25">
      <c r="A1374" t="s">
        <v>517</v>
      </c>
      <c r="B1374">
        <v>20</v>
      </c>
      <c r="C1374">
        <v>6</v>
      </c>
      <c r="D1374">
        <v>1</v>
      </c>
      <c r="E1374" t="s">
        <v>23</v>
      </c>
      <c r="F1374" t="s">
        <v>81</v>
      </c>
      <c r="G1374" t="s">
        <v>10</v>
      </c>
    </row>
    <row r="1375" spans="1:7" x14ac:dyDescent="0.25">
      <c r="A1375" t="s">
        <v>418</v>
      </c>
      <c r="B1375">
        <v>23</v>
      </c>
      <c r="C1375">
        <v>-5</v>
      </c>
      <c r="D1375">
        <v>7</v>
      </c>
      <c r="E1375" t="s">
        <v>23</v>
      </c>
      <c r="F1375" t="s">
        <v>30</v>
      </c>
      <c r="G1375" t="s">
        <v>19</v>
      </c>
    </row>
    <row r="1376" spans="1:7" x14ac:dyDescent="0.25">
      <c r="A1376" t="s">
        <v>171</v>
      </c>
      <c r="B1376">
        <v>550</v>
      </c>
      <c r="C1376">
        <v>-242</v>
      </c>
      <c r="D1376">
        <v>5</v>
      </c>
      <c r="E1376" t="s">
        <v>12</v>
      </c>
      <c r="F1376" t="s">
        <v>131</v>
      </c>
      <c r="G1376" t="s">
        <v>28</v>
      </c>
    </row>
    <row r="1377" spans="1:7" x14ac:dyDescent="0.25">
      <c r="A1377" t="s">
        <v>344</v>
      </c>
      <c r="B1377">
        <v>148</v>
      </c>
      <c r="C1377">
        <v>-91</v>
      </c>
      <c r="D1377">
        <v>2</v>
      </c>
      <c r="E1377" t="s">
        <v>8</v>
      </c>
      <c r="F1377" t="s">
        <v>21</v>
      </c>
      <c r="G1377" t="s">
        <v>10</v>
      </c>
    </row>
    <row r="1378" spans="1:7" x14ac:dyDescent="0.25">
      <c r="A1378" t="s">
        <v>178</v>
      </c>
      <c r="B1378">
        <v>846</v>
      </c>
      <c r="C1378">
        <v>9</v>
      </c>
      <c r="D1378">
        <v>2</v>
      </c>
      <c r="E1378" t="s">
        <v>12</v>
      </c>
      <c r="F1378" t="s">
        <v>13</v>
      </c>
      <c r="G1378" t="s">
        <v>82</v>
      </c>
    </row>
    <row r="1379" spans="1:7" x14ac:dyDescent="0.25">
      <c r="A1379" t="s">
        <v>87</v>
      </c>
      <c r="B1379">
        <v>856</v>
      </c>
      <c r="C1379">
        <v>385</v>
      </c>
      <c r="D1379">
        <v>6</v>
      </c>
      <c r="E1379" t="s">
        <v>8</v>
      </c>
      <c r="F1379" t="s">
        <v>18</v>
      </c>
      <c r="G1379" t="s">
        <v>10</v>
      </c>
    </row>
    <row r="1380" spans="1:7" x14ac:dyDescent="0.25">
      <c r="A1380" t="s">
        <v>374</v>
      </c>
      <c r="B1380">
        <v>871</v>
      </c>
      <c r="C1380">
        <v>131</v>
      </c>
      <c r="D1380">
        <v>2</v>
      </c>
      <c r="E1380" t="s">
        <v>12</v>
      </c>
      <c r="F1380" t="s">
        <v>16</v>
      </c>
      <c r="G1380" t="s">
        <v>28</v>
      </c>
    </row>
    <row r="1381" spans="1:7" x14ac:dyDescent="0.25">
      <c r="A1381" t="s">
        <v>211</v>
      </c>
      <c r="B1381">
        <v>19</v>
      </c>
      <c r="C1381">
        <v>-18</v>
      </c>
      <c r="D1381">
        <v>4</v>
      </c>
      <c r="E1381" t="s">
        <v>23</v>
      </c>
      <c r="F1381" t="s">
        <v>32</v>
      </c>
      <c r="G1381" t="s">
        <v>10</v>
      </c>
    </row>
    <row r="1382" spans="1:7" x14ac:dyDescent="0.25">
      <c r="A1382" t="s">
        <v>518</v>
      </c>
      <c r="B1382">
        <v>610</v>
      </c>
      <c r="C1382">
        <v>-66</v>
      </c>
      <c r="D1382">
        <v>2</v>
      </c>
      <c r="E1382" t="s">
        <v>12</v>
      </c>
      <c r="F1382" t="s">
        <v>45</v>
      </c>
      <c r="G1382" t="s">
        <v>10</v>
      </c>
    </row>
    <row r="1383" spans="1:7" x14ac:dyDescent="0.25">
      <c r="A1383" t="s">
        <v>359</v>
      </c>
      <c r="B1383">
        <v>880</v>
      </c>
      <c r="C1383">
        <v>97</v>
      </c>
      <c r="D1383">
        <v>8</v>
      </c>
      <c r="E1383" t="s">
        <v>12</v>
      </c>
      <c r="F1383" t="s">
        <v>131</v>
      </c>
      <c r="G1383" t="s">
        <v>82</v>
      </c>
    </row>
    <row r="1384" spans="1:7" x14ac:dyDescent="0.25">
      <c r="A1384" t="s">
        <v>132</v>
      </c>
      <c r="B1384">
        <v>22</v>
      </c>
      <c r="C1384">
        <v>-8</v>
      </c>
      <c r="D1384">
        <v>4</v>
      </c>
      <c r="E1384" t="s">
        <v>23</v>
      </c>
      <c r="F1384" t="s">
        <v>30</v>
      </c>
      <c r="G1384" t="s">
        <v>19</v>
      </c>
    </row>
    <row r="1385" spans="1:7" x14ac:dyDescent="0.25">
      <c r="A1385" t="s">
        <v>519</v>
      </c>
      <c r="B1385">
        <v>22</v>
      </c>
      <c r="C1385">
        <v>11</v>
      </c>
      <c r="D1385">
        <v>2</v>
      </c>
      <c r="E1385" t="s">
        <v>23</v>
      </c>
      <c r="F1385" t="s">
        <v>43</v>
      </c>
      <c r="G1385" t="s">
        <v>19</v>
      </c>
    </row>
    <row r="1386" spans="1:7" x14ac:dyDescent="0.25">
      <c r="A1386" t="s">
        <v>520</v>
      </c>
      <c r="B1386">
        <v>21</v>
      </c>
      <c r="C1386">
        <v>4</v>
      </c>
      <c r="D1386">
        <v>3</v>
      </c>
      <c r="E1386" t="s">
        <v>23</v>
      </c>
      <c r="F1386" t="s">
        <v>30</v>
      </c>
      <c r="G1386" t="s">
        <v>19</v>
      </c>
    </row>
    <row r="1387" spans="1:7" x14ac:dyDescent="0.25">
      <c r="A1387" t="s">
        <v>307</v>
      </c>
      <c r="B1387">
        <v>18</v>
      </c>
      <c r="C1387">
        <v>1</v>
      </c>
      <c r="D1387">
        <v>3</v>
      </c>
      <c r="E1387" t="s">
        <v>23</v>
      </c>
      <c r="F1387" t="s">
        <v>30</v>
      </c>
      <c r="G1387" t="s">
        <v>10</v>
      </c>
    </row>
    <row r="1388" spans="1:7" x14ac:dyDescent="0.25">
      <c r="A1388" t="s">
        <v>521</v>
      </c>
      <c r="B1388">
        <v>911</v>
      </c>
      <c r="C1388">
        <v>202</v>
      </c>
      <c r="D1388">
        <v>7</v>
      </c>
      <c r="E1388" t="s">
        <v>12</v>
      </c>
      <c r="F1388" t="s">
        <v>13</v>
      </c>
      <c r="G1388" t="s">
        <v>10</v>
      </c>
    </row>
    <row r="1389" spans="1:7" x14ac:dyDescent="0.25">
      <c r="A1389" t="s">
        <v>299</v>
      </c>
      <c r="B1389">
        <v>18</v>
      </c>
      <c r="C1389">
        <v>2</v>
      </c>
      <c r="D1389">
        <v>3</v>
      </c>
      <c r="E1389" t="s">
        <v>23</v>
      </c>
      <c r="F1389" t="s">
        <v>30</v>
      </c>
      <c r="G1389" t="s">
        <v>10</v>
      </c>
    </row>
    <row r="1390" spans="1:7" x14ac:dyDescent="0.25">
      <c r="A1390" t="s">
        <v>349</v>
      </c>
      <c r="B1390">
        <v>911</v>
      </c>
      <c r="C1390">
        <v>355</v>
      </c>
      <c r="D1390">
        <v>5</v>
      </c>
      <c r="E1390" t="s">
        <v>8</v>
      </c>
      <c r="F1390" t="s">
        <v>21</v>
      </c>
      <c r="G1390" t="s">
        <v>82</v>
      </c>
    </row>
    <row r="1391" spans="1:7" x14ac:dyDescent="0.25">
      <c r="A1391" t="s">
        <v>229</v>
      </c>
      <c r="B1391">
        <v>143</v>
      </c>
      <c r="C1391">
        <v>-129</v>
      </c>
      <c r="D1391">
        <v>2</v>
      </c>
      <c r="E1391" t="s">
        <v>8</v>
      </c>
      <c r="F1391" t="s">
        <v>21</v>
      </c>
      <c r="G1391" t="s">
        <v>10</v>
      </c>
    </row>
    <row r="1392" spans="1:7" x14ac:dyDescent="0.25">
      <c r="A1392" t="s">
        <v>130</v>
      </c>
      <c r="B1392">
        <v>918</v>
      </c>
      <c r="C1392">
        <v>22</v>
      </c>
      <c r="D1392">
        <v>9</v>
      </c>
      <c r="E1392" t="s">
        <v>8</v>
      </c>
      <c r="F1392" t="s">
        <v>9</v>
      </c>
      <c r="G1392" t="s">
        <v>10</v>
      </c>
    </row>
    <row r="1393" spans="1:7" x14ac:dyDescent="0.25">
      <c r="A1393" t="s">
        <v>135</v>
      </c>
      <c r="B1393">
        <v>925</v>
      </c>
      <c r="C1393">
        <v>-447</v>
      </c>
      <c r="D1393">
        <v>5</v>
      </c>
      <c r="E1393" t="s">
        <v>8</v>
      </c>
      <c r="F1393" t="s">
        <v>9</v>
      </c>
      <c r="G1393" t="s">
        <v>10</v>
      </c>
    </row>
    <row r="1394" spans="1:7" x14ac:dyDescent="0.25">
      <c r="A1394" t="s">
        <v>174</v>
      </c>
      <c r="B1394">
        <v>17</v>
      </c>
      <c r="C1394">
        <v>8</v>
      </c>
      <c r="D1394">
        <v>2</v>
      </c>
      <c r="E1394" t="s">
        <v>23</v>
      </c>
      <c r="F1394" t="s">
        <v>43</v>
      </c>
      <c r="G1394" t="s">
        <v>10</v>
      </c>
    </row>
    <row r="1395" spans="1:7" x14ac:dyDescent="0.25">
      <c r="A1395" t="s">
        <v>522</v>
      </c>
      <c r="B1395">
        <v>465</v>
      </c>
      <c r="C1395">
        <v>207</v>
      </c>
      <c r="D1395">
        <v>9</v>
      </c>
      <c r="E1395" t="s">
        <v>23</v>
      </c>
      <c r="F1395" t="s">
        <v>26</v>
      </c>
      <c r="G1395" t="s">
        <v>10</v>
      </c>
    </row>
    <row r="1396" spans="1:7" x14ac:dyDescent="0.25">
      <c r="A1396" t="s">
        <v>150</v>
      </c>
      <c r="B1396">
        <v>17</v>
      </c>
      <c r="C1396">
        <v>-9</v>
      </c>
      <c r="D1396">
        <v>3</v>
      </c>
      <c r="E1396" t="s">
        <v>23</v>
      </c>
      <c r="F1396" t="s">
        <v>57</v>
      </c>
      <c r="G1396" t="s">
        <v>10</v>
      </c>
    </row>
    <row r="1397" spans="1:7" x14ac:dyDescent="0.25">
      <c r="A1397" t="s">
        <v>133</v>
      </c>
      <c r="B1397">
        <v>935</v>
      </c>
      <c r="C1397">
        <v>114</v>
      </c>
      <c r="D1397">
        <v>4</v>
      </c>
      <c r="E1397" t="s">
        <v>8</v>
      </c>
      <c r="F1397" t="s">
        <v>9</v>
      </c>
      <c r="G1397" t="s">
        <v>28</v>
      </c>
    </row>
    <row r="1398" spans="1:7" x14ac:dyDescent="0.25">
      <c r="A1398" t="s">
        <v>119</v>
      </c>
      <c r="B1398">
        <v>16</v>
      </c>
      <c r="C1398">
        <v>-10</v>
      </c>
      <c r="D1398">
        <v>2</v>
      </c>
      <c r="E1398" t="s">
        <v>23</v>
      </c>
      <c r="F1398" t="s">
        <v>81</v>
      </c>
      <c r="G1398" t="s">
        <v>10</v>
      </c>
    </row>
    <row r="1399" spans="1:7" x14ac:dyDescent="0.25">
      <c r="A1399" t="s">
        <v>15</v>
      </c>
      <c r="B1399">
        <v>954</v>
      </c>
      <c r="C1399">
        <v>95</v>
      </c>
      <c r="D1399">
        <v>3</v>
      </c>
      <c r="E1399" t="s">
        <v>8</v>
      </c>
      <c r="F1399" t="s">
        <v>18</v>
      </c>
      <c r="G1399" t="s">
        <v>28</v>
      </c>
    </row>
    <row r="1400" spans="1:7" x14ac:dyDescent="0.25">
      <c r="A1400" t="s">
        <v>115</v>
      </c>
      <c r="B1400">
        <v>915</v>
      </c>
      <c r="C1400">
        <v>-99</v>
      </c>
      <c r="D1400">
        <v>3</v>
      </c>
      <c r="E1400" t="s">
        <v>12</v>
      </c>
      <c r="F1400" t="s">
        <v>45</v>
      </c>
      <c r="G1400" t="s">
        <v>82</v>
      </c>
    </row>
    <row r="1401" spans="1:7" x14ac:dyDescent="0.25">
      <c r="A1401" t="s">
        <v>330</v>
      </c>
      <c r="B1401">
        <v>955</v>
      </c>
      <c r="C1401">
        <v>305</v>
      </c>
      <c r="D1401">
        <v>3</v>
      </c>
      <c r="E1401" t="s">
        <v>8</v>
      </c>
      <c r="F1401" t="s">
        <v>18</v>
      </c>
      <c r="G1401" t="s">
        <v>82</v>
      </c>
    </row>
    <row r="1402" spans="1:7" x14ac:dyDescent="0.25">
      <c r="A1402" t="s">
        <v>64</v>
      </c>
      <c r="B1402">
        <v>976</v>
      </c>
      <c r="C1402">
        <v>293</v>
      </c>
      <c r="D1402">
        <v>4</v>
      </c>
      <c r="E1402" t="s">
        <v>8</v>
      </c>
      <c r="F1402" t="s">
        <v>73</v>
      </c>
      <c r="G1402" t="s">
        <v>10</v>
      </c>
    </row>
    <row r="1403" spans="1:7" x14ac:dyDescent="0.25">
      <c r="A1403" t="s">
        <v>344</v>
      </c>
      <c r="B1403">
        <v>1069</v>
      </c>
      <c r="C1403">
        <v>0</v>
      </c>
      <c r="D1403">
        <v>6</v>
      </c>
      <c r="E1403" t="s">
        <v>23</v>
      </c>
      <c r="F1403" t="s">
        <v>26</v>
      </c>
      <c r="G1403" t="s">
        <v>14</v>
      </c>
    </row>
    <row r="1404" spans="1:7" x14ac:dyDescent="0.25">
      <c r="A1404" t="s">
        <v>290</v>
      </c>
      <c r="B1404">
        <v>19</v>
      </c>
      <c r="C1404">
        <v>-15</v>
      </c>
      <c r="D1404">
        <v>3</v>
      </c>
      <c r="E1404" t="s">
        <v>23</v>
      </c>
      <c r="F1404" t="s">
        <v>30</v>
      </c>
      <c r="G1404" t="s">
        <v>19</v>
      </c>
    </row>
    <row r="1405" spans="1:7" x14ac:dyDescent="0.25">
      <c r="A1405" t="s">
        <v>321</v>
      </c>
      <c r="B1405">
        <v>16</v>
      </c>
      <c r="C1405">
        <v>6</v>
      </c>
      <c r="D1405">
        <v>3</v>
      </c>
      <c r="E1405" t="s">
        <v>23</v>
      </c>
      <c r="F1405" t="s">
        <v>30</v>
      </c>
      <c r="G1405" t="s">
        <v>10</v>
      </c>
    </row>
    <row r="1406" spans="1:7" x14ac:dyDescent="0.25">
      <c r="A1406" t="s">
        <v>100</v>
      </c>
      <c r="B1406">
        <v>1030</v>
      </c>
      <c r="C1406">
        <v>206</v>
      </c>
      <c r="D1406">
        <v>8</v>
      </c>
      <c r="E1406" t="s">
        <v>8</v>
      </c>
      <c r="F1406" t="s">
        <v>18</v>
      </c>
      <c r="G1406" t="s">
        <v>28</v>
      </c>
    </row>
    <row r="1407" spans="1:7" x14ac:dyDescent="0.25">
      <c r="A1407" t="s">
        <v>288</v>
      </c>
      <c r="B1407">
        <v>620</v>
      </c>
      <c r="C1407">
        <v>82</v>
      </c>
      <c r="D1407">
        <v>6</v>
      </c>
      <c r="E1407" t="s">
        <v>8</v>
      </c>
      <c r="F1407" t="s">
        <v>73</v>
      </c>
      <c r="G1407" t="s">
        <v>10</v>
      </c>
    </row>
    <row r="1408" spans="1:7" x14ac:dyDescent="0.25">
      <c r="A1408" t="s">
        <v>214</v>
      </c>
      <c r="B1408">
        <v>16</v>
      </c>
      <c r="C1408">
        <v>8</v>
      </c>
      <c r="D1408">
        <v>2</v>
      </c>
      <c r="E1408" t="s">
        <v>23</v>
      </c>
      <c r="F1408" t="s">
        <v>30</v>
      </c>
      <c r="G1408" t="s">
        <v>10</v>
      </c>
    </row>
    <row r="1409" spans="1:7" x14ac:dyDescent="0.25">
      <c r="A1409" t="s">
        <v>61</v>
      </c>
      <c r="B1409">
        <v>19</v>
      </c>
      <c r="C1409">
        <v>8</v>
      </c>
      <c r="D1409">
        <v>2</v>
      </c>
      <c r="E1409" t="s">
        <v>23</v>
      </c>
      <c r="F1409" t="s">
        <v>30</v>
      </c>
      <c r="G1409" t="s">
        <v>19</v>
      </c>
    </row>
    <row r="1410" spans="1:7" x14ac:dyDescent="0.25">
      <c r="A1410" t="s">
        <v>189</v>
      </c>
      <c r="B1410">
        <v>249</v>
      </c>
      <c r="C1410">
        <v>-130</v>
      </c>
      <c r="D1410">
        <v>4</v>
      </c>
      <c r="E1410" t="s">
        <v>8</v>
      </c>
      <c r="F1410" t="s">
        <v>21</v>
      </c>
      <c r="G1410" t="s">
        <v>28</v>
      </c>
    </row>
    <row r="1411" spans="1:7" x14ac:dyDescent="0.25">
      <c r="A1411" t="s">
        <v>523</v>
      </c>
      <c r="B1411">
        <v>16</v>
      </c>
      <c r="C1411">
        <v>6</v>
      </c>
      <c r="D1411">
        <v>1</v>
      </c>
      <c r="E1411" t="s">
        <v>23</v>
      </c>
      <c r="F1411" t="s">
        <v>57</v>
      </c>
      <c r="G1411" t="s">
        <v>10</v>
      </c>
    </row>
    <row r="1412" spans="1:7" x14ac:dyDescent="0.25">
      <c r="A1412" t="s">
        <v>127</v>
      </c>
      <c r="B1412">
        <v>1361</v>
      </c>
      <c r="C1412">
        <v>197</v>
      </c>
      <c r="D1412">
        <v>9</v>
      </c>
      <c r="E1412" t="s">
        <v>12</v>
      </c>
      <c r="F1412" t="s">
        <v>16</v>
      </c>
      <c r="G1412" t="s">
        <v>10</v>
      </c>
    </row>
    <row r="1413" spans="1:7" x14ac:dyDescent="0.25">
      <c r="A1413" t="s">
        <v>122</v>
      </c>
      <c r="B1413">
        <v>15</v>
      </c>
      <c r="C1413">
        <v>1</v>
      </c>
      <c r="D1413">
        <v>1</v>
      </c>
      <c r="E1413" t="s">
        <v>23</v>
      </c>
      <c r="F1413" t="s">
        <v>142</v>
      </c>
      <c r="G1413" t="s">
        <v>10</v>
      </c>
    </row>
    <row r="1414" spans="1:7" x14ac:dyDescent="0.25">
      <c r="A1414" t="s">
        <v>265</v>
      </c>
      <c r="B1414">
        <v>1076</v>
      </c>
      <c r="C1414">
        <v>-38</v>
      </c>
      <c r="D1414">
        <v>4</v>
      </c>
      <c r="E1414" t="s">
        <v>8</v>
      </c>
      <c r="F1414" t="s">
        <v>18</v>
      </c>
      <c r="G1414" t="s">
        <v>10</v>
      </c>
    </row>
    <row r="1415" spans="1:7" x14ac:dyDescent="0.25">
      <c r="A1415" t="s">
        <v>159</v>
      </c>
      <c r="B1415">
        <v>18</v>
      </c>
      <c r="C1415">
        <v>2</v>
      </c>
      <c r="D1415">
        <v>3</v>
      </c>
      <c r="E1415" t="s">
        <v>23</v>
      </c>
      <c r="F1415" t="s">
        <v>30</v>
      </c>
      <c r="G1415" t="s">
        <v>19</v>
      </c>
    </row>
    <row r="1416" spans="1:7" x14ac:dyDescent="0.25">
      <c r="A1416" t="s">
        <v>524</v>
      </c>
      <c r="B1416">
        <v>1101</v>
      </c>
      <c r="C1416">
        <v>352</v>
      </c>
      <c r="D1416">
        <v>3</v>
      </c>
      <c r="E1416" t="s">
        <v>12</v>
      </c>
      <c r="F1416" t="s">
        <v>16</v>
      </c>
      <c r="G1416" t="s">
        <v>28</v>
      </c>
    </row>
    <row r="1417" spans="1:7" x14ac:dyDescent="0.25">
      <c r="A1417" t="s">
        <v>180</v>
      </c>
      <c r="B1417">
        <v>15</v>
      </c>
      <c r="C1417">
        <v>2</v>
      </c>
      <c r="D1417">
        <v>1</v>
      </c>
      <c r="E1417" t="s">
        <v>23</v>
      </c>
      <c r="F1417" t="s">
        <v>63</v>
      </c>
      <c r="G1417" t="s">
        <v>10</v>
      </c>
    </row>
    <row r="1418" spans="1:7" x14ac:dyDescent="0.25">
      <c r="A1418" t="s">
        <v>55</v>
      </c>
      <c r="B1418">
        <v>1104</v>
      </c>
      <c r="C1418">
        <v>209</v>
      </c>
      <c r="D1418">
        <v>4</v>
      </c>
      <c r="E1418" t="s">
        <v>23</v>
      </c>
      <c r="F1418" t="s">
        <v>24</v>
      </c>
      <c r="G1418" t="s">
        <v>28</v>
      </c>
    </row>
    <row r="1419" spans="1:7" x14ac:dyDescent="0.25">
      <c r="A1419" t="s">
        <v>155</v>
      </c>
      <c r="B1419">
        <v>14</v>
      </c>
      <c r="C1419">
        <v>2</v>
      </c>
      <c r="D1419">
        <v>1</v>
      </c>
      <c r="E1419" t="s">
        <v>23</v>
      </c>
      <c r="F1419" t="s">
        <v>30</v>
      </c>
      <c r="G1419" t="s">
        <v>10</v>
      </c>
    </row>
    <row r="1420" spans="1:7" x14ac:dyDescent="0.25">
      <c r="A1420" t="s">
        <v>104</v>
      </c>
      <c r="B1420">
        <v>14</v>
      </c>
      <c r="C1420">
        <v>5</v>
      </c>
      <c r="D1420">
        <v>1</v>
      </c>
      <c r="E1420" t="s">
        <v>23</v>
      </c>
      <c r="F1420" t="s">
        <v>30</v>
      </c>
      <c r="G1420" t="s">
        <v>10</v>
      </c>
    </row>
    <row r="1421" spans="1:7" x14ac:dyDescent="0.25">
      <c r="A1421" t="s">
        <v>262</v>
      </c>
      <c r="B1421">
        <v>14</v>
      </c>
      <c r="C1421">
        <v>-3</v>
      </c>
      <c r="D1421">
        <v>2</v>
      </c>
      <c r="E1421" t="s">
        <v>23</v>
      </c>
      <c r="F1421" t="s">
        <v>63</v>
      </c>
      <c r="G1421" t="s">
        <v>10</v>
      </c>
    </row>
    <row r="1422" spans="1:7" x14ac:dyDescent="0.25">
      <c r="A1422" t="s">
        <v>27</v>
      </c>
      <c r="B1422">
        <v>14</v>
      </c>
      <c r="C1422">
        <v>-1</v>
      </c>
      <c r="D1422">
        <v>4</v>
      </c>
      <c r="E1422" t="s">
        <v>23</v>
      </c>
      <c r="F1422" t="s">
        <v>32</v>
      </c>
      <c r="G1422" t="s">
        <v>10</v>
      </c>
    </row>
    <row r="1423" spans="1:7" x14ac:dyDescent="0.25">
      <c r="A1423" t="s">
        <v>62</v>
      </c>
      <c r="B1423">
        <v>13</v>
      </c>
      <c r="C1423">
        <v>-8</v>
      </c>
      <c r="D1423">
        <v>1</v>
      </c>
      <c r="E1423" t="s">
        <v>23</v>
      </c>
      <c r="F1423" t="s">
        <v>81</v>
      </c>
      <c r="G1423" t="s">
        <v>10</v>
      </c>
    </row>
    <row r="1424" spans="1:7" x14ac:dyDescent="0.25">
      <c r="A1424" t="s">
        <v>123</v>
      </c>
      <c r="B1424">
        <v>13</v>
      </c>
      <c r="C1424">
        <v>-1</v>
      </c>
      <c r="D1424">
        <v>3</v>
      </c>
      <c r="E1424" t="s">
        <v>23</v>
      </c>
      <c r="F1424" t="s">
        <v>30</v>
      </c>
      <c r="G1424" t="s">
        <v>10</v>
      </c>
    </row>
    <row r="1425" spans="1:7" x14ac:dyDescent="0.25">
      <c r="A1425" t="s">
        <v>346</v>
      </c>
      <c r="B1425">
        <v>1275</v>
      </c>
      <c r="C1425">
        <v>1148</v>
      </c>
      <c r="D1425">
        <v>7</v>
      </c>
      <c r="E1425" t="s">
        <v>12</v>
      </c>
      <c r="F1425" t="s">
        <v>16</v>
      </c>
      <c r="G1425" t="s">
        <v>14</v>
      </c>
    </row>
    <row r="1426" spans="1:7" x14ac:dyDescent="0.25">
      <c r="A1426" t="s">
        <v>167</v>
      </c>
      <c r="B1426">
        <v>17</v>
      </c>
      <c r="C1426">
        <v>1</v>
      </c>
      <c r="D1426">
        <v>2</v>
      </c>
      <c r="E1426" t="s">
        <v>23</v>
      </c>
      <c r="F1426" t="s">
        <v>43</v>
      </c>
      <c r="G1426" t="s">
        <v>19</v>
      </c>
    </row>
    <row r="1427" spans="1:7" x14ac:dyDescent="0.25">
      <c r="A1427" t="s">
        <v>49</v>
      </c>
      <c r="B1427">
        <v>13</v>
      </c>
      <c r="C1427">
        <v>0</v>
      </c>
      <c r="D1427">
        <v>2</v>
      </c>
      <c r="E1427" t="s">
        <v>23</v>
      </c>
      <c r="F1427" t="s">
        <v>30</v>
      </c>
      <c r="G1427" t="s">
        <v>10</v>
      </c>
    </row>
    <row r="1428" spans="1:7" x14ac:dyDescent="0.25">
      <c r="A1428" t="s">
        <v>235</v>
      </c>
      <c r="B1428">
        <v>1270</v>
      </c>
      <c r="C1428">
        <v>546</v>
      </c>
      <c r="D1428">
        <v>11</v>
      </c>
      <c r="E1428" t="s">
        <v>8</v>
      </c>
      <c r="F1428" t="s">
        <v>9</v>
      </c>
      <c r="G1428" t="s">
        <v>14</v>
      </c>
    </row>
    <row r="1429" spans="1:7" x14ac:dyDescent="0.25">
      <c r="A1429" t="s">
        <v>137</v>
      </c>
      <c r="B1429">
        <v>13</v>
      </c>
      <c r="C1429">
        <v>-2</v>
      </c>
      <c r="D1429">
        <v>1</v>
      </c>
      <c r="E1429" t="s">
        <v>23</v>
      </c>
      <c r="F1429" t="s">
        <v>57</v>
      </c>
      <c r="G1429" t="s">
        <v>10</v>
      </c>
    </row>
    <row r="1430" spans="1:7" x14ac:dyDescent="0.25">
      <c r="A1430" t="s">
        <v>525</v>
      </c>
      <c r="B1430">
        <v>13</v>
      </c>
      <c r="C1430">
        <v>3</v>
      </c>
      <c r="D1430">
        <v>1</v>
      </c>
      <c r="E1430" t="s">
        <v>23</v>
      </c>
      <c r="F1430" t="s">
        <v>63</v>
      </c>
      <c r="G1430" t="s">
        <v>10</v>
      </c>
    </row>
    <row r="1431" spans="1:7" x14ac:dyDescent="0.25">
      <c r="A1431" t="s">
        <v>382</v>
      </c>
      <c r="B1431">
        <v>17</v>
      </c>
      <c r="C1431">
        <v>5</v>
      </c>
      <c r="D1431">
        <v>1</v>
      </c>
      <c r="E1431" t="s">
        <v>23</v>
      </c>
      <c r="F1431" t="s">
        <v>30</v>
      </c>
      <c r="G1431" t="s">
        <v>28</v>
      </c>
    </row>
    <row r="1432" spans="1:7" x14ac:dyDescent="0.25">
      <c r="A1432" t="s">
        <v>112</v>
      </c>
      <c r="B1432">
        <v>13</v>
      </c>
      <c r="C1432">
        <v>-13</v>
      </c>
      <c r="D1432">
        <v>2</v>
      </c>
      <c r="E1432" t="s">
        <v>23</v>
      </c>
      <c r="F1432" t="s">
        <v>43</v>
      </c>
      <c r="G1432" t="s">
        <v>10</v>
      </c>
    </row>
    <row r="1433" spans="1:7" x14ac:dyDescent="0.25">
      <c r="A1433" t="s">
        <v>371</v>
      </c>
      <c r="B1433">
        <v>13</v>
      </c>
      <c r="C1433">
        <v>-9</v>
      </c>
      <c r="D1433">
        <v>2</v>
      </c>
      <c r="E1433" t="s">
        <v>23</v>
      </c>
      <c r="F1433" t="s">
        <v>43</v>
      </c>
      <c r="G1433" t="s">
        <v>10</v>
      </c>
    </row>
    <row r="1434" spans="1:7" x14ac:dyDescent="0.25">
      <c r="A1434" t="s">
        <v>158</v>
      </c>
      <c r="B1434">
        <v>1263</v>
      </c>
      <c r="C1434">
        <v>-56</v>
      </c>
      <c r="D1434">
        <v>5</v>
      </c>
      <c r="E1434" t="s">
        <v>23</v>
      </c>
      <c r="F1434" t="s">
        <v>24</v>
      </c>
      <c r="G1434" t="s">
        <v>14</v>
      </c>
    </row>
    <row r="1435" spans="1:7" x14ac:dyDescent="0.25">
      <c r="A1435" t="s">
        <v>526</v>
      </c>
      <c r="B1435">
        <v>1629</v>
      </c>
      <c r="C1435">
        <v>-153</v>
      </c>
      <c r="D1435">
        <v>3</v>
      </c>
      <c r="E1435" t="s">
        <v>8</v>
      </c>
      <c r="F1435" t="s">
        <v>21</v>
      </c>
      <c r="G1435" t="s">
        <v>10</v>
      </c>
    </row>
    <row r="1436" spans="1:7" x14ac:dyDescent="0.25">
      <c r="A1436" t="s">
        <v>104</v>
      </c>
      <c r="B1436">
        <v>17</v>
      </c>
      <c r="C1436">
        <v>7</v>
      </c>
      <c r="D1436">
        <v>3</v>
      </c>
      <c r="E1436" t="s">
        <v>23</v>
      </c>
      <c r="F1436" t="s">
        <v>30</v>
      </c>
      <c r="G1436" t="s">
        <v>28</v>
      </c>
    </row>
    <row r="1437" spans="1:7" x14ac:dyDescent="0.25">
      <c r="A1437" t="s">
        <v>60</v>
      </c>
      <c r="B1437">
        <v>17</v>
      </c>
      <c r="C1437">
        <v>2</v>
      </c>
      <c r="D1437">
        <v>2</v>
      </c>
      <c r="E1437" t="s">
        <v>23</v>
      </c>
      <c r="F1437" t="s">
        <v>43</v>
      </c>
      <c r="G1437" t="s">
        <v>28</v>
      </c>
    </row>
    <row r="1438" spans="1:7" x14ac:dyDescent="0.25">
      <c r="A1438" t="s">
        <v>11</v>
      </c>
      <c r="B1438">
        <v>1250</v>
      </c>
      <c r="C1438">
        <v>-12</v>
      </c>
      <c r="D1438">
        <v>2</v>
      </c>
      <c r="E1438" t="s">
        <v>8</v>
      </c>
      <c r="F1438" t="s">
        <v>18</v>
      </c>
      <c r="G1438" t="s">
        <v>14</v>
      </c>
    </row>
    <row r="1439" spans="1:7" x14ac:dyDescent="0.25">
      <c r="A1439" t="s">
        <v>39</v>
      </c>
      <c r="B1439">
        <v>17</v>
      </c>
      <c r="C1439">
        <v>-11</v>
      </c>
      <c r="D1439">
        <v>3</v>
      </c>
      <c r="E1439" t="s">
        <v>23</v>
      </c>
      <c r="F1439" t="s">
        <v>43</v>
      </c>
      <c r="G1439" t="s">
        <v>28</v>
      </c>
    </row>
    <row r="1440" spans="1:7" x14ac:dyDescent="0.25">
      <c r="A1440" t="s">
        <v>385</v>
      </c>
      <c r="B1440">
        <v>977</v>
      </c>
      <c r="C1440">
        <v>-244</v>
      </c>
      <c r="D1440">
        <v>7</v>
      </c>
      <c r="E1440" t="s">
        <v>8</v>
      </c>
      <c r="F1440" t="s">
        <v>21</v>
      </c>
      <c r="G1440" t="s">
        <v>10</v>
      </c>
    </row>
    <row r="1441" spans="1:7" x14ac:dyDescent="0.25">
      <c r="A1441" t="s">
        <v>527</v>
      </c>
      <c r="B1441">
        <v>1246</v>
      </c>
      <c r="C1441">
        <v>62</v>
      </c>
      <c r="D1441">
        <v>3</v>
      </c>
      <c r="E1441" t="s">
        <v>12</v>
      </c>
      <c r="F1441" t="s">
        <v>16</v>
      </c>
      <c r="G1441" t="s">
        <v>14</v>
      </c>
    </row>
    <row r="1442" spans="1:7" x14ac:dyDescent="0.25">
      <c r="A1442" t="s">
        <v>300</v>
      </c>
      <c r="B1442">
        <v>12</v>
      </c>
      <c r="C1442">
        <v>1</v>
      </c>
      <c r="D1442">
        <v>2</v>
      </c>
      <c r="E1442" t="s">
        <v>23</v>
      </c>
      <c r="F1442" t="s">
        <v>30</v>
      </c>
      <c r="G1442" t="s">
        <v>10</v>
      </c>
    </row>
    <row r="1443" spans="1:7" x14ac:dyDescent="0.25">
      <c r="A1443" t="s">
        <v>119</v>
      </c>
      <c r="B1443">
        <v>11</v>
      </c>
      <c r="C1443">
        <v>-4</v>
      </c>
      <c r="D1443">
        <v>2</v>
      </c>
      <c r="E1443" t="s">
        <v>23</v>
      </c>
      <c r="F1443" t="s">
        <v>43</v>
      </c>
      <c r="G1443" t="s">
        <v>10</v>
      </c>
    </row>
    <row r="1444" spans="1:7" x14ac:dyDescent="0.25">
      <c r="A1444" t="s">
        <v>117</v>
      </c>
      <c r="B1444">
        <v>1327</v>
      </c>
      <c r="C1444">
        <v>318</v>
      </c>
      <c r="D1444">
        <v>8</v>
      </c>
      <c r="E1444" t="s">
        <v>12</v>
      </c>
      <c r="F1444" t="s">
        <v>13</v>
      </c>
      <c r="G1444" t="s">
        <v>14</v>
      </c>
    </row>
    <row r="1445" spans="1:7" x14ac:dyDescent="0.25">
      <c r="A1445" t="s">
        <v>171</v>
      </c>
      <c r="B1445">
        <v>1319</v>
      </c>
      <c r="C1445">
        <v>567</v>
      </c>
      <c r="D1445">
        <v>5</v>
      </c>
      <c r="E1445" t="s">
        <v>8</v>
      </c>
      <c r="F1445" t="s">
        <v>18</v>
      </c>
      <c r="G1445" t="s">
        <v>10</v>
      </c>
    </row>
    <row r="1446" spans="1:7" x14ac:dyDescent="0.25">
      <c r="A1446" t="s">
        <v>307</v>
      </c>
      <c r="B1446">
        <v>1402</v>
      </c>
      <c r="C1446">
        <v>109</v>
      </c>
      <c r="D1446">
        <v>11</v>
      </c>
      <c r="E1446" t="s">
        <v>23</v>
      </c>
      <c r="F1446" t="s">
        <v>26</v>
      </c>
      <c r="G1446" t="s">
        <v>14</v>
      </c>
    </row>
    <row r="1447" spans="1:7" x14ac:dyDescent="0.25">
      <c r="A1447" t="s">
        <v>253</v>
      </c>
      <c r="B1447">
        <v>1514</v>
      </c>
      <c r="C1447">
        <v>742</v>
      </c>
      <c r="D1447">
        <v>4</v>
      </c>
      <c r="E1447" t="s">
        <v>8</v>
      </c>
      <c r="F1447" t="s">
        <v>18</v>
      </c>
      <c r="G1447" t="s">
        <v>14</v>
      </c>
    </row>
    <row r="1448" spans="1:7" x14ac:dyDescent="0.25">
      <c r="A1448" t="s">
        <v>22</v>
      </c>
      <c r="B1448">
        <v>1351</v>
      </c>
      <c r="C1448">
        <v>111</v>
      </c>
      <c r="D1448">
        <v>6</v>
      </c>
      <c r="E1448" t="s">
        <v>8</v>
      </c>
      <c r="F1448" t="s">
        <v>9</v>
      </c>
      <c r="G1448" t="s">
        <v>10</v>
      </c>
    </row>
    <row r="1449" spans="1:7" x14ac:dyDescent="0.25">
      <c r="A1449" t="s">
        <v>149</v>
      </c>
      <c r="B1449">
        <v>1355</v>
      </c>
      <c r="C1449">
        <v>-60</v>
      </c>
      <c r="D1449">
        <v>5</v>
      </c>
      <c r="E1449" t="s">
        <v>23</v>
      </c>
      <c r="F1449" t="s">
        <v>24</v>
      </c>
      <c r="G1449" t="s">
        <v>10</v>
      </c>
    </row>
    <row r="1450" spans="1:7" x14ac:dyDescent="0.25">
      <c r="A1450" t="s">
        <v>31</v>
      </c>
      <c r="B1450">
        <v>10</v>
      </c>
      <c r="C1450">
        <v>2</v>
      </c>
      <c r="D1450">
        <v>2</v>
      </c>
      <c r="E1450" t="s">
        <v>23</v>
      </c>
      <c r="F1450" t="s">
        <v>30</v>
      </c>
      <c r="G1450" t="s">
        <v>10</v>
      </c>
    </row>
    <row r="1451" spans="1:7" x14ac:dyDescent="0.25">
      <c r="A1451" t="s">
        <v>59</v>
      </c>
      <c r="B1451">
        <v>10</v>
      </c>
      <c r="C1451">
        <v>-2</v>
      </c>
      <c r="D1451">
        <v>2</v>
      </c>
      <c r="E1451" t="s">
        <v>23</v>
      </c>
      <c r="F1451" t="s">
        <v>63</v>
      </c>
      <c r="G1451" t="s">
        <v>10</v>
      </c>
    </row>
    <row r="1452" spans="1:7" x14ac:dyDescent="0.25">
      <c r="A1452" t="s">
        <v>528</v>
      </c>
      <c r="B1452">
        <v>1582</v>
      </c>
      <c r="C1452">
        <v>-443</v>
      </c>
      <c r="D1452">
        <v>6</v>
      </c>
      <c r="E1452" t="s">
        <v>23</v>
      </c>
      <c r="F1452" t="s">
        <v>24</v>
      </c>
      <c r="G1452" t="s">
        <v>14</v>
      </c>
    </row>
    <row r="1453" spans="1:7" x14ac:dyDescent="0.25">
      <c r="A1453" t="s">
        <v>132</v>
      </c>
      <c r="B1453">
        <v>1218</v>
      </c>
      <c r="C1453">
        <v>352</v>
      </c>
      <c r="D1453">
        <v>9</v>
      </c>
      <c r="E1453" t="s">
        <v>12</v>
      </c>
      <c r="F1453" t="s">
        <v>16</v>
      </c>
      <c r="G1453" t="s">
        <v>14</v>
      </c>
    </row>
    <row r="1454" spans="1:7" x14ac:dyDescent="0.25">
      <c r="A1454" t="s">
        <v>67</v>
      </c>
      <c r="B1454">
        <v>321</v>
      </c>
      <c r="C1454">
        <v>315</v>
      </c>
      <c r="D1454">
        <v>5</v>
      </c>
      <c r="E1454" t="s">
        <v>23</v>
      </c>
      <c r="F1454" t="s">
        <v>26</v>
      </c>
      <c r="G1454" t="s">
        <v>28</v>
      </c>
    </row>
    <row r="1455" spans="1:7" x14ac:dyDescent="0.25">
      <c r="A1455" t="s">
        <v>207</v>
      </c>
      <c r="B1455">
        <v>736</v>
      </c>
      <c r="C1455">
        <v>346</v>
      </c>
      <c r="D1455">
        <v>5</v>
      </c>
      <c r="E1455" t="s">
        <v>8</v>
      </c>
      <c r="F1455" t="s">
        <v>18</v>
      </c>
      <c r="G1455" t="s">
        <v>10</v>
      </c>
    </row>
    <row r="1456" spans="1:7" x14ac:dyDescent="0.25">
      <c r="A1456" t="s">
        <v>11</v>
      </c>
      <c r="B1456">
        <v>1218</v>
      </c>
      <c r="C1456">
        <v>-420</v>
      </c>
      <c r="D1456">
        <v>8</v>
      </c>
      <c r="E1456" t="s">
        <v>12</v>
      </c>
      <c r="F1456" t="s">
        <v>16</v>
      </c>
      <c r="G1456" t="s">
        <v>10</v>
      </c>
    </row>
    <row r="1457" spans="1:7" x14ac:dyDescent="0.25">
      <c r="A1457" t="s">
        <v>171</v>
      </c>
      <c r="B1457">
        <v>1027</v>
      </c>
      <c r="C1457">
        <v>441</v>
      </c>
      <c r="D1457">
        <v>8</v>
      </c>
      <c r="E1457" t="s">
        <v>23</v>
      </c>
      <c r="F1457" t="s">
        <v>26</v>
      </c>
      <c r="G1457" t="s">
        <v>10</v>
      </c>
    </row>
    <row r="1458" spans="1:7" x14ac:dyDescent="0.25">
      <c r="A1458" t="s">
        <v>255</v>
      </c>
      <c r="B1458">
        <v>10</v>
      </c>
      <c r="C1458">
        <v>5</v>
      </c>
      <c r="D1458">
        <v>1</v>
      </c>
      <c r="E1458" t="s">
        <v>23</v>
      </c>
      <c r="F1458" t="s">
        <v>57</v>
      </c>
      <c r="G1458" t="s">
        <v>10</v>
      </c>
    </row>
    <row r="1459" spans="1:7" x14ac:dyDescent="0.25">
      <c r="A1459" t="s">
        <v>458</v>
      </c>
      <c r="B1459">
        <v>2366</v>
      </c>
      <c r="C1459">
        <v>552</v>
      </c>
      <c r="D1459">
        <v>5</v>
      </c>
      <c r="E1459" t="s">
        <v>23</v>
      </c>
      <c r="F1459" t="s">
        <v>24</v>
      </c>
      <c r="G1459" t="s">
        <v>28</v>
      </c>
    </row>
    <row r="1460" spans="1:7" x14ac:dyDescent="0.25">
      <c r="A1460" t="s">
        <v>308</v>
      </c>
      <c r="B1460">
        <v>9</v>
      </c>
      <c r="C1460">
        <v>-6</v>
      </c>
      <c r="D1460">
        <v>2</v>
      </c>
      <c r="E1460" t="s">
        <v>23</v>
      </c>
      <c r="F1460" t="s">
        <v>30</v>
      </c>
      <c r="G1460" t="s">
        <v>10</v>
      </c>
    </row>
    <row r="1461" spans="1:7" x14ac:dyDescent="0.25">
      <c r="A1461" t="s">
        <v>66</v>
      </c>
      <c r="B1461">
        <v>16</v>
      </c>
      <c r="C1461">
        <v>-12</v>
      </c>
      <c r="D1461">
        <v>2</v>
      </c>
      <c r="E1461" t="s">
        <v>23</v>
      </c>
      <c r="F1461" t="s">
        <v>57</v>
      </c>
      <c r="G1461" t="s">
        <v>28</v>
      </c>
    </row>
    <row r="1462" spans="1:7" x14ac:dyDescent="0.25">
      <c r="A1462" t="s">
        <v>458</v>
      </c>
      <c r="B1462">
        <v>9</v>
      </c>
      <c r="C1462">
        <v>3</v>
      </c>
      <c r="D1462">
        <v>1</v>
      </c>
      <c r="E1462" t="s">
        <v>23</v>
      </c>
      <c r="F1462" t="s">
        <v>43</v>
      </c>
      <c r="G1462" t="s">
        <v>10</v>
      </c>
    </row>
    <row r="1463" spans="1:7" x14ac:dyDescent="0.25">
      <c r="A1463" t="s">
        <v>529</v>
      </c>
      <c r="B1463">
        <v>1560</v>
      </c>
      <c r="C1463">
        <v>421</v>
      </c>
      <c r="D1463">
        <v>3</v>
      </c>
      <c r="E1463" t="s">
        <v>23</v>
      </c>
      <c r="F1463" t="s">
        <v>24</v>
      </c>
      <c r="G1463" t="s">
        <v>10</v>
      </c>
    </row>
    <row r="1464" spans="1:7" x14ac:dyDescent="0.25">
      <c r="A1464" t="s">
        <v>196</v>
      </c>
      <c r="B1464">
        <v>1137</v>
      </c>
      <c r="C1464">
        <v>568</v>
      </c>
      <c r="D1464">
        <v>2</v>
      </c>
      <c r="E1464" t="s">
        <v>23</v>
      </c>
      <c r="F1464" t="s">
        <v>24</v>
      </c>
      <c r="G1464" t="s">
        <v>14</v>
      </c>
    </row>
    <row r="1465" spans="1:7" x14ac:dyDescent="0.25">
      <c r="A1465" t="s">
        <v>284</v>
      </c>
      <c r="B1465">
        <v>9</v>
      </c>
      <c r="C1465">
        <v>-9</v>
      </c>
      <c r="D1465">
        <v>2</v>
      </c>
      <c r="E1465" t="s">
        <v>23</v>
      </c>
      <c r="F1465" t="s">
        <v>32</v>
      </c>
      <c r="G1465" t="s">
        <v>10</v>
      </c>
    </row>
    <row r="1466" spans="1:7" x14ac:dyDescent="0.25">
      <c r="A1466" t="s">
        <v>42</v>
      </c>
      <c r="B1466">
        <v>15</v>
      </c>
      <c r="C1466">
        <v>-7</v>
      </c>
      <c r="D1466">
        <v>1</v>
      </c>
      <c r="E1466" t="s">
        <v>23</v>
      </c>
      <c r="F1466" t="s">
        <v>30</v>
      </c>
      <c r="G1466" t="s">
        <v>28</v>
      </c>
    </row>
    <row r="1467" spans="1:7" x14ac:dyDescent="0.25">
      <c r="A1467" t="s">
        <v>61</v>
      </c>
      <c r="B1467">
        <v>14</v>
      </c>
      <c r="C1467">
        <v>5</v>
      </c>
      <c r="D1467">
        <v>1</v>
      </c>
      <c r="E1467" t="s">
        <v>23</v>
      </c>
      <c r="F1467" t="s">
        <v>30</v>
      </c>
      <c r="G1467" t="s">
        <v>28</v>
      </c>
    </row>
    <row r="1468" spans="1:7" x14ac:dyDescent="0.25">
      <c r="A1468" t="s">
        <v>169</v>
      </c>
      <c r="B1468">
        <v>14</v>
      </c>
      <c r="C1468">
        <v>7</v>
      </c>
      <c r="D1468">
        <v>2</v>
      </c>
      <c r="E1468" t="s">
        <v>23</v>
      </c>
      <c r="F1468" t="s">
        <v>30</v>
      </c>
      <c r="G1468" t="s">
        <v>28</v>
      </c>
    </row>
    <row r="1469" spans="1:7" x14ac:dyDescent="0.25">
      <c r="A1469" t="s">
        <v>127</v>
      </c>
      <c r="B1469">
        <v>8</v>
      </c>
      <c r="C1469">
        <v>-2</v>
      </c>
      <c r="D1469">
        <v>2</v>
      </c>
      <c r="E1469" t="s">
        <v>23</v>
      </c>
      <c r="F1469" t="s">
        <v>30</v>
      </c>
      <c r="G1469" t="s">
        <v>10</v>
      </c>
    </row>
    <row r="1470" spans="1:7" x14ac:dyDescent="0.25">
      <c r="A1470" t="s">
        <v>123</v>
      </c>
      <c r="B1470">
        <v>1389</v>
      </c>
      <c r="C1470">
        <v>680</v>
      </c>
      <c r="D1470">
        <v>7</v>
      </c>
      <c r="E1470" t="s">
        <v>23</v>
      </c>
      <c r="F1470" t="s">
        <v>26</v>
      </c>
      <c r="G1470" t="s">
        <v>10</v>
      </c>
    </row>
    <row r="1471" spans="1:7" x14ac:dyDescent="0.25">
      <c r="A1471" t="s">
        <v>326</v>
      </c>
      <c r="B1471">
        <v>8</v>
      </c>
      <c r="C1471">
        <v>-1</v>
      </c>
      <c r="D1471">
        <v>2</v>
      </c>
      <c r="E1471" t="s">
        <v>23</v>
      </c>
      <c r="F1471" t="s">
        <v>63</v>
      </c>
      <c r="G1471" t="s">
        <v>10</v>
      </c>
    </row>
    <row r="1472" spans="1:7" x14ac:dyDescent="0.25">
      <c r="A1472" t="s">
        <v>530</v>
      </c>
      <c r="B1472">
        <v>8</v>
      </c>
      <c r="C1472">
        <v>-2</v>
      </c>
      <c r="D1472">
        <v>1</v>
      </c>
      <c r="E1472" t="s">
        <v>23</v>
      </c>
      <c r="F1472" t="s">
        <v>57</v>
      </c>
      <c r="G1472" t="s">
        <v>10</v>
      </c>
    </row>
    <row r="1473" spans="1:7" x14ac:dyDescent="0.25">
      <c r="A1473" t="s">
        <v>46</v>
      </c>
      <c r="B1473">
        <v>13</v>
      </c>
      <c r="C1473">
        <v>4</v>
      </c>
      <c r="D1473">
        <v>1</v>
      </c>
      <c r="E1473" t="s">
        <v>23</v>
      </c>
      <c r="F1473" t="s">
        <v>63</v>
      </c>
      <c r="G1473" t="s">
        <v>28</v>
      </c>
    </row>
    <row r="1474" spans="1:7" x14ac:dyDescent="0.25">
      <c r="A1474" t="s">
        <v>531</v>
      </c>
      <c r="B1474">
        <v>8</v>
      </c>
      <c r="C1474">
        <v>-6</v>
      </c>
      <c r="D1474">
        <v>1</v>
      </c>
      <c r="E1474" t="s">
        <v>23</v>
      </c>
      <c r="F1474" t="s">
        <v>57</v>
      </c>
      <c r="G1474" t="s">
        <v>10</v>
      </c>
    </row>
    <row r="1475" spans="1:7" x14ac:dyDescent="0.25">
      <c r="A1475" t="s">
        <v>71</v>
      </c>
      <c r="B1475">
        <v>12</v>
      </c>
      <c r="C1475">
        <v>2</v>
      </c>
      <c r="D1475">
        <v>2</v>
      </c>
      <c r="E1475" t="s">
        <v>23</v>
      </c>
      <c r="F1475" t="s">
        <v>43</v>
      </c>
      <c r="G1475" t="s">
        <v>19</v>
      </c>
    </row>
    <row r="1476" spans="1:7" x14ac:dyDescent="0.25">
      <c r="A1476" t="s">
        <v>15</v>
      </c>
      <c r="B1476">
        <v>1716</v>
      </c>
      <c r="C1476">
        <v>309</v>
      </c>
      <c r="D1476">
        <v>7</v>
      </c>
      <c r="E1476" t="s">
        <v>8</v>
      </c>
      <c r="F1476" t="s">
        <v>73</v>
      </c>
      <c r="G1476" t="s">
        <v>10</v>
      </c>
    </row>
    <row r="1477" spans="1:7" x14ac:dyDescent="0.25">
      <c r="A1477" t="s">
        <v>285</v>
      </c>
      <c r="B1477">
        <v>1117</v>
      </c>
      <c r="C1477">
        <v>447</v>
      </c>
      <c r="D1477">
        <v>10</v>
      </c>
      <c r="E1477" t="s">
        <v>12</v>
      </c>
      <c r="F1477" t="s">
        <v>16</v>
      </c>
      <c r="G1477" t="s">
        <v>14</v>
      </c>
    </row>
    <row r="1478" spans="1:7" x14ac:dyDescent="0.25">
      <c r="A1478" t="s">
        <v>38</v>
      </c>
      <c r="B1478">
        <v>9</v>
      </c>
      <c r="C1478">
        <v>-6</v>
      </c>
      <c r="D1478">
        <v>2</v>
      </c>
      <c r="E1478" t="s">
        <v>23</v>
      </c>
      <c r="F1478" t="s">
        <v>43</v>
      </c>
      <c r="G1478" t="s">
        <v>19</v>
      </c>
    </row>
    <row r="1479" spans="1:7" x14ac:dyDescent="0.25">
      <c r="A1479" t="s">
        <v>53</v>
      </c>
      <c r="B1479">
        <v>332</v>
      </c>
      <c r="C1479">
        <v>503</v>
      </c>
      <c r="D1479">
        <v>3</v>
      </c>
      <c r="E1479" t="s">
        <v>8</v>
      </c>
      <c r="F1479" t="s">
        <v>18</v>
      </c>
      <c r="G1479" t="s">
        <v>10</v>
      </c>
    </row>
    <row r="1480" spans="1:7" x14ac:dyDescent="0.25">
      <c r="A1480" t="s">
        <v>38</v>
      </c>
      <c r="B1480">
        <v>7</v>
      </c>
      <c r="C1480">
        <v>-4</v>
      </c>
      <c r="D1480">
        <v>3</v>
      </c>
      <c r="E1480" t="s">
        <v>23</v>
      </c>
      <c r="F1480" t="s">
        <v>30</v>
      </c>
      <c r="G1480" t="s">
        <v>10</v>
      </c>
    </row>
    <row r="1481" spans="1:7" x14ac:dyDescent="0.25">
      <c r="A1481" t="s">
        <v>346</v>
      </c>
      <c r="B1481">
        <v>8</v>
      </c>
      <c r="C1481">
        <v>-2</v>
      </c>
      <c r="D1481">
        <v>3</v>
      </c>
      <c r="E1481" t="s">
        <v>23</v>
      </c>
      <c r="F1481" t="s">
        <v>30</v>
      </c>
      <c r="G1481" t="s">
        <v>19</v>
      </c>
    </row>
    <row r="1482" spans="1:7" x14ac:dyDescent="0.25">
      <c r="A1482" t="s">
        <v>395</v>
      </c>
      <c r="B1482">
        <v>2061</v>
      </c>
      <c r="C1482">
        <v>701</v>
      </c>
      <c r="D1482">
        <v>5</v>
      </c>
      <c r="E1482" t="s">
        <v>12</v>
      </c>
      <c r="F1482" t="s">
        <v>16</v>
      </c>
      <c r="G1482" t="s">
        <v>28</v>
      </c>
    </row>
    <row r="1483" spans="1:7" x14ac:dyDescent="0.25">
      <c r="A1483" t="s">
        <v>470</v>
      </c>
      <c r="B1483">
        <v>1103</v>
      </c>
      <c r="C1483">
        <v>276</v>
      </c>
      <c r="D1483">
        <v>3</v>
      </c>
      <c r="E1483" t="s">
        <v>12</v>
      </c>
      <c r="F1483" t="s">
        <v>13</v>
      </c>
      <c r="G1483" t="s">
        <v>14</v>
      </c>
    </row>
    <row r="1484" spans="1:7" x14ac:dyDescent="0.25">
      <c r="A1484" t="s">
        <v>310</v>
      </c>
      <c r="B1484">
        <v>2103</v>
      </c>
      <c r="C1484">
        <v>322</v>
      </c>
      <c r="D1484">
        <v>8</v>
      </c>
      <c r="E1484" t="s">
        <v>8</v>
      </c>
      <c r="F1484" t="s">
        <v>9</v>
      </c>
      <c r="G1484" t="s">
        <v>28</v>
      </c>
    </row>
    <row r="1485" spans="1:7" x14ac:dyDescent="0.25">
      <c r="A1485" t="s">
        <v>22</v>
      </c>
      <c r="B1485">
        <v>2115</v>
      </c>
      <c r="C1485">
        <v>23</v>
      </c>
      <c r="D1485">
        <v>5</v>
      </c>
      <c r="E1485" t="s">
        <v>12</v>
      </c>
      <c r="F1485" t="s">
        <v>13</v>
      </c>
      <c r="G1485" t="s">
        <v>10</v>
      </c>
    </row>
    <row r="1486" spans="1:7" x14ac:dyDescent="0.25">
      <c r="A1486" t="s">
        <v>44</v>
      </c>
      <c r="B1486">
        <v>850</v>
      </c>
      <c r="C1486">
        <v>-289</v>
      </c>
      <c r="D1486">
        <v>5</v>
      </c>
      <c r="E1486" t="s">
        <v>8</v>
      </c>
      <c r="F1486" t="s">
        <v>9</v>
      </c>
      <c r="G1486" t="s">
        <v>10</v>
      </c>
    </row>
    <row r="1487" spans="1:7" x14ac:dyDescent="0.25">
      <c r="A1487" t="s">
        <v>50</v>
      </c>
      <c r="B1487">
        <v>1063</v>
      </c>
      <c r="C1487">
        <v>64</v>
      </c>
      <c r="D1487">
        <v>7</v>
      </c>
      <c r="E1487" t="s">
        <v>8</v>
      </c>
      <c r="F1487" t="s">
        <v>21</v>
      </c>
      <c r="G1487" t="s">
        <v>14</v>
      </c>
    </row>
    <row r="1488" spans="1:7" x14ac:dyDescent="0.25">
      <c r="A1488" t="s">
        <v>478</v>
      </c>
      <c r="B1488">
        <v>1063</v>
      </c>
      <c r="C1488">
        <v>-175</v>
      </c>
      <c r="D1488">
        <v>4</v>
      </c>
      <c r="E1488" t="s">
        <v>8</v>
      </c>
      <c r="F1488" t="s">
        <v>9</v>
      </c>
      <c r="G1488" t="s">
        <v>14</v>
      </c>
    </row>
    <row r="1489" spans="1:7" x14ac:dyDescent="0.25">
      <c r="A1489" t="s">
        <v>321</v>
      </c>
      <c r="B1489">
        <v>2292</v>
      </c>
      <c r="C1489">
        <v>127</v>
      </c>
      <c r="D1489">
        <v>7</v>
      </c>
      <c r="E1489" t="s">
        <v>12</v>
      </c>
      <c r="F1489" t="s">
        <v>16</v>
      </c>
      <c r="G1489" t="s">
        <v>10</v>
      </c>
    </row>
    <row r="1490" spans="1:7" x14ac:dyDescent="0.25">
      <c r="A1490" t="s">
        <v>290</v>
      </c>
      <c r="B1490">
        <v>7</v>
      </c>
      <c r="C1490">
        <v>-1</v>
      </c>
      <c r="D1490">
        <v>2</v>
      </c>
      <c r="E1490" t="s">
        <v>23</v>
      </c>
      <c r="F1490" t="s">
        <v>30</v>
      </c>
      <c r="G1490" t="s">
        <v>19</v>
      </c>
    </row>
    <row r="1491" spans="1:7" x14ac:dyDescent="0.25">
      <c r="A1491" t="s">
        <v>436</v>
      </c>
      <c r="B1491">
        <v>2452</v>
      </c>
      <c r="C1491">
        <v>191</v>
      </c>
      <c r="D1491">
        <v>7</v>
      </c>
      <c r="E1491" t="s">
        <v>12</v>
      </c>
      <c r="F1491" t="s">
        <v>16</v>
      </c>
      <c r="G1491" t="s">
        <v>28</v>
      </c>
    </row>
    <row r="1492" spans="1:7" x14ac:dyDescent="0.25">
      <c r="A1492" t="s">
        <v>187</v>
      </c>
      <c r="B1492">
        <v>2457</v>
      </c>
      <c r="C1492">
        <v>665</v>
      </c>
      <c r="D1492">
        <v>11</v>
      </c>
      <c r="E1492" t="s">
        <v>8</v>
      </c>
      <c r="F1492" t="s">
        <v>9</v>
      </c>
      <c r="G1492" t="s">
        <v>14</v>
      </c>
    </row>
    <row r="1493" spans="1:7" x14ac:dyDescent="0.25">
      <c r="A1493" t="s">
        <v>99</v>
      </c>
      <c r="B1493">
        <v>4</v>
      </c>
      <c r="C1493">
        <v>-3</v>
      </c>
      <c r="D1493">
        <v>1</v>
      </c>
      <c r="E1493" t="s">
        <v>23</v>
      </c>
      <c r="F1493" t="s">
        <v>43</v>
      </c>
      <c r="G1493" t="s">
        <v>19</v>
      </c>
    </row>
    <row r="1494" spans="1:7" x14ac:dyDescent="0.25">
      <c r="A1494" t="s">
        <v>208</v>
      </c>
      <c r="B1494">
        <v>2830</v>
      </c>
      <c r="C1494">
        <v>-1981</v>
      </c>
      <c r="D1494">
        <v>13</v>
      </c>
      <c r="E1494" t="s">
        <v>12</v>
      </c>
      <c r="F1494" t="s">
        <v>16</v>
      </c>
      <c r="G1494" t="s">
        <v>14</v>
      </c>
    </row>
    <row r="1495" spans="1:7" x14ac:dyDescent="0.25">
      <c r="A1495" t="s">
        <v>186</v>
      </c>
      <c r="B1495">
        <v>7</v>
      </c>
      <c r="C1495">
        <v>1</v>
      </c>
      <c r="D1495">
        <v>1</v>
      </c>
      <c r="E1495" t="s">
        <v>23</v>
      </c>
      <c r="F1495" t="s">
        <v>30</v>
      </c>
      <c r="G1495" t="s">
        <v>10</v>
      </c>
    </row>
    <row r="1496" spans="1:7" x14ac:dyDescent="0.25">
      <c r="A1496" t="s">
        <v>438</v>
      </c>
      <c r="B1496">
        <v>7</v>
      </c>
      <c r="C1496">
        <v>0</v>
      </c>
      <c r="D1496">
        <v>2</v>
      </c>
      <c r="E1496" t="s">
        <v>23</v>
      </c>
      <c r="F1496" t="s">
        <v>43</v>
      </c>
      <c r="G1496" t="s">
        <v>10</v>
      </c>
    </row>
    <row r="1497" spans="1:7" x14ac:dyDescent="0.25">
      <c r="A1497" t="s">
        <v>268</v>
      </c>
      <c r="B1497">
        <v>7</v>
      </c>
      <c r="C1497">
        <v>-3</v>
      </c>
      <c r="D1497">
        <v>2</v>
      </c>
      <c r="E1497" t="s">
        <v>23</v>
      </c>
      <c r="F1497" t="s">
        <v>30</v>
      </c>
      <c r="G1497" t="s">
        <v>10</v>
      </c>
    </row>
    <row r="1498" spans="1:7" x14ac:dyDescent="0.25">
      <c r="A1498" t="s">
        <v>104</v>
      </c>
      <c r="B1498">
        <v>3151</v>
      </c>
      <c r="C1498">
        <v>-35</v>
      </c>
      <c r="D1498">
        <v>7</v>
      </c>
      <c r="E1498" t="s">
        <v>23</v>
      </c>
      <c r="F1498" t="s">
        <v>24</v>
      </c>
      <c r="G1498" t="s">
        <v>14</v>
      </c>
    </row>
    <row r="1499" spans="1:7" x14ac:dyDescent="0.25">
      <c r="A1499" t="s">
        <v>225</v>
      </c>
      <c r="B1499">
        <v>4141</v>
      </c>
      <c r="C1499">
        <v>1698</v>
      </c>
      <c r="D1499">
        <v>13</v>
      </c>
      <c r="E1499" t="s">
        <v>8</v>
      </c>
      <c r="F1499" t="s">
        <v>18</v>
      </c>
      <c r="G1499" t="s">
        <v>10</v>
      </c>
    </row>
    <row r="1500" spans="1:7" x14ac:dyDescent="0.25">
      <c r="A1500" t="s">
        <v>182</v>
      </c>
      <c r="B1500">
        <v>7</v>
      </c>
      <c r="C1500">
        <v>-2</v>
      </c>
      <c r="D1500">
        <v>1</v>
      </c>
      <c r="E1500" t="s">
        <v>23</v>
      </c>
      <c r="F1500" t="s">
        <v>30</v>
      </c>
      <c r="G1500" t="s">
        <v>10</v>
      </c>
    </row>
    <row r="1501" spans="1:7" x14ac:dyDescent="0.25">
      <c r="A1501" t="s">
        <v>164</v>
      </c>
      <c r="B1501">
        <v>4363</v>
      </c>
      <c r="C1501">
        <v>305</v>
      </c>
      <c r="D1501">
        <v>5</v>
      </c>
      <c r="E1501" t="s">
        <v>12</v>
      </c>
      <c r="F1501" t="s">
        <v>45</v>
      </c>
      <c r="G1501" t="s">
        <v>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501"/>
  <sheetViews>
    <sheetView topLeftCell="A2" workbookViewId="0"/>
  </sheetViews>
  <sheetFormatPr defaultRowHeight="15" x14ac:dyDescent="0.25"/>
  <cols>
    <col min="1" max="1" width="10.7109375" customWidth="1"/>
    <col min="2" max="2" width="10" style="1" customWidth="1"/>
    <col min="3" max="3" width="10.28515625" style="1" bestFit="1" customWidth="1"/>
    <col min="4" max="4" width="10.5703125" customWidth="1"/>
    <col min="5" max="5" width="10.7109375" customWidth="1"/>
    <col min="6" max="6" width="14.85546875" customWidth="1"/>
    <col min="7" max="7" width="17.140625" customWidth="1"/>
    <col min="9" max="9" width="13" bestFit="1" customWidth="1"/>
    <col min="10" max="10" width="13.5703125" bestFit="1" customWidth="1"/>
    <col min="14" max="14" width="10.28515625" bestFit="1" customWidth="1"/>
    <col min="15" max="15" width="23.28515625" bestFit="1" customWidth="1"/>
  </cols>
  <sheetData>
    <row r="1" spans="1:15" x14ac:dyDescent="0.25">
      <c r="A1" t="s">
        <v>0</v>
      </c>
      <c r="B1" s="1" t="s">
        <v>1</v>
      </c>
      <c r="C1" s="1" t="s">
        <v>2</v>
      </c>
      <c r="D1" t="s">
        <v>3</v>
      </c>
      <c r="E1" t="s">
        <v>4</v>
      </c>
      <c r="F1" t="s">
        <v>5</v>
      </c>
      <c r="G1" t="s">
        <v>6</v>
      </c>
      <c r="H1" t="s">
        <v>536</v>
      </c>
      <c r="I1" t="s">
        <v>537</v>
      </c>
      <c r="J1" t="s">
        <v>538</v>
      </c>
      <c r="K1" t="s">
        <v>539</v>
      </c>
      <c r="L1" t="s">
        <v>540</v>
      </c>
      <c r="N1" t="s">
        <v>535</v>
      </c>
      <c r="O1" t="s">
        <v>532</v>
      </c>
    </row>
    <row r="2" spans="1:15" x14ac:dyDescent="0.25">
      <c r="A2" t="s">
        <v>7</v>
      </c>
      <c r="B2" s="1">
        <v>1096</v>
      </c>
      <c r="C2" s="1">
        <v>658</v>
      </c>
      <c r="D2">
        <v>7</v>
      </c>
      <c r="E2" t="s">
        <v>8</v>
      </c>
      <c r="F2" t="s">
        <v>9</v>
      </c>
      <c r="G2" t="s">
        <v>10</v>
      </c>
      <c r="H2">
        <f>IF(Table_Sales[[#This Row],[profit]]&lt;0,1,0)</f>
        <v>0</v>
      </c>
      <c r="I2" t="str" cm="1">
        <f t="array" ref="I2">_xlfn.IFS(Table_Sales[[#This Row],[quantity]]&lt;=3,"1-3",Table_Sales[[#This Row],[quantity]]&lt;=7,"2-7",Table_Sales[[#This Row],[quantity]]&lt;=10,"8-10",TRUE,"11 and above")</f>
        <v>2-7</v>
      </c>
      <c r="J2" t="str" cm="1">
        <f t="array" ref="J2">_xlfn.IFS(Table_Sales[[#This Row],[amount]]&lt;1000,"Under 1000",Table_Sales[[#This Row],[amount]]&lt;3000,"1000 - 2999",Table_Sales[[#This Row],[amount]]&lt;5000,"3000 - 4999",TRUE,"5000 &amp; above")</f>
        <v>1000 - 2999</v>
      </c>
      <c r="K2">
        <f>IF(COUNTIFS(INDEX(Table_Sales[order_id],1):Table_Sales[[#This Row],[order_id]],Table_Sales[[#This Row],[order_id]])=1,1,0)</f>
        <v>1</v>
      </c>
      <c r="L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2" t="str" cm="1">
        <f t="array" ref="N2:N501">_xlfn.UNIQUE(Table_Sales[order_id])</f>
        <v>B-25681</v>
      </c>
      <c r="O2" t="str" cm="1">
        <f t="array" ref="O2:O6">_xlfn.UNIQUE(Table_Sales[payment_mode])</f>
        <v>COD</v>
      </c>
    </row>
    <row r="3" spans="1:15" x14ac:dyDescent="0.25">
      <c r="A3" t="s">
        <v>11</v>
      </c>
      <c r="B3" s="1">
        <v>5729</v>
      </c>
      <c r="C3" s="1">
        <v>64</v>
      </c>
      <c r="D3">
        <v>14</v>
      </c>
      <c r="E3" t="s">
        <v>12</v>
      </c>
      <c r="F3" t="s">
        <v>13</v>
      </c>
      <c r="G3" t="s">
        <v>14</v>
      </c>
      <c r="H3">
        <f>IF(Table_Sales[[#This Row],[profit]]&lt;0,1,0)</f>
        <v>0</v>
      </c>
      <c r="I3" t="str" cm="1">
        <f t="array" ref="I3">_xlfn.IFS(Table_Sales[[#This Row],[quantity]]&lt;=3,"1-3",Table_Sales[[#This Row],[quantity]]&lt;=7,"2-7",Table_Sales[[#This Row],[quantity]]&lt;=10,"8-10",TRUE,"11 and above")</f>
        <v>11 and above</v>
      </c>
      <c r="J3" t="str" cm="1">
        <f t="array" ref="J3">_xlfn.IFS(Table_Sales[[#This Row],[amount]]&lt;1000,"Under 1000",Table_Sales[[#This Row],[amount]]&lt;3000,"1000 - 2999",Table_Sales[[#This Row],[amount]]&lt;5000,"3000 - 4999",TRUE,"5000 &amp; above")</f>
        <v>5000 &amp; above</v>
      </c>
      <c r="K3">
        <f>IF(COUNTIFS(INDEX(Table_Sales[order_id],1):Table_Sales[[#This Row],[order_id]],Table_Sales[[#This Row],[order_id]])=1,1,0)</f>
        <v>1</v>
      </c>
      <c r="L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3" t="str">
        <v>B-26055</v>
      </c>
      <c r="O3" t="str">
        <v>EMI</v>
      </c>
    </row>
    <row r="4" spans="1:15" x14ac:dyDescent="0.25">
      <c r="A4" t="s">
        <v>15</v>
      </c>
      <c r="B4" s="1">
        <v>2927</v>
      </c>
      <c r="C4" s="1">
        <v>146</v>
      </c>
      <c r="D4">
        <v>8</v>
      </c>
      <c r="E4" t="s">
        <v>12</v>
      </c>
      <c r="F4" t="s">
        <v>16</v>
      </c>
      <c r="G4" t="s">
        <v>14</v>
      </c>
      <c r="H4">
        <f>IF(Table_Sales[[#This Row],[profit]]&lt;0,1,0)</f>
        <v>0</v>
      </c>
      <c r="I4" t="str" cm="1">
        <f t="array" ref="I4">_xlfn.IFS(Table_Sales[[#This Row],[quantity]]&lt;=3,"1-3",Table_Sales[[#This Row],[quantity]]&lt;=7,"2-7",Table_Sales[[#This Row],[quantity]]&lt;=10,"8-10",TRUE,"11 and above")</f>
        <v>8-10</v>
      </c>
      <c r="J4" t="str" cm="1">
        <f t="array" ref="J4">_xlfn.IFS(Table_Sales[[#This Row],[amount]]&lt;1000,"Under 1000",Table_Sales[[#This Row],[amount]]&lt;3000,"1000 - 2999",Table_Sales[[#This Row],[amount]]&lt;5000,"3000 - 4999",TRUE,"5000 &amp; above")</f>
        <v>1000 - 2999</v>
      </c>
      <c r="K4">
        <f>IF(COUNTIFS(INDEX(Table_Sales[order_id],1):Table_Sales[[#This Row],[order_id]],Table_Sales[[#This Row],[order_id]])=1,1,0)</f>
        <v>1</v>
      </c>
      <c r="L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4" t="str">
        <v>B-25955</v>
      </c>
      <c r="O4" t="str">
        <v>Credit Card</v>
      </c>
    </row>
    <row r="5" spans="1:15" x14ac:dyDescent="0.25">
      <c r="A5" t="s">
        <v>17</v>
      </c>
      <c r="B5" s="1">
        <v>2847</v>
      </c>
      <c r="C5" s="1">
        <v>712</v>
      </c>
      <c r="D5">
        <v>8</v>
      </c>
      <c r="E5" t="s">
        <v>8</v>
      </c>
      <c r="F5" t="s">
        <v>18</v>
      </c>
      <c r="G5" t="s">
        <v>19</v>
      </c>
      <c r="H5">
        <f>IF(Table_Sales[[#This Row],[profit]]&lt;0,1,0)</f>
        <v>0</v>
      </c>
      <c r="I5" t="str" cm="1">
        <f t="array" ref="I5">_xlfn.IFS(Table_Sales[[#This Row],[quantity]]&lt;=3,"1-3",Table_Sales[[#This Row],[quantity]]&lt;=7,"2-7",Table_Sales[[#This Row],[quantity]]&lt;=10,"8-10",TRUE,"11 and above")</f>
        <v>8-10</v>
      </c>
      <c r="J5" t="str" cm="1">
        <f t="array" ref="J5">_xlfn.IFS(Table_Sales[[#This Row],[amount]]&lt;1000,"Under 1000",Table_Sales[[#This Row],[amount]]&lt;3000,"1000 - 2999",Table_Sales[[#This Row],[amount]]&lt;5000,"3000 - 4999",TRUE,"5000 &amp; above")</f>
        <v>1000 - 2999</v>
      </c>
      <c r="K5">
        <f>IF(COUNTIFS(INDEX(Table_Sales[order_id],1):Table_Sales[[#This Row],[order_id]],Table_Sales[[#This Row],[order_id]])=1,1,0)</f>
        <v>1</v>
      </c>
      <c r="L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5" t="str">
        <v>B-26093</v>
      </c>
      <c r="O5" t="str">
        <v>UPI</v>
      </c>
    </row>
    <row r="6" spans="1:15" x14ac:dyDescent="0.25">
      <c r="A6" t="s">
        <v>20</v>
      </c>
      <c r="B6" s="1">
        <v>2617</v>
      </c>
      <c r="C6" s="1">
        <v>1151</v>
      </c>
      <c r="D6">
        <v>4</v>
      </c>
      <c r="E6" t="s">
        <v>8</v>
      </c>
      <c r="F6" t="s">
        <v>21</v>
      </c>
      <c r="G6" t="s">
        <v>19</v>
      </c>
      <c r="H6">
        <f>IF(Table_Sales[[#This Row],[profit]]&lt;0,1,0)</f>
        <v>0</v>
      </c>
      <c r="I6" t="str" cm="1">
        <f t="array" ref="I6">_xlfn.IFS(Table_Sales[[#This Row],[quantity]]&lt;=3,"1-3",Table_Sales[[#This Row],[quantity]]&lt;=7,"2-7",Table_Sales[[#This Row],[quantity]]&lt;=10,"8-10",TRUE,"11 and above")</f>
        <v>2-7</v>
      </c>
      <c r="J6" t="str" cm="1">
        <f t="array" ref="J6">_xlfn.IFS(Table_Sales[[#This Row],[amount]]&lt;1000,"Under 1000",Table_Sales[[#This Row],[amount]]&lt;3000,"1000 - 2999",Table_Sales[[#This Row],[amount]]&lt;5000,"3000 - 4999",TRUE,"5000 &amp; above")</f>
        <v>1000 - 2999</v>
      </c>
      <c r="K6">
        <f>IF(COUNTIFS(INDEX(Table_Sales[order_id],1):Table_Sales[[#This Row],[order_id]],Table_Sales[[#This Row],[order_id]])=1,1,0)</f>
        <v>1</v>
      </c>
      <c r="L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6" t="str">
        <v>B-25602</v>
      </c>
      <c r="O6" t="str">
        <v>Debit Card</v>
      </c>
    </row>
    <row r="7" spans="1:15" x14ac:dyDescent="0.25">
      <c r="A7" t="s">
        <v>22</v>
      </c>
      <c r="B7" s="1">
        <v>2244</v>
      </c>
      <c r="C7" s="1">
        <v>247</v>
      </c>
      <c r="D7">
        <v>4</v>
      </c>
      <c r="E7" t="s">
        <v>23</v>
      </c>
      <c r="F7" t="s">
        <v>24</v>
      </c>
      <c r="G7" t="s">
        <v>19</v>
      </c>
      <c r="H7">
        <f>IF(Table_Sales[[#This Row],[profit]]&lt;0,1,0)</f>
        <v>0</v>
      </c>
      <c r="I7" t="str" cm="1">
        <f t="array" ref="I7">_xlfn.IFS(Table_Sales[[#This Row],[quantity]]&lt;=3,"1-3",Table_Sales[[#This Row],[quantity]]&lt;=7,"2-7",Table_Sales[[#This Row],[quantity]]&lt;=10,"8-10",TRUE,"11 and above")</f>
        <v>2-7</v>
      </c>
      <c r="J7" t="str" cm="1">
        <f t="array" ref="J7">_xlfn.IFS(Table_Sales[[#This Row],[amount]]&lt;1000,"Under 1000",Table_Sales[[#This Row],[amount]]&lt;3000,"1000 - 2999",Table_Sales[[#This Row],[amount]]&lt;5000,"3000 - 4999",TRUE,"5000 &amp; above")</f>
        <v>1000 - 2999</v>
      </c>
      <c r="K7">
        <f>IF(COUNTIFS(INDEX(Table_Sales[order_id],1):Table_Sales[[#This Row],[order_id]],Table_Sales[[#This Row],[order_id]])=1,1,0)</f>
        <v>1</v>
      </c>
      <c r="L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7" t="str">
        <v>B-25881</v>
      </c>
    </row>
    <row r="8" spans="1:15" x14ac:dyDescent="0.25">
      <c r="A8" t="s">
        <v>25</v>
      </c>
      <c r="B8" s="1">
        <v>275</v>
      </c>
      <c r="C8" s="1">
        <v>-275</v>
      </c>
      <c r="D8">
        <v>4</v>
      </c>
      <c r="E8" t="s">
        <v>23</v>
      </c>
      <c r="F8" t="s">
        <v>26</v>
      </c>
      <c r="G8" t="s">
        <v>10</v>
      </c>
      <c r="H8">
        <f>IF(Table_Sales[[#This Row],[profit]]&lt;0,1,0)</f>
        <v>1</v>
      </c>
      <c r="I8" t="str" cm="1">
        <f t="array" ref="I8">_xlfn.IFS(Table_Sales[[#This Row],[quantity]]&lt;=3,"1-3",Table_Sales[[#This Row],[quantity]]&lt;=7,"2-7",Table_Sales[[#This Row],[quantity]]&lt;=10,"8-10",TRUE,"11 and above")</f>
        <v>2-7</v>
      </c>
      <c r="J8" t="str" cm="1">
        <f t="array" ref="J8">_xlfn.IFS(Table_Sales[[#This Row],[amount]]&lt;1000,"Under 1000",Table_Sales[[#This Row],[amount]]&lt;3000,"1000 - 2999",Table_Sales[[#This Row],[amount]]&lt;5000,"3000 - 4999",TRUE,"5000 &amp; above")</f>
        <v>Under 1000</v>
      </c>
      <c r="K8">
        <f>IF(COUNTIFS(INDEX(Table_Sales[order_id],1):Table_Sales[[#This Row],[order_id]],Table_Sales[[#This Row],[order_id]])=1,1,0)</f>
        <v>1</v>
      </c>
      <c r="L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8" t="str">
        <v>B-25696</v>
      </c>
    </row>
    <row r="9" spans="1:15" x14ac:dyDescent="0.25">
      <c r="A9" t="s">
        <v>27</v>
      </c>
      <c r="B9" s="1">
        <v>387</v>
      </c>
      <c r="C9" s="1">
        <v>-213</v>
      </c>
      <c r="D9">
        <v>5</v>
      </c>
      <c r="E9" t="s">
        <v>23</v>
      </c>
      <c r="F9" t="s">
        <v>26</v>
      </c>
      <c r="G9" t="s">
        <v>28</v>
      </c>
      <c r="H9">
        <f>IF(Table_Sales[[#This Row],[profit]]&lt;0,1,0)</f>
        <v>1</v>
      </c>
      <c r="I9" t="str" cm="1">
        <f t="array" ref="I9">_xlfn.IFS(Table_Sales[[#This Row],[quantity]]&lt;=3,"1-3",Table_Sales[[#This Row],[quantity]]&lt;=7,"2-7",Table_Sales[[#This Row],[quantity]]&lt;=10,"8-10",TRUE,"11 and above")</f>
        <v>2-7</v>
      </c>
      <c r="J9" t="str" cm="1">
        <f t="array" ref="J9">_xlfn.IFS(Table_Sales[[#This Row],[amount]]&lt;1000,"Under 1000",Table_Sales[[#This Row],[amount]]&lt;3000,"1000 - 2999",Table_Sales[[#This Row],[amount]]&lt;5000,"3000 - 4999",TRUE,"5000 &amp; above")</f>
        <v>Under 1000</v>
      </c>
      <c r="K9">
        <f>IF(COUNTIFS(INDEX(Table_Sales[order_id],1):Table_Sales[[#This Row],[order_id]],Table_Sales[[#This Row],[order_id]])=1,1,0)</f>
        <v>1</v>
      </c>
      <c r="L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9" t="str">
        <v>B-25687</v>
      </c>
    </row>
    <row r="10" spans="1:15" x14ac:dyDescent="0.25">
      <c r="A10" t="s">
        <v>29</v>
      </c>
      <c r="B10" s="1">
        <v>50</v>
      </c>
      <c r="C10" s="1">
        <v>-44</v>
      </c>
      <c r="D10">
        <v>2</v>
      </c>
      <c r="E10" t="s">
        <v>23</v>
      </c>
      <c r="F10" t="s">
        <v>30</v>
      </c>
      <c r="G10" t="s">
        <v>28</v>
      </c>
      <c r="H10">
        <f>IF(Table_Sales[[#This Row],[profit]]&lt;0,1,0)</f>
        <v>1</v>
      </c>
      <c r="I10" t="str" cm="1">
        <f t="array" ref="I10">_xlfn.IFS(Table_Sales[[#This Row],[quantity]]&lt;=3,"1-3",Table_Sales[[#This Row],[quantity]]&lt;=7,"2-7",Table_Sales[[#This Row],[quantity]]&lt;=10,"8-10",TRUE,"11 and above")</f>
        <v>1-3</v>
      </c>
      <c r="J10" t="str" cm="1">
        <f t="array" ref="J10">_xlfn.IFS(Table_Sales[[#This Row],[amount]]&lt;1000,"Under 1000",Table_Sales[[#This Row],[amount]]&lt;3000,"1000 - 2999",Table_Sales[[#This Row],[amount]]&lt;5000,"3000 - 4999",TRUE,"5000 &amp; above")</f>
        <v>Under 1000</v>
      </c>
      <c r="K10">
        <f>IF(COUNTIFS(INDEX(Table_Sales[order_id],1):Table_Sales[[#This Row],[order_id]],Table_Sales[[#This Row],[order_id]])=1,1,0)</f>
        <v>1</v>
      </c>
      <c r="L1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10" t="str">
        <v>B-25643</v>
      </c>
      <c r="O10" t="s">
        <v>533</v>
      </c>
    </row>
    <row r="11" spans="1:15" x14ac:dyDescent="0.25">
      <c r="A11" t="s">
        <v>31</v>
      </c>
      <c r="B11" s="1">
        <v>135</v>
      </c>
      <c r="C11" s="1">
        <v>-54</v>
      </c>
      <c r="D11">
        <v>5</v>
      </c>
      <c r="E11" t="s">
        <v>23</v>
      </c>
      <c r="F11" t="s">
        <v>32</v>
      </c>
      <c r="G11" t="s">
        <v>10</v>
      </c>
      <c r="H11">
        <f>IF(Table_Sales[[#This Row],[profit]]&lt;0,1,0)</f>
        <v>1</v>
      </c>
      <c r="I11" t="str" cm="1">
        <f t="array" ref="I11">_xlfn.IFS(Table_Sales[[#This Row],[quantity]]&lt;=3,"1-3",Table_Sales[[#This Row],[quantity]]&lt;=7,"2-7",Table_Sales[[#This Row],[quantity]]&lt;=10,"8-10",TRUE,"11 and above")</f>
        <v>2-7</v>
      </c>
      <c r="J11" t="str" cm="1">
        <f t="array" ref="J11">_xlfn.IFS(Table_Sales[[#This Row],[amount]]&lt;1000,"Under 1000",Table_Sales[[#This Row],[amount]]&lt;3000,"1000 - 2999",Table_Sales[[#This Row],[amount]]&lt;5000,"3000 - 4999",TRUE,"5000 &amp; above")</f>
        <v>Under 1000</v>
      </c>
      <c r="K11">
        <f>IF(COUNTIFS(INDEX(Table_Sales[order_id],1):Table_Sales[[#This Row],[order_id]],Table_Sales[[#This Row],[order_id]])=1,1,0)</f>
        <v>1</v>
      </c>
      <c r="L1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11" t="str">
        <v>B-25851</v>
      </c>
      <c r="O11" t="str" cm="1">
        <f t="array" ref="O11:O13">_xlfn.UNIQUE(Table_Sales[category])</f>
        <v>Electronics</v>
      </c>
    </row>
    <row r="12" spans="1:15" x14ac:dyDescent="0.25">
      <c r="A12" t="s">
        <v>33</v>
      </c>
      <c r="B12" s="1">
        <v>231</v>
      </c>
      <c r="C12" s="1">
        <v>-190</v>
      </c>
      <c r="D12">
        <v>9</v>
      </c>
      <c r="E12" t="s">
        <v>23</v>
      </c>
      <c r="F12" t="s">
        <v>30</v>
      </c>
      <c r="G12" t="s">
        <v>10</v>
      </c>
      <c r="H12">
        <f>IF(Table_Sales[[#This Row],[profit]]&lt;0,1,0)</f>
        <v>1</v>
      </c>
      <c r="I12" t="str" cm="1">
        <f t="array" ref="I12">_xlfn.IFS(Table_Sales[[#This Row],[quantity]]&lt;=3,"1-3",Table_Sales[[#This Row],[quantity]]&lt;=7,"2-7",Table_Sales[[#This Row],[quantity]]&lt;=10,"8-10",TRUE,"11 and above")</f>
        <v>8-10</v>
      </c>
      <c r="J12" t="str" cm="1">
        <f t="array" ref="J12">_xlfn.IFS(Table_Sales[[#This Row],[amount]]&lt;1000,"Under 1000",Table_Sales[[#This Row],[amount]]&lt;3000,"1000 - 2999",Table_Sales[[#This Row],[amount]]&lt;5000,"3000 - 4999",TRUE,"5000 &amp; above")</f>
        <v>Under 1000</v>
      </c>
      <c r="K12">
        <f>IF(COUNTIFS(INDEX(Table_Sales[order_id],1):Table_Sales[[#This Row],[order_id]],Table_Sales[[#This Row],[order_id]])=1,1,0)</f>
        <v>1</v>
      </c>
      <c r="L1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12" t="str">
        <v>B-25703</v>
      </c>
      <c r="O12" t="str">
        <v>Furniture</v>
      </c>
    </row>
    <row r="13" spans="1:15" x14ac:dyDescent="0.25">
      <c r="A13" t="s">
        <v>34</v>
      </c>
      <c r="B13" s="1">
        <v>2125</v>
      </c>
      <c r="C13" s="1">
        <v>-234</v>
      </c>
      <c r="D13">
        <v>6</v>
      </c>
      <c r="E13" t="s">
        <v>8</v>
      </c>
      <c r="F13" t="s">
        <v>18</v>
      </c>
      <c r="G13" t="s">
        <v>14</v>
      </c>
      <c r="H13">
        <f>IF(Table_Sales[[#This Row],[profit]]&lt;0,1,0)</f>
        <v>1</v>
      </c>
      <c r="I13" t="str" cm="1">
        <f t="array" ref="I13">_xlfn.IFS(Table_Sales[[#This Row],[quantity]]&lt;=3,"1-3",Table_Sales[[#This Row],[quantity]]&lt;=7,"2-7",Table_Sales[[#This Row],[quantity]]&lt;=10,"8-10",TRUE,"11 and above")</f>
        <v>2-7</v>
      </c>
      <c r="J13" t="str" cm="1">
        <f t="array" ref="J13">_xlfn.IFS(Table_Sales[[#This Row],[amount]]&lt;1000,"Under 1000",Table_Sales[[#This Row],[amount]]&lt;3000,"1000 - 2999",Table_Sales[[#This Row],[amount]]&lt;5000,"3000 - 4999",TRUE,"5000 &amp; above")</f>
        <v>1000 - 2999</v>
      </c>
      <c r="K13">
        <f>IF(COUNTIFS(INDEX(Table_Sales[order_id],1):Table_Sales[[#This Row],[order_id]],Table_Sales[[#This Row],[order_id]])=1,1,0)</f>
        <v>1</v>
      </c>
      <c r="L1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13" t="str">
        <v>B-25887</v>
      </c>
      <c r="O13" t="str">
        <v>Clothing</v>
      </c>
    </row>
    <row r="14" spans="1:15" x14ac:dyDescent="0.25">
      <c r="A14" t="s">
        <v>35</v>
      </c>
      <c r="B14" s="1">
        <v>3873</v>
      </c>
      <c r="C14" s="1">
        <v>-891</v>
      </c>
      <c r="D14">
        <v>6</v>
      </c>
      <c r="E14" t="s">
        <v>8</v>
      </c>
      <c r="F14" t="s">
        <v>21</v>
      </c>
      <c r="G14" t="s">
        <v>19</v>
      </c>
      <c r="H14">
        <f>IF(Table_Sales[[#This Row],[profit]]&lt;0,1,0)</f>
        <v>1</v>
      </c>
      <c r="I14" t="str" cm="1">
        <f t="array" ref="I14">_xlfn.IFS(Table_Sales[[#This Row],[quantity]]&lt;=3,"1-3",Table_Sales[[#This Row],[quantity]]&lt;=7,"2-7",Table_Sales[[#This Row],[quantity]]&lt;=10,"8-10",TRUE,"11 and above")</f>
        <v>2-7</v>
      </c>
      <c r="J14" t="str" cm="1">
        <f t="array" ref="J14">_xlfn.IFS(Table_Sales[[#This Row],[amount]]&lt;1000,"Under 1000",Table_Sales[[#This Row],[amount]]&lt;3000,"1000 - 2999",Table_Sales[[#This Row],[amount]]&lt;5000,"3000 - 4999",TRUE,"5000 &amp; above")</f>
        <v>3000 - 4999</v>
      </c>
      <c r="K14">
        <f>IF(COUNTIFS(INDEX(Table_Sales[order_id],1):Table_Sales[[#This Row],[order_id]],Table_Sales[[#This Row],[order_id]])=1,1,0)</f>
        <v>1</v>
      </c>
      <c r="L1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14" t="str">
        <v>B-25923</v>
      </c>
    </row>
    <row r="15" spans="1:15" x14ac:dyDescent="0.25">
      <c r="A15" t="s">
        <v>36</v>
      </c>
      <c r="B15" s="1">
        <v>729</v>
      </c>
      <c r="C15" s="1">
        <v>-492</v>
      </c>
      <c r="D15">
        <v>5</v>
      </c>
      <c r="E15" t="s">
        <v>12</v>
      </c>
      <c r="F15" t="s">
        <v>16</v>
      </c>
      <c r="G15" t="s">
        <v>28</v>
      </c>
      <c r="H15">
        <f>IF(Table_Sales[[#This Row],[profit]]&lt;0,1,0)</f>
        <v>1</v>
      </c>
      <c r="I15" t="str" cm="1">
        <f t="array" ref="I15">_xlfn.IFS(Table_Sales[[#This Row],[quantity]]&lt;=3,"1-3",Table_Sales[[#This Row],[quantity]]&lt;=7,"2-7",Table_Sales[[#This Row],[quantity]]&lt;=10,"8-10",TRUE,"11 and above")</f>
        <v>2-7</v>
      </c>
      <c r="J15" t="str" cm="1">
        <f t="array" ref="J15">_xlfn.IFS(Table_Sales[[#This Row],[amount]]&lt;1000,"Under 1000",Table_Sales[[#This Row],[amount]]&lt;3000,"1000 - 2999",Table_Sales[[#This Row],[amount]]&lt;5000,"3000 - 4999",TRUE,"5000 &amp; above")</f>
        <v>Under 1000</v>
      </c>
      <c r="K15">
        <f>IF(COUNTIFS(INDEX(Table_Sales[order_id],1):Table_Sales[[#This Row],[order_id]],Table_Sales[[#This Row],[order_id]])=1,1,0)</f>
        <v>1</v>
      </c>
      <c r="L1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15" t="str">
        <v>B-25756</v>
      </c>
    </row>
    <row r="16" spans="1:15" x14ac:dyDescent="0.25">
      <c r="A16" t="s">
        <v>37</v>
      </c>
      <c r="B16" s="1">
        <v>2188</v>
      </c>
      <c r="C16" s="1">
        <v>1050</v>
      </c>
      <c r="D16">
        <v>5</v>
      </c>
      <c r="E16" t="s">
        <v>12</v>
      </c>
      <c r="F16" t="s">
        <v>16</v>
      </c>
      <c r="G16" t="s">
        <v>19</v>
      </c>
      <c r="H16">
        <f>IF(Table_Sales[[#This Row],[profit]]&lt;0,1,0)</f>
        <v>0</v>
      </c>
      <c r="I16" t="str" cm="1">
        <f t="array" ref="I16">_xlfn.IFS(Table_Sales[[#This Row],[quantity]]&lt;=3,"1-3",Table_Sales[[#This Row],[quantity]]&lt;=7,"2-7",Table_Sales[[#This Row],[quantity]]&lt;=10,"8-10",TRUE,"11 and above")</f>
        <v>2-7</v>
      </c>
      <c r="J16" t="str" cm="1">
        <f t="array" ref="J16">_xlfn.IFS(Table_Sales[[#This Row],[amount]]&lt;1000,"Under 1000",Table_Sales[[#This Row],[amount]]&lt;3000,"1000 - 2999",Table_Sales[[#This Row],[amount]]&lt;5000,"3000 - 4999",TRUE,"5000 &amp; above")</f>
        <v>1000 - 2999</v>
      </c>
      <c r="K16">
        <f>IF(COUNTIFS(INDEX(Table_Sales[order_id],1):Table_Sales[[#This Row],[order_id]],Table_Sales[[#This Row],[order_id]])=1,1,0)</f>
        <v>1</v>
      </c>
      <c r="L1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16" t="str">
        <v>B-25761</v>
      </c>
    </row>
    <row r="17" spans="1:15" x14ac:dyDescent="0.25">
      <c r="A17" t="s">
        <v>38</v>
      </c>
      <c r="B17" s="1">
        <v>6</v>
      </c>
      <c r="C17" s="1">
        <v>-3</v>
      </c>
      <c r="D17">
        <v>1</v>
      </c>
      <c r="E17" t="s">
        <v>23</v>
      </c>
      <c r="F17" t="s">
        <v>30</v>
      </c>
      <c r="G17" t="s">
        <v>28</v>
      </c>
      <c r="H17">
        <f>IF(Table_Sales[[#This Row],[profit]]&lt;0,1,0)</f>
        <v>1</v>
      </c>
      <c r="I17" t="str" cm="1">
        <f t="array" ref="I17">_xlfn.IFS(Table_Sales[[#This Row],[quantity]]&lt;=3,"1-3",Table_Sales[[#This Row],[quantity]]&lt;=7,"2-7",Table_Sales[[#This Row],[quantity]]&lt;=10,"8-10",TRUE,"11 and above")</f>
        <v>1-3</v>
      </c>
      <c r="J17" t="str" cm="1">
        <f t="array" ref="J17">_xlfn.IFS(Table_Sales[[#This Row],[amount]]&lt;1000,"Under 1000",Table_Sales[[#This Row],[amount]]&lt;3000,"1000 - 2999",Table_Sales[[#This Row],[amount]]&lt;5000,"3000 - 4999",TRUE,"5000 &amp; above")</f>
        <v>Under 1000</v>
      </c>
      <c r="K17">
        <f>IF(COUNTIFS(INDEX(Table_Sales[order_id],1):Table_Sales[[#This Row],[order_id]],Table_Sales[[#This Row],[order_id]])=1,1,0)</f>
        <v>1</v>
      </c>
      <c r="L1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17" t="str">
        <v>B-25655</v>
      </c>
      <c r="O17" t="s">
        <v>534</v>
      </c>
    </row>
    <row r="18" spans="1:15" x14ac:dyDescent="0.25">
      <c r="A18" t="s">
        <v>39</v>
      </c>
      <c r="B18" s="1">
        <v>1854</v>
      </c>
      <c r="C18" s="1">
        <v>433</v>
      </c>
      <c r="D18">
        <v>5</v>
      </c>
      <c r="E18" t="s">
        <v>12</v>
      </c>
      <c r="F18" t="s">
        <v>16</v>
      </c>
      <c r="G18" t="s">
        <v>19</v>
      </c>
      <c r="H18">
        <f>IF(Table_Sales[[#This Row],[profit]]&lt;0,1,0)</f>
        <v>0</v>
      </c>
      <c r="I18" t="str" cm="1">
        <f t="array" ref="I18">_xlfn.IFS(Table_Sales[[#This Row],[quantity]]&lt;=3,"1-3",Table_Sales[[#This Row],[quantity]]&lt;=7,"2-7",Table_Sales[[#This Row],[quantity]]&lt;=10,"8-10",TRUE,"11 and above")</f>
        <v>2-7</v>
      </c>
      <c r="J18" t="str" cm="1">
        <f t="array" ref="J18">_xlfn.IFS(Table_Sales[[#This Row],[amount]]&lt;1000,"Under 1000",Table_Sales[[#This Row],[amount]]&lt;3000,"1000 - 2999",Table_Sales[[#This Row],[amount]]&lt;5000,"3000 - 4999",TRUE,"5000 &amp; above")</f>
        <v>1000 - 2999</v>
      </c>
      <c r="K18">
        <f>IF(COUNTIFS(INDEX(Table_Sales[order_id],1):Table_Sales[[#This Row],[order_id]],Table_Sales[[#This Row],[order_id]])=1,1,0)</f>
        <v>1</v>
      </c>
      <c r="L1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18" t="str">
        <v>B-25786</v>
      </c>
      <c r="O18" t="str" cm="1">
        <f t="array" ref="O18:O34">_xlfn.UNIQUE(Table_Sales[sub_category])</f>
        <v>Electronic Games</v>
      </c>
    </row>
    <row r="19" spans="1:15" x14ac:dyDescent="0.25">
      <c r="A19" t="s">
        <v>40</v>
      </c>
      <c r="B19" s="1">
        <v>6</v>
      </c>
      <c r="C19" s="1">
        <v>1</v>
      </c>
      <c r="D19">
        <v>1</v>
      </c>
      <c r="E19" t="s">
        <v>23</v>
      </c>
      <c r="F19" t="s">
        <v>32</v>
      </c>
      <c r="G19" t="s">
        <v>28</v>
      </c>
      <c r="H19">
        <f>IF(Table_Sales[[#This Row],[profit]]&lt;0,1,0)</f>
        <v>0</v>
      </c>
      <c r="I19" t="str" cm="1">
        <f t="array" ref="I19">_xlfn.IFS(Table_Sales[[#This Row],[quantity]]&lt;=3,"1-3",Table_Sales[[#This Row],[quantity]]&lt;=7,"2-7",Table_Sales[[#This Row],[quantity]]&lt;=10,"8-10",TRUE,"11 and above")</f>
        <v>1-3</v>
      </c>
      <c r="J19" t="str" cm="1">
        <f t="array" ref="J19">_xlfn.IFS(Table_Sales[[#This Row],[amount]]&lt;1000,"Under 1000",Table_Sales[[#This Row],[amount]]&lt;3000,"1000 - 2999",Table_Sales[[#This Row],[amount]]&lt;5000,"3000 - 4999",TRUE,"5000 &amp; above")</f>
        <v>Under 1000</v>
      </c>
      <c r="K19">
        <f>IF(COUNTIFS(INDEX(Table_Sales[order_id],1):Table_Sales[[#This Row],[order_id]],Table_Sales[[#This Row],[order_id]])=1,1,0)</f>
        <v>1</v>
      </c>
      <c r="L1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19" t="str">
        <v>B-26095</v>
      </c>
      <c r="O19" t="str">
        <v>Chairs</v>
      </c>
    </row>
    <row r="20" spans="1:15" x14ac:dyDescent="0.25">
      <c r="A20" t="s">
        <v>41</v>
      </c>
      <c r="B20" s="1">
        <v>2093</v>
      </c>
      <c r="C20" s="1">
        <v>721</v>
      </c>
      <c r="D20">
        <v>5</v>
      </c>
      <c r="E20" t="s">
        <v>12</v>
      </c>
      <c r="F20" t="s">
        <v>13</v>
      </c>
      <c r="G20" t="s">
        <v>19</v>
      </c>
      <c r="H20">
        <f>IF(Table_Sales[[#This Row],[profit]]&lt;0,1,0)</f>
        <v>0</v>
      </c>
      <c r="I20" t="str" cm="1">
        <f t="array" ref="I20">_xlfn.IFS(Table_Sales[[#This Row],[quantity]]&lt;=3,"1-3",Table_Sales[[#This Row],[quantity]]&lt;=7,"2-7",Table_Sales[[#This Row],[quantity]]&lt;=10,"8-10",TRUE,"11 and above")</f>
        <v>2-7</v>
      </c>
      <c r="J20" t="str" cm="1">
        <f t="array" ref="J20">_xlfn.IFS(Table_Sales[[#This Row],[amount]]&lt;1000,"Under 1000",Table_Sales[[#This Row],[amount]]&lt;3000,"1000 - 2999",Table_Sales[[#This Row],[amount]]&lt;5000,"3000 - 4999",TRUE,"5000 &amp; above")</f>
        <v>1000 - 2999</v>
      </c>
      <c r="K20">
        <f>IF(COUNTIFS(INDEX(Table_Sales[order_id],1):Table_Sales[[#This Row],[order_id]],Table_Sales[[#This Row],[order_id]])=1,1,0)</f>
        <v>1</v>
      </c>
      <c r="L2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20" t="str">
        <v>B-25853</v>
      </c>
      <c r="O20" t="str">
        <v>Bookcases</v>
      </c>
    </row>
    <row r="21" spans="1:15" x14ac:dyDescent="0.25">
      <c r="A21" t="s">
        <v>42</v>
      </c>
      <c r="B21" s="1">
        <v>7</v>
      </c>
      <c r="C21" s="1">
        <v>-1</v>
      </c>
      <c r="D21">
        <v>2</v>
      </c>
      <c r="E21" t="s">
        <v>23</v>
      </c>
      <c r="F21" t="s">
        <v>43</v>
      </c>
      <c r="G21" t="s">
        <v>28</v>
      </c>
      <c r="H21">
        <f>IF(Table_Sales[[#This Row],[profit]]&lt;0,1,0)</f>
        <v>1</v>
      </c>
      <c r="I21" t="str" cm="1">
        <f t="array" ref="I21">_xlfn.IFS(Table_Sales[[#This Row],[quantity]]&lt;=3,"1-3",Table_Sales[[#This Row],[quantity]]&lt;=7,"2-7",Table_Sales[[#This Row],[quantity]]&lt;=10,"8-10",TRUE,"11 and above")</f>
        <v>1-3</v>
      </c>
      <c r="J21" t="str" cm="1">
        <f t="array" ref="J21">_xlfn.IFS(Table_Sales[[#This Row],[amount]]&lt;1000,"Under 1000",Table_Sales[[#This Row],[amount]]&lt;3000,"1000 - 2999",Table_Sales[[#This Row],[amount]]&lt;5000,"3000 - 4999",TRUE,"5000 &amp; above")</f>
        <v>Under 1000</v>
      </c>
      <c r="K21">
        <f>IF(COUNTIFS(INDEX(Table_Sales[order_id],1):Table_Sales[[#This Row],[order_id]],Table_Sales[[#This Row],[order_id]])=1,1,0)</f>
        <v>1</v>
      </c>
      <c r="L2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21" t="str">
        <v>B-25735</v>
      </c>
      <c r="O21" t="str">
        <v>Printers</v>
      </c>
    </row>
    <row r="22" spans="1:15" x14ac:dyDescent="0.25">
      <c r="A22" t="s">
        <v>44</v>
      </c>
      <c r="B22" s="1">
        <v>1622</v>
      </c>
      <c r="C22" s="1">
        <v>-624</v>
      </c>
      <c r="D22">
        <v>5</v>
      </c>
      <c r="E22" t="s">
        <v>12</v>
      </c>
      <c r="F22" t="s">
        <v>45</v>
      </c>
      <c r="G22" t="s">
        <v>19</v>
      </c>
      <c r="H22">
        <f>IF(Table_Sales[[#This Row],[profit]]&lt;0,1,0)</f>
        <v>1</v>
      </c>
      <c r="I22" t="str" cm="1">
        <f t="array" ref="I22">_xlfn.IFS(Table_Sales[[#This Row],[quantity]]&lt;=3,"1-3",Table_Sales[[#This Row],[quantity]]&lt;=7,"2-7",Table_Sales[[#This Row],[quantity]]&lt;=10,"8-10",TRUE,"11 and above")</f>
        <v>2-7</v>
      </c>
      <c r="J22" t="str" cm="1">
        <f t="array" ref="J22">_xlfn.IFS(Table_Sales[[#This Row],[amount]]&lt;1000,"Under 1000",Table_Sales[[#This Row],[amount]]&lt;3000,"1000 - 2999",Table_Sales[[#This Row],[amount]]&lt;5000,"3000 - 4999",TRUE,"5000 &amp; above")</f>
        <v>1000 - 2999</v>
      </c>
      <c r="K22">
        <f>IF(COUNTIFS(INDEX(Table_Sales[order_id],1):Table_Sales[[#This Row],[order_id]],Table_Sales[[#This Row],[order_id]])=1,1,0)</f>
        <v>1</v>
      </c>
      <c r="L2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22" t="str">
        <v>B-25910</v>
      </c>
      <c r="O22" t="str">
        <v>Phones</v>
      </c>
    </row>
    <row r="23" spans="1:15" x14ac:dyDescent="0.25">
      <c r="A23" t="s">
        <v>46</v>
      </c>
      <c r="B23" s="1">
        <v>1622</v>
      </c>
      <c r="C23" s="1">
        <v>95</v>
      </c>
      <c r="D23">
        <v>5</v>
      </c>
      <c r="E23" t="s">
        <v>8</v>
      </c>
      <c r="F23" t="s">
        <v>18</v>
      </c>
      <c r="G23" t="s">
        <v>19</v>
      </c>
      <c r="H23">
        <f>IF(Table_Sales[[#This Row],[profit]]&lt;0,1,0)</f>
        <v>0</v>
      </c>
      <c r="I23" t="str" cm="1">
        <f t="array" ref="I23">_xlfn.IFS(Table_Sales[[#This Row],[quantity]]&lt;=3,"1-3",Table_Sales[[#This Row],[quantity]]&lt;=7,"2-7",Table_Sales[[#This Row],[quantity]]&lt;=10,"8-10",TRUE,"11 and above")</f>
        <v>2-7</v>
      </c>
      <c r="J23" t="str" cm="1">
        <f t="array" ref="J23">_xlfn.IFS(Table_Sales[[#This Row],[amount]]&lt;1000,"Under 1000",Table_Sales[[#This Row],[amount]]&lt;3000,"1000 - 2999",Table_Sales[[#This Row],[amount]]&lt;5000,"3000 - 4999",TRUE,"5000 &amp; above")</f>
        <v>1000 - 2999</v>
      </c>
      <c r="K23">
        <f>IF(COUNTIFS(INDEX(Table_Sales[order_id],1):Table_Sales[[#This Row],[order_id]],Table_Sales[[#This Row],[order_id]])=1,1,0)</f>
        <v>1</v>
      </c>
      <c r="L2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23" t="str">
        <v>B-25950</v>
      </c>
      <c r="O23" t="str">
        <v>Trousers</v>
      </c>
    </row>
    <row r="24" spans="1:15" x14ac:dyDescent="0.25">
      <c r="A24" t="s">
        <v>47</v>
      </c>
      <c r="B24" s="1">
        <v>373</v>
      </c>
      <c r="C24" s="1">
        <v>254</v>
      </c>
      <c r="D24">
        <v>6</v>
      </c>
      <c r="E24" t="s">
        <v>8</v>
      </c>
      <c r="F24" t="s">
        <v>18</v>
      </c>
      <c r="G24" t="s">
        <v>28</v>
      </c>
      <c r="H24">
        <f>IF(Table_Sales[[#This Row],[profit]]&lt;0,1,0)</f>
        <v>0</v>
      </c>
      <c r="I24" t="str" cm="1">
        <f t="array" ref="I24">_xlfn.IFS(Table_Sales[[#This Row],[quantity]]&lt;=3,"1-3",Table_Sales[[#This Row],[quantity]]&lt;=7,"2-7",Table_Sales[[#This Row],[quantity]]&lt;=10,"8-10",TRUE,"11 and above")</f>
        <v>2-7</v>
      </c>
      <c r="J24" t="str" cm="1">
        <f t="array" ref="J24">_xlfn.IFS(Table_Sales[[#This Row],[amount]]&lt;1000,"Under 1000",Table_Sales[[#This Row],[amount]]&lt;3000,"1000 - 2999",Table_Sales[[#This Row],[amount]]&lt;5000,"3000 - 4999",TRUE,"5000 &amp; above")</f>
        <v>Under 1000</v>
      </c>
      <c r="K24">
        <f>IF(COUNTIFS(INDEX(Table_Sales[order_id],1):Table_Sales[[#This Row],[order_id]],Table_Sales[[#This Row],[order_id]])=1,1,0)</f>
        <v>1</v>
      </c>
      <c r="L2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24" t="str">
        <v>B-25744</v>
      </c>
      <c r="O24" t="str">
        <v>Saree</v>
      </c>
    </row>
    <row r="25" spans="1:15" x14ac:dyDescent="0.25">
      <c r="A25" t="s">
        <v>48</v>
      </c>
      <c r="B25" s="1">
        <v>82</v>
      </c>
      <c r="C25" s="1">
        <v>-33</v>
      </c>
      <c r="D25">
        <v>4</v>
      </c>
      <c r="E25" t="s">
        <v>23</v>
      </c>
      <c r="F25" t="s">
        <v>32</v>
      </c>
      <c r="G25" t="s">
        <v>10</v>
      </c>
      <c r="H25">
        <f>IF(Table_Sales[[#This Row],[profit]]&lt;0,1,0)</f>
        <v>1</v>
      </c>
      <c r="I25" t="str" cm="1">
        <f t="array" ref="I25">_xlfn.IFS(Table_Sales[[#This Row],[quantity]]&lt;=3,"1-3",Table_Sales[[#This Row],[quantity]]&lt;=7,"2-7",Table_Sales[[#This Row],[quantity]]&lt;=10,"8-10",TRUE,"11 and above")</f>
        <v>2-7</v>
      </c>
      <c r="J25" t="str" cm="1">
        <f t="array" ref="J25">_xlfn.IFS(Table_Sales[[#This Row],[amount]]&lt;1000,"Under 1000",Table_Sales[[#This Row],[amount]]&lt;3000,"1000 - 2999",Table_Sales[[#This Row],[amount]]&lt;5000,"3000 - 4999",TRUE,"5000 &amp; above")</f>
        <v>Under 1000</v>
      </c>
      <c r="K25">
        <f>IF(COUNTIFS(INDEX(Table_Sales[order_id],1):Table_Sales[[#This Row],[order_id]],Table_Sales[[#This Row],[order_id]])=1,1,0)</f>
        <v>1</v>
      </c>
      <c r="L2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25" t="str">
        <v>B-25845</v>
      </c>
      <c r="O25" t="str">
        <v>Handkerchief</v>
      </c>
    </row>
    <row r="26" spans="1:15" x14ac:dyDescent="0.25">
      <c r="A26" t="s">
        <v>49</v>
      </c>
      <c r="B26" s="1">
        <v>8</v>
      </c>
      <c r="C26" s="1">
        <v>2</v>
      </c>
      <c r="D26">
        <v>2</v>
      </c>
      <c r="E26" t="s">
        <v>23</v>
      </c>
      <c r="F26" t="s">
        <v>43</v>
      </c>
      <c r="G26" t="s">
        <v>28</v>
      </c>
      <c r="H26">
        <f>IF(Table_Sales[[#This Row],[profit]]&lt;0,1,0)</f>
        <v>0</v>
      </c>
      <c r="I26" t="str" cm="1">
        <f t="array" ref="I26">_xlfn.IFS(Table_Sales[[#This Row],[quantity]]&lt;=3,"1-3",Table_Sales[[#This Row],[quantity]]&lt;=7,"2-7",Table_Sales[[#This Row],[quantity]]&lt;=10,"8-10",TRUE,"11 and above")</f>
        <v>1-3</v>
      </c>
      <c r="J26" t="str" cm="1">
        <f t="array" ref="J26">_xlfn.IFS(Table_Sales[[#This Row],[amount]]&lt;1000,"Under 1000",Table_Sales[[#This Row],[amount]]&lt;3000,"1000 - 2999",Table_Sales[[#This Row],[amount]]&lt;5000,"3000 - 4999",TRUE,"5000 &amp; above")</f>
        <v>Under 1000</v>
      </c>
      <c r="K26">
        <f>IF(COUNTIFS(INDEX(Table_Sales[order_id],1):Table_Sales[[#This Row],[order_id]],Table_Sales[[#This Row],[order_id]])=1,1,0)</f>
        <v>1</v>
      </c>
      <c r="L2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26" t="str">
        <v>B-26001</v>
      </c>
      <c r="O26" t="str">
        <v>Kurti</v>
      </c>
    </row>
    <row r="27" spans="1:15" x14ac:dyDescent="0.25">
      <c r="A27" t="s">
        <v>50</v>
      </c>
      <c r="B27" s="1">
        <v>1954</v>
      </c>
      <c r="C27" s="1">
        <v>782</v>
      </c>
      <c r="D27">
        <v>3</v>
      </c>
      <c r="E27" t="s">
        <v>8</v>
      </c>
      <c r="F27" t="s">
        <v>21</v>
      </c>
      <c r="G27" t="s">
        <v>19</v>
      </c>
      <c r="H27">
        <f>IF(Table_Sales[[#This Row],[profit]]&lt;0,1,0)</f>
        <v>0</v>
      </c>
      <c r="I27" t="str" cm="1">
        <f t="array" ref="I27">_xlfn.IFS(Table_Sales[[#This Row],[quantity]]&lt;=3,"1-3",Table_Sales[[#This Row],[quantity]]&lt;=7,"2-7",Table_Sales[[#This Row],[quantity]]&lt;=10,"8-10",TRUE,"11 and above")</f>
        <v>1-3</v>
      </c>
      <c r="J27" t="str" cm="1">
        <f t="array" ref="J27">_xlfn.IFS(Table_Sales[[#This Row],[amount]]&lt;1000,"Under 1000",Table_Sales[[#This Row],[amount]]&lt;3000,"1000 - 2999",Table_Sales[[#This Row],[amount]]&lt;5000,"3000 - 4999",TRUE,"5000 &amp; above")</f>
        <v>1000 - 2999</v>
      </c>
      <c r="K27">
        <f>IF(COUNTIFS(INDEX(Table_Sales[order_id],1):Table_Sales[[#This Row],[order_id]],Table_Sales[[#This Row],[order_id]])=1,1,0)</f>
        <v>1</v>
      </c>
      <c r="L2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27" t="str">
        <v>B-25830</v>
      </c>
      <c r="O27" t="str">
        <v>Skirt</v>
      </c>
    </row>
    <row r="28" spans="1:15" x14ac:dyDescent="0.25">
      <c r="A28" t="s">
        <v>51</v>
      </c>
      <c r="B28" s="1">
        <v>1543</v>
      </c>
      <c r="C28" s="1">
        <v>370</v>
      </c>
      <c r="D28">
        <v>8</v>
      </c>
      <c r="E28" t="s">
        <v>8</v>
      </c>
      <c r="F28" t="s">
        <v>18</v>
      </c>
      <c r="G28" t="s">
        <v>19</v>
      </c>
      <c r="H28">
        <f>IF(Table_Sales[[#This Row],[profit]]&lt;0,1,0)</f>
        <v>0</v>
      </c>
      <c r="I28" t="str" cm="1">
        <f t="array" ref="I28">_xlfn.IFS(Table_Sales[[#This Row],[quantity]]&lt;=3,"1-3",Table_Sales[[#This Row],[quantity]]&lt;=7,"2-7",Table_Sales[[#This Row],[quantity]]&lt;=10,"8-10",TRUE,"11 and above")</f>
        <v>8-10</v>
      </c>
      <c r="J28" t="str" cm="1">
        <f t="array" ref="J28">_xlfn.IFS(Table_Sales[[#This Row],[amount]]&lt;1000,"Under 1000",Table_Sales[[#This Row],[amount]]&lt;3000,"1000 - 2999",Table_Sales[[#This Row],[amount]]&lt;5000,"3000 - 4999",TRUE,"5000 &amp; above")</f>
        <v>1000 - 2999</v>
      </c>
      <c r="K28">
        <f>IF(COUNTIFS(INDEX(Table_Sales[order_id],1):Table_Sales[[#This Row],[order_id]],Table_Sales[[#This Row],[order_id]])=1,1,0)</f>
        <v>1</v>
      </c>
      <c r="L2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28" t="str">
        <v>B-25842</v>
      </c>
      <c r="O28" t="str">
        <v>Tables</v>
      </c>
    </row>
    <row r="29" spans="1:15" x14ac:dyDescent="0.25">
      <c r="A29" t="s">
        <v>52</v>
      </c>
      <c r="B29" s="1">
        <v>1506</v>
      </c>
      <c r="C29" s="1">
        <v>-266</v>
      </c>
      <c r="D29">
        <v>6</v>
      </c>
      <c r="E29" t="s">
        <v>8</v>
      </c>
      <c r="F29" t="s">
        <v>18</v>
      </c>
      <c r="G29" t="s">
        <v>19</v>
      </c>
      <c r="H29">
        <f>IF(Table_Sales[[#This Row],[profit]]&lt;0,1,0)</f>
        <v>1</v>
      </c>
      <c r="I29" t="str" cm="1">
        <f t="array" ref="I29">_xlfn.IFS(Table_Sales[[#This Row],[quantity]]&lt;=3,"1-3",Table_Sales[[#This Row],[quantity]]&lt;=7,"2-7",Table_Sales[[#This Row],[quantity]]&lt;=10,"8-10",TRUE,"11 and above")</f>
        <v>2-7</v>
      </c>
      <c r="J29" t="str" cm="1">
        <f t="array" ref="J29">_xlfn.IFS(Table_Sales[[#This Row],[amount]]&lt;1000,"Under 1000",Table_Sales[[#This Row],[amount]]&lt;3000,"1000 - 2999",Table_Sales[[#This Row],[amount]]&lt;5000,"3000 - 4999",TRUE,"5000 &amp; above")</f>
        <v>1000 - 2999</v>
      </c>
      <c r="K29">
        <f>IF(COUNTIFS(INDEX(Table_Sales[order_id],1):Table_Sales[[#This Row],[order_id]],Table_Sales[[#This Row],[order_id]])=1,1,0)</f>
        <v>1</v>
      </c>
      <c r="L2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29" t="str">
        <v>B-25778</v>
      </c>
      <c r="O29" t="str">
        <v>Stole</v>
      </c>
    </row>
    <row r="30" spans="1:15" x14ac:dyDescent="0.25">
      <c r="A30" t="s">
        <v>53</v>
      </c>
      <c r="B30" s="1">
        <v>1829</v>
      </c>
      <c r="C30" s="1">
        <v>-56</v>
      </c>
      <c r="D30">
        <v>6</v>
      </c>
      <c r="E30" t="s">
        <v>12</v>
      </c>
      <c r="F30" t="s">
        <v>45</v>
      </c>
      <c r="G30" t="s">
        <v>19</v>
      </c>
      <c r="H30">
        <f>IF(Table_Sales[[#This Row],[profit]]&lt;0,1,0)</f>
        <v>1</v>
      </c>
      <c r="I30" t="str" cm="1">
        <f t="array" ref="I30">_xlfn.IFS(Table_Sales[[#This Row],[quantity]]&lt;=3,"1-3",Table_Sales[[#This Row],[quantity]]&lt;=7,"2-7",Table_Sales[[#This Row],[quantity]]&lt;=10,"8-10",TRUE,"11 and above")</f>
        <v>2-7</v>
      </c>
      <c r="J30" t="str" cm="1">
        <f t="array" ref="J30">_xlfn.IFS(Table_Sales[[#This Row],[amount]]&lt;1000,"Under 1000",Table_Sales[[#This Row],[amount]]&lt;3000,"1000 - 2999",Table_Sales[[#This Row],[amount]]&lt;5000,"3000 - 4999",TRUE,"5000 &amp; above")</f>
        <v>1000 - 2999</v>
      </c>
      <c r="K30">
        <f>IF(COUNTIFS(INDEX(Table_Sales[order_id],1):Table_Sales[[#This Row],[order_id]],Table_Sales[[#This Row],[order_id]])=1,1,0)</f>
        <v>1</v>
      </c>
      <c r="L3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30" t="str">
        <v>B-25686</v>
      </c>
      <c r="O30" t="str">
        <v>Leggings</v>
      </c>
    </row>
    <row r="31" spans="1:15" x14ac:dyDescent="0.25">
      <c r="A31" t="s">
        <v>54</v>
      </c>
      <c r="B31" s="1">
        <v>9</v>
      </c>
      <c r="C31" s="1">
        <v>-1</v>
      </c>
      <c r="D31">
        <v>3</v>
      </c>
      <c r="E31" t="s">
        <v>23</v>
      </c>
      <c r="F31" t="s">
        <v>43</v>
      </c>
      <c r="G31" t="s">
        <v>28</v>
      </c>
      <c r="H31">
        <f>IF(Table_Sales[[#This Row],[profit]]&lt;0,1,0)</f>
        <v>1</v>
      </c>
      <c r="I31" t="str" cm="1">
        <f t="array" ref="I31">_xlfn.IFS(Table_Sales[[#This Row],[quantity]]&lt;=3,"1-3",Table_Sales[[#This Row],[quantity]]&lt;=7,"2-7",Table_Sales[[#This Row],[quantity]]&lt;=10,"8-10",TRUE,"11 and above")</f>
        <v>1-3</v>
      </c>
      <c r="J31" t="str" cm="1">
        <f t="array" ref="J31">_xlfn.IFS(Table_Sales[[#This Row],[amount]]&lt;1000,"Under 1000",Table_Sales[[#This Row],[amount]]&lt;3000,"1000 - 2999",Table_Sales[[#This Row],[amount]]&lt;5000,"3000 - 4999",TRUE,"5000 &amp; above")</f>
        <v>Under 1000</v>
      </c>
      <c r="K31">
        <f>IF(COUNTIFS(INDEX(Table_Sales[order_id],1):Table_Sales[[#This Row],[order_id]],Table_Sales[[#This Row],[order_id]])=1,1,0)</f>
        <v>1</v>
      </c>
      <c r="L3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31" t="str">
        <v>B-25754</v>
      </c>
      <c r="O31" t="str">
        <v>Accessories</v>
      </c>
    </row>
    <row r="32" spans="1:15" x14ac:dyDescent="0.25">
      <c r="A32" t="s">
        <v>55</v>
      </c>
      <c r="B32" s="1">
        <v>1461</v>
      </c>
      <c r="C32" s="1">
        <v>202</v>
      </c>
      <c r="D32">
        <v>5</v>
      </c>
      <c r="E32" t="s">
        <v>12</v>
      </c>
      <c r="F32" t="s">
        <v>45</v>
      </c>
      <c r="G32" t="s">
        <v>14</v>
      </c>
      <c r="H32">
        <f>IF(Table_Sales[[#This Row],[profit]]&lt;0,1,0)</f>
        <v>0</v>
      </c>
      <c r="I32" t="str" cm="1">
        <f t="array" ref="I32">_xlfn.IFS(Table_Sales[[#This Row],[quantity]]&lt;=3,"1-3",Table_Sales[[#This Row],[quantity]]&lt;=7,"2-7",Table_Sales[[#This Row],[quantity]]&lt;=10,"8-10",TRUE,"11 and above")</f>
        <v>2-7</v>
      </c>
      <c r="J32" t="str" cm="1">
        <f t="array" ref="J32">_xlfn.IFS(Table_Sales[[#This Row],[amount]]&lt;1000,"Under 1000",Table_Sales[[#This Row],[amount]]&lt;3000,"1000 - 2999",Table_Sales[[#This Row],[amount]]&lt;5000,"3000 - 4999",TRUE,"5000 &amp; above")</f>
        <v>1000 - 2999</v>
      </c>
      <c r="K32">
        <f>IF(COUNTIFS(INDEX(Table_Sales[order_id],1):Table_Sales[[#This Row],[order_id]],Table_Sales[[#This Row],[order_id]])=1,1,0)</f>
        <v>1</v>
      </c>
      <c r="L3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32" t="str">
        <v>B-26048</v>
      </c>
      <c r="O32" t="str">
        <v>T-shirt</v>
      </c>
    </row>
    <row r="33" spans="1:15" x14ac:dyDescent="0.25">
      <c r="A33" t="s">
        <v>56</v>
      </c>
      <c r="B33" s="1">
        <v>391</v>
      </c>
      <c r="C33" s="1">
        <v>113</v>
      </c>
      <c r="D33">
        <v>8</v>
      </c>
      <c r="E33" t="s">
        <v>23</v>
      </c>
      <c r="F33" t="s">
        <v>57</v>
      </c>
      <c r="G33" t="s">
        <v>10</v>
      </c>
      <c r="H33">
        <f>IF(Table_Sales[[#This Row],[profit]]&lt;0,1,0)</f>
        <v>0</v>
      </c>
      <c r="I33" t="str" cm="1">
        <f t="array" ref="I33">_xlfn.IFS(Table_Sales[[#This Row],[quantity]]&lt;=3,"1-3",Table_Sales[[#This Row],[quantity]]&lt;=7,"2-7",Table_Sales[[#This Row],[quantity]]&lt;=10,"8-10",TRUE,"11 and above")</f>
        <v>8-10</v>
      </c>
      <c r="J33" t="str" cm="1">
        <f t="array" ref="J33">_xlfn.IFS(Table_Sales[[#This Row],[amount]]&lt;1000,"Under 1000",Table_Sales[[#This Row],[amount]]&lt;3000,"1000 - 2999",Table_Sales[[#This Row],[amount]]&lt;5000,"3000 - 4999",TRUE,"5000 &amp; above")</f>
        <v>Under 1000</v>
      </c>
      <c r="K33">
        <f>IF(COUNTIFS(INDEX(Table_Sales[order_id],1):Table_Sales[[#This Row],[order_id]],Table_Sales[[#This Row],[order_id]])=1,1,0)</f>
        <v>1</v>
      </c>
      <c r="L3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33" t="str">
        <v>B-25816</v>
      </c>
      <c r="O33" t="str">
        <v>Furnishings</v>
      </c>
    </row>
    <row r="34" spans="1:15" x14ac:dyDescent="0.25">
      <c r="A34" t="s">
        <v>58</v>
      </c>
      <c r="B34" s="1">
        <v>1824</v>
      </c>
      <c r="C34" s="1">
        <v>1303</v>
      </c>
      <c r="D34">
        <v>8</v>
      </c>
      <c r="E34" t="s">
        <v>8</v>
      </c>
      <c r="F34" t="s">
        <v>21</v>
      </c>
      <c r="G34" t="s">
        <v>19</v>
      </c>
      <c r="H34">
        <f>IF(Table_Sales[[#This Row],[profit]]&lt;0,1,0)</f>
        <v>0</v>
      </c>
      <c r="I34" t="str" cm="1">
        <f t="array" ref="I34">_xlfn.IFS(Table_Sales[[#This Row],[quantity]]&lt;=3,"1-3",Table_Sales[[#This Row],[quantity]]&lt;=7,"2-7",Table_Sales[[#This Row],[quantity]]&lt;=10,"8-10",TRUE,"11 and above")</f>
        <v>8-10</v>
      </c>
      <c r="J34" t="str" cm="1">
        <f t="array" ref="J34">_xlfn.IFS(Table_Sales[[#This Row],[amount]]&lt;1000,"Under 1000",Table_Sales[[#This Row],[amount]]&lt;3000,"1000 - 2999",Table_Sales[[#This Row],[amount]]&lt;5000,"3000 - 4999",TRUE,"5000 &amp; above")</f>
        <v>1000 - 2999</v>
      </c>
      <c r="K34">
        <f>IF(COUNTIFS(INDEX(Table_Sales[order_id],1):Table_Sales[[#This Row],[order_id]],Table_Sales[[#This Row],[order_id]])=1,1,0)</f>
        <v>1</v>
      </c>
      <c r="L3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34" t="str">
        <v>B-26022</v>
      </c>
      <c r="O34" t="str">
        <v>Shirt</v>
      </c>
    </row>
    <row r="35" spans="1:15" x14ac:dyDescent="0.25">
      <c r="A35" t="s">
        <v>59</v>
      </c>
      <c r="B35" s="1">
        <v>16</v>
      </c>
      <c r="C35" s="1">
        <v>-15</v>
      </c>
      <c r="D35">
        <v>4</v>
      </c>
      <c r="E35" t="s">
        <v>23</v>
      </c>
      <c r="F35" t="s">
        <v>30</v>
      </c>
      <c r="G35" t="s">
        <v>28</v>
      </c>
      <c r="H35">
        <f>IF(Table_Sales[[#This Row],[profit]]&lt;0,1,0)</f>
        <v>1</v>
      </c>
      <c r="I35" t="str" cm="1">
        <f t="array" ref="I35">_xlfn.IFS(Table_Sales[[#This Row],[quantity]]&lt;=3,"1-3",Table_Sales[[#This Row],[quantity]]&lt;=7,"2-7",Table_Sales[[#This Row],[quantity]]&lt;=10,"8-10",TRUE,"11 and above")</f>
        <v>2-7</v>
      </c>
      <c r="J35" t="str" cm="1">
        <f t="array" ref="J35">_xlfn.IFS(Table_Sales[[#This Row],[amount]]&lt;1000,"Under 1000",Table_Sales[[#This Row],[amount]]&lt;3000,"1000 - 2999",Table_Sales[[#This Row],[amount]]&lt;5000,"3000 - 4999",TRUE,"5000 &amp; above")</f>
        <v>Under 1000</v>
      </c>
      <c r="K35">
        <f>IF(COUNTIFS(INDEX(Table_Sales[order_id],1):Table_Sales[[#This Row],[order_id]],Table_Sales[[#This Row],[order_id]])=1,1,0)</f>
        <v>1</v>
      </c>
      <c r="L3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35" t="str">
        <v>B-25883</v>
      </c>
    </row>
    <row r="36" spans="1:15" x14ac:dyDescent="0.25">
      <c r="A36" t="s">
        <v>60</v>
      </c>
      <c r="B36" s="1">
        <v>1745</v>
      </c>
      <c r="C36" s="1">
        <v>122</v>
      </c>
      <c r="D36">
        <v>2</v>
      </c>
      <c r="E36" t="s">
        <v>12</v>
      </c>
      <c r="F36" t="s">
        <v>45</v>
      </c>
      <c r="G36" t="s">
        <v>19</v>
      </c>
      <c r="H36">
        <f>IF(Table_Sales[[#This Row],[profit]]&lt;0,1,0)</f>
        <v>0</v>
      </c>
      <c r="I36" t="str" cm="1">
        <f t="array" ref="I36">_xlfn.IFS(Table_Sales[[#This Row],[quantity]]&lt;=3,"1-3",Table_Sales[[#This Row],[quantity]]&lt;=7,"2-7",Table_Sales[[#This Row],[quantity]]&lt;=10,"8-10",TRUE,"11 and above")</f>
        <v>1-3</v>
      </c>
      <c r="J36" t="str" cm="1">
        <f t="array" ref="J36">_xlfn.IFS(Table_Sales[[#This Row],[amount]]&lt;1000,"Under 1000",Table_Sales[[#This Row],[amount]]&lt;3000,"1000 - 2999",Table_Sales[[#This Row],[amount]]&lt;5000,"3000 - 4999",TRUE,"5000 &amp; above")</f>
        <v>1000 - 2999</v>
      </c>
      <c r="K36">
        <f>IF(COUNTIFS(INDEX(Table_Sales[order_id],1):Table_Sales[[#This Row],[order_id]],Table_Sales[[#This Row],[order_id]])=1,1,0)</f>
        <v>1</v>
      </c>
      <c r="L3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36" t="str">
        <v>B-26003</v>
      </c>
    </row>
    <row r="37" spans="1:15" x14ac:dyDescent="0.25">
      <c r="A37" t="s">
        <v>61</v>
      </c>
      <c r="B37" s="1">
        <v>663</v>
      </c>
      <c r="C37" s="1">
        <v>-212</v>
      </c>
      <c r="D37">
        <v>5</v>
      </c>
      <c r="E37" t="s">
        <v>8</v>
      </c>
      <c r="F37" t="s">
        <v>18</v>
      </c>
      <c r="G37" t="s">
        <v>28</v>
      </c>
      <c r="H37">
        <f>IF(Table_Sales[[#This Row],[profit]]&lt;0,1,0)</f>
        <v>1</v>
      </c>
      <c r="I37" t="str" cm="1">
        <f t="array" ref="I37">_xlfn.IFS(Table_Sales[[#This Row],[quantity]]&lt;=3,"1-3",Table_Sales[[#This Row],[quantity]]&lt;=7,"2-7",Table_Sales[[#This Row],[quantity]]&lt;=10,"8-10",TRUE,"11 and above")</f>
        <v>2-7</v>
      </c>
      <c r="J37" t="str" cm="1">
        <f t="array" ref="J37">_xlfn.IFS(Table_Sales[[#This Row],[amount]]&lt;1000,"Under 1000",Table_Sales[[#This Row],[amount]]&lt;3000,"1000 - 2999",Table_Sales[[#This Row],[amount]]&lt;5000,"3000 - 4999",TRUE,"5000 &amp; above")</f>
        <v>Under 1000</v>
      </c>
      <c r="K37">
        <f>IF(COUNTIFS(INDEX(Table_Sales[order_id],1):Table_Sales[[#This Row],[order_id]],Table_Sales[[#This Row],[order_id]])=1,1,0)</f>
        <v>1</v>
      </c>
      <c r="L3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37" t="str">
        <v>B-26097</v>
      </c>
    </row>
    <row r="38" spans="1:15" x14ac:dyDescent="0.25">
      <c r="A38" t="s">
        <v>62</v>
      </c>
      <c r="B38" s="1">
        <v>10</v>
      </c>
      <c r="C38" s="1">
        <v>-1</v>
      </c>
      <c r="D38">
        <v>1</v>
      </c>
      <c r="E38" t="s">
        <v>23</v>
      </c>
      <c r="F38" t="s">
        <v>63</v>
      </c>
      <c r="G38" t="s">
        <v>28</v>
      </c>
      <c r="H38">
        <f>IF(Table_Sales[[#This Row],[profit]]&lt;0,1,0)</f>
        <v>1</v>
      </c>
      <c r="I38" t="str" cm="1">
        <f t="array" ref="I38">_xlfn.IFS(Table_Sales[[#This Row],[quantity]]&lt;=3,"1-3",Table_Sales[[#This Row],[quantity]]&lt;=7,"2-7",Table_Sales[[#This Row],[quantity]]&lt;=10,"8-10",TRUE,"11 and above")</f>
        <v>1-3</v>
      </c>
      <c r="J38" t="str" cm="1">
        <f t="array" ref="J38">_xlfn.IFS(Table_Sales[[#This Row],[amount]]&lt;1000,"Under 1000",Table_Sales[[#This Row],[amount]]&lt;3000,"1000 - 2999",Table_Sales[[#This Row],[amount]]&lt;5000,"3000 - 4999",TRUE,"5000 &amp; above")</f>
        <v>Under 1000</v>
      </c>
      <c r="K38">
        <f>IF(COUNTIFS(INDEX(Table_Sales[order_id],1):Table_Sales[[#This Row],[order_id]],Table_Sales[[#This Row],[order_id]])=1,1,0)</f>
        <v>1</v>
      </c>
      <c r="L3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38" t="str">
        <v>B-25710</v>
      </c>
    </row>
    <row r="39" spans="1:15" x14ac:dyDescent="0.25">
      <c r="A39" t="s">
        <v>64</v>
      </c>
      <c r="B39" s="1">
        <v>1630</v>
      </c>
      <c r="C39" s="1">
        <v>802</v>
      </c>
      <c r="D39">
        <v>5</v>
      </c>
      <c r="E39" t="s">
        <v>12</v>
      </c>
      <c r="F39" t="s">
        <v>45</v>
      </c>
      <c r="G39" t="s">
        <v>14</v>
      </c>
      <c r="H39">
        <f>IF(Table_Sales[[#This Row],[profit]]&lt;0,1,0)</f>
        <v>0</v>
      </c>
      <c r="I39" t="str" cm="1">
        <f t="array" ref="I39">_xlfn.IFS(Table_Sales[[#This Row],[quantity]]&lt;=3,"1-3",Table_Sales[[#This Row],[quantity]]&lt;=7,"2-7",Table_Sales[[#This Row],[quantity]]&lt;=10,"8-10",TRUE,"11 and above")</f>
        <v>2-7</v>
      </c>
      <c r="J39" t="str" cm="1">
        <f t="array" ref="J39">_xlfn.IFS(Table_Sales[[#This Row],[amount]]&lt;1000,"Under 1000",Table_Sales[[#This Row],[amount]]&lt;3000,"1000 - 2999",Table_Sales[[#This Row],[amount]]&lt;5000,"3000 - 4999",TRUE,"5000 &amp; above")</f>
        <v>1000 - 2999</v>
      </c>
      <c r="K39">
        <f>IF(COUNTIFS(INDEX(Table_Sales[order_id],1):Table_Sales[[#This Row],[order_id]],Table_Sales[[#This Row],[order_id]])=1,1,0)</f>
        <v>1</v>
      </c>
      <c r="L3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39" t="str">
        <v>B-25797</v>
      </c>
    </row>
    <row r="40" spans="1:15" x14ac:dyDescent="0.25">
      <c r="A40" t="s">
        <v>65</v>
      </c>
      <c r="B40" s="1">
        <v>12</v>
      </c>
      <c r="C40" s="1">
        <v>0</v>
      </c>
      <c r="D40">
        <v>2</v>
      </c>
      <c r="E40" t="s">
        <v>23</v>
      </c>
      <c r="F40" t="s">
        <v>30</v>
      </c>
      <c r="G40" t="s">
        <v>28</v>
      </c>
      <c r="H40">
        <f>IF(Table_Sales[[#This Row],[profit]]&lt;0,1,0)</f>
        <v>0</v>
      </c>
      <c r="I40" t="str" cm="1">
        <f t="array" ref="I40">_xlfn.IFS(Table_Sales[[#This Row],[quantity]]&lt;=3,"1-3",Table_Sales[[#This Row],[quantity]]&lt;=7,"2-7",Table_Sales[[#This Row],[quantity]]&lt;=10,"8-10",TRUE,"11 and above")</f>
        <v>1-3</v>
      </c>
      <c r="J40" t="str" cm="1">
        <f t="array" ref="J40">_xlfn.IFS(Table_Sales[[#This Row],[amount]]&lt;1000,"Under 1000",Table_Sales[[#This Row],[amount]]&lt;3000,"1000 - 2999",Table_Sales[[#This Row],[amount]]&lt;5000,"3000 - 4999",TRUE,"5000 &amp; above")</f>
        <v>Under 1000</v>
      </c>
      <c r="K40">
        <f>IF(COUNTIFS(INDEX(Table_Sales[order_id],1):Table_Sales[[#This Row],[order_id]],Table_Sales[[#This Row],[order_id]])=1,1,0)</f>
        <v>1</v>
      </c>
      <c r="L4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40" t="str">
        <v>B-25618</v>
      </c>
    </row>
    <row r="41" spans="1:15" x14ac:dyDescent="0.25">
      <c r="A41" t="s">
        <v>66</v>
      </c>
      <c r="B41" s="1">
        <v>12</v>
      </c>
      <c r="C41" s="1">
        <v>-7</v>
      </c>
      <c r="D41">
        <v>2</v>
      </c>
      <c r="E41" t="s">
        <v>23</v>
      </c>
      <c r="F41" t="s">
        <v>63</v>
      </c>
      <c r="G41" t="s">
        <v>28</v>
      </c>
      <c r="H41">
        <f>IF(Table_Sales[[#This Row],[profit]]&lt;0,1,0)</f>
        <v>1</v>
      </c>
      <c r="I41" t="str" cm="1">
        <f t="array" ref="I41">_xlfn.IFS(Table_Sales[[#This Row],[quantity]]&lt;=3,"1-3",Table_Sales[[#This Row],[quantity]]&lt;=7,"2-7",Table_Sales[[#This Row],[quantity]]&lt;=10,"8-10",TRUE,"11 and above")</f>
        <v>1-3</v>
      </c>
      <c r="J41" t="str" cm="1">
        <f t="array" ref="J41">_xlfn.IFS(Table_Sales[[#This Row],[amount]]&lt;1000,"Under 1000",Table_Sales[[#This Row],[amount]]&lt;3000,"1000 - 2999",Table_Sales[[#This Row],[amount]]&lt;5000,"3000 - 4999",TRUE,"5000 &amp; above")</f>
        <v>Under 1000</v>
      </c>
      <c r="K41">
        <f>IF(COUNTIFS(INDEX(Table_Sales[order_id],1):Table_Sales[[#This Row],[order_id]],Table_Sales[[#This Row],[order_id]])=1,1,0)</f>
        <v>1</v>
      </c>
      <c r="L4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41" t="str">
        <v>B-25723</v>
      </c>
    </row>
    <row r="42" spans="1:15" x14ac:dyDescent="0.25">
      <c r="A42" t="s">
        <v>67</v>
      </c>
      <c r="B42" s="1">
        <v>1709</v>
      </c>
      <c r="C42" s="1">
        <v>564</v>
      </c>
      <c r="D42">
        <v>3</v>
      </c>
      <c r="E42" t="s">
        <v>23</v>
      </c>
      <c r="F42" t="s">
        <v>24</v>
      </c>
      <c r="G42" t="s">
        <v>19</v>
      </c>
      <c r="H42">
        <f>IF(Table_Sales[[#This Row],[profit]]&lt;0,1,0)</f>
        <v>0</v>
      </c>
      <c r="I42" t="str" cm="1">
        <f t="array" ref="I42">_xlfn.IFS(Table_Sales[[#This Row],[quantity]]&lt;=3,"1-3",Table_Sales[[#This Row],[quantity]]&lt;=7,"2-7",Table_Sales[[#This Row],[quantity]]&lt;=10,"8-10",TRUE,"11 and above")</f>
        <v>1-3</v>
      </c>
      <c r="J42" t="str" cm="1">
        <f t="array" ref="J42">_xlfn.IFS(Table_Sales[[#This Row],[amount]]&lt;1000,"Under 1000",Table_Sales[[#This Row],[amount]]&lt;3000,"1000 - 2999",Table_Sales[[#This Row],[amount]]&lt;5000,"3000 - 4999",TRUE,"5000 &amp; above")</f>
        <v>1000 - 2999</v>
      </c>
      <c r="K42">
        <f>IF(COUNTIFS(INDEX(Table_Sales[order_id],1):Table_Sales[[#This Row],[order_id]],Table_Sales[[#This Row],[order_id]])=1,1,0)</f>
        <v>1</v>
      </c>
      <c r="L4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42" t="str">
        <v>B-25755</v>
      </c>
    </row>
    <row r="43" spans="1:15" x14ac:dyDescent="0.25">
      <c r="A43" t="s">
        <v>68</v>
      </c>
      <c r="B43" s="1">
        <v>12</v>
      </c>
      <c r="C43" s="1">
        <v>3</v>
      </c>
      <c r="D43">
        <v>1</v>
      </c>
      <c r="E43" t="s">
        <v>23</v>
      </c>
      <c r="F43" t="s">
        <v>57</v>
      </c>
      <c r="G43" t="s">
        <v>28</v>
      </c>
      <c r="H43">
        <f>IF(Table_Sales[[#This Row],[profit]]&lt;0,1,0)</f>
        <v>0</v>
      </c>
      <c r="I43" t="str" cm="1">
        <f t="array" ref="I43">_xlfn.IFS(Table_Sales[[#This Row],[quantity]]&lt;=3,"1-3",Table_Sales[[#This Row],[quantity]]&lt;=7,"2-7",Table_Sales[[#This Row],[quantity]]&lt;=10,"8-10",TRUE,"11 and above")</f>
        <v>1-3</v>
      </c>
      <c r="J43" t="str" cm="1">
        <f t="array" ref="J43">_xlfn.IFS(Table_Sales[[#This Row],[amount]]&lt;1000,"Under 1000",Table_Sales[[#This Row],[amount]]&lt;3000,"1000 - 2999",Table_Sales[[#This Row],[amount]]&lt;5000,"3000 - 4999",TRUE,"5000 &amp; above")</f>
        <v>Under 1000</v>
      </c>
      <c r="K43">
        <f>IF(COUNTIFS(INDEX(Table_Sales[order_id],1):Table_Sales[[#This Row],[order_id]],Table_Sales[[#This Row],[order_id]])=1,1,0)</f>
        <v>1</v>
      </c>
      <c r="L4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43" t="str">
        <v>B-25788</v>
      </c>
    </row>
    <row r="44" spans="1:15" x14ac:dyDescent="0.25">
      <c r="A44" t="s">
        <v>7</v>
      </c>
      <c r="B44" s="1">
        <v>1625</v>
      </c>
      <c r="C44" s="1">
        <v>-77</v>
      </c>
      <c r="D44">
        <v>3</v>
      </c>
      <c r="E44" t="s">
        <v>8</v>
      </c>
      <c r="F44" t="s">
        <v>21</v>
      </c>
      <c r="G44" t="s">
        <v>14</v>
      </c>
      <c r="H44">
        <f>IF(Table_Sales[[#This Row],[profit]]&lt;0,1,0)</f>
        <v>1</v>
      </c>
      <c r="I44" t="str" cm="1">
        <f t="array" ref="I44">_xlfn.IFS(Table_Sales[[#This Row],[quantity]]&lt;=3,"1-3",Table_Sales[[#This Row],[quantity]]&lt;=7,"2-7",Table_Sales[[#This Row],[quantity]]&lt;=10,"8-10",TRUE,"11 and above")</f>
        <v>1-3</v>
      </c>
      <c r="J44" t="str" cm="1">
        <f t="array" ref="J44">_xlfn.IFS(Table_Sales[[#This Row],[amount]]&lt;1000,"Under 1000",Table_Sales[[#This Row],[amount]]&lt;3000,"1000 - 2999",Table_Sales[[#This Row],[amount]]&lt;5000,"3000 - 4999",TRUE,"5000 &amp; above")</f>
        <v>1000 - 2999</v>
      </c>
      <c r="K44">
        <f>IF(COUNTIFS(INDEX(Table_Sales[order_id],1):Table_Sales[[#This Row],[order_id]],Table_Sales[[#This Row],[order_id]])=1,1,0)</f>
        <v>0</v>
      </c>
      <c r="L4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44" t="str">
        <v>B-25991</v>
      </c>
    </row>
    <row r="45" spans="1:15" x14ac:dyDescent="0.25">
      <c r="A45" t="s">
        <v>69</v>
      </c>
      <c r="B45" s="1">
        <v>13</v>
      </c>
      <c r="C45" s="1">
        <v>5</v>
      </c>
      <c r="D45">
        <v>2</v>
      </c>
      <c r="E45" t="s">
        <v>23</v>
      </c>
      <c r="F45" t="s">
        <v>30</v>
      </c>
      <c r="G45" t="s">
        <v>28</v>
      </c>
      <c r="H45">
        <f>IF(Table_Sales[[#This Row],[profit]]&lt;0,1,0)</f>
        <v>0</v>
      </c>
      <c r="I45" t="str" cm="1">
        <f t="array" ref="I45">_xlfn.IFS(Table_Sales[[#This Row],[quantity]]&lt;=3,"1-3",Table_Sales[[#This Row],[quantity]]&lt;=7,"2-7",Table_Sales[[#This Row],[quantity]]&lt;=10,"8-10",TRUE,"11 and above")</f>
        <v>1-3</v>
      </c>
      <c r="J45" t="str" cm="1">
        <f t="array" ref="J45">_xlfn.IFS(Table_Sales[[#This Row],[amount]]&lt;1000,"Under 1000",Table_Sales[[#This Row],[amount]]&lt;3000,"1000 - 2999",Table_Sales[[#This Row],[amount]]&lt;5000,"3000 - 4999",TRUE,"5000 &amp; above")</f>
        <v>Under 1000</v>
      </c>
      <c r="K45">
        <f>IF(COUNTIFS(INDEX(Table_Sales[order_id],1):Table_Sales[[#This Row],[order_id]],Table_Sales[[#This Row],[order_id]])=1,1,0)</f>
        <v>1</v>
      </c>
      <c r="L4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45" t="str">
        <v>B-25779</v>
      </c>
    </row>
    <row r="46" spans="1:15" x14ac:dyDescent="0.25">
      <c r="A46" t="s">
        <v>70</v>
      </c>
      <c r="B46" s="1">
        <v>1361</v>
      </c>
      <c r="C46" s="1">
        <v>980</v>
      </c>
      <c r="D46">
        <v>3</v>
      </c>
      <c r="E46" t="s">
        <v>12</v>
      </c>
      <c r="F46" t="s">
        <v>45</v>
      </c>
      <c r="G46" t="s">
        <v>10</v>
      </c>
      <c r="H46">
        <f>IF(Table_Sales[[#This Row],[profit]]&lt;0,1,0)</f>
        <v>0</v>
      </c>
      <c r="I46" t="str" cm="1">
        <f t="array" ref="I46">_xlfn.IFS(Table_Sales[[#This Row],[quantity]]&lt;=3,"1-3",Table_Sales[[#This Row],[quantity]]&lt;=7,"2-7",Table_Sales[[#This Row],[quantity]]&lt;=10,"8-10",TRUE,"11 and above")</f>
        <v>1-3</v>
      </c>
      <c r="J46" t="str" cm="1">
        <f t="array" ref="J46">_xlfn.IFS(Table_Sales[[#This Row],[amount]]&lt;1000,"Under 1000",Table_Sales[[#This Row],[amount]]&lt;3000,"1000 - 2999",Table_Sales[[#This Row],[amount]]&lt;5000,"3000 - 4999",TRUE,"5000 &amp; above")</f>
        <v>1000 - 2999</v>
      </c>
      <c r="K46">
        <f>IF(COUNTIFS(INDEX(Table_Sales[order_id],1):Table_Sales[[#This Row],[order_id]],Table_Sales[[#This Row],[order_id]])=1,1,0)</f>
        <v>1</v>
      </c>
      <c r="L4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46" t="str">
        <v>B-25909</v>
      </c>
    </row>
    <row r="47" spans="1:15" x14ac:dyDescent="0.25">
      <c r="A47" t="s">
        <v>71</v>
      </c>
      <c r="B47" s="1">
        <v>1622</v>
      </c>
      <c r="C47" s="1">
        <v>-448</v>
      </c>
      <c r="D47">
        <v>3</v>
      </c>
      <c r="E47" t="s">
        <v>8</v>
      </c>
      <c r="F47" t="s">
        <v>21</v>
      </c>
      <c r="G47" t="s">
        <v>14</v>
      </c>
      <c r="H47">
        <f>IF(Table_Sales[[#This Row],[profit]]&lt;0,1,0)</f>
        <v>1</v>
      </c>
      <c r="I47" t="str" cm="1">
        <f t="array" ref="I47">_xlfn.IFS(Table_Sales[[#This Row],[quantity]]&lt;=3,"1-3",Table_Sales[[#This Row],[quantity]]&lt;=7,"2-7",Table_Sales[[#This Row],[quantity]]&lt;=10,"8-10",TRUE,"11 and above")</f>
        <v>1-3</v>
      </c>
      <c r="J47" t="str" cm="1">
        <f t="array" ref="J47">_xlfn.IFS(Table_Sales[[#This Row],[amount]]&lt;1000,"Under 1000",Table_Sales[[#This Row],[amount]]&lt;3000,"1000 - 2999",Table_Sales[[#This Row],[amount]]&lt;5000,"3000 - 4999",TRUE,"5000 &amp; above")</f>
        <v>1000 - 2999</v>
      </c>
      <c r="K47">
        <f>IF(COUNTIFS(INDEX(Table_Sales[order_id],1):Table_Sales[[#This Row],[order_id]],Table_Sales[[#This Row],[order_id]])=1,1,0)</f>
        <v>1</v>
      </c>
      <c r="L4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47" t="str">
        <v>B-25943</v>
      </c>
    </row>
    <row r="48" spans="1:15" x14ac:dyDescent="0.25">
      <c r="A48" t="s">
        <v>72</v>
      </c>
      <c r="B48" s="1">
        <v>1547</v>
      </c>
      <c r="C48" s="1">
        <v>340</v>
      </c>
      <c r="D48">
        <v>6</v>
      </c>
      <c r="E48" t="s">
        <v>8</v>
      </c>
      <c r="F48" t="s">
        <v>73</v>
      </c>
      <c r="G48" t="s">
        <v>14</v>
      </c>
      <c r="H48">
        <f>IF(Table_Sales[[#This Row],[profit]]&lt;0,1,0)</f>
        <v>0</v>
      </c>
      <c r="I48" t="str" cm="1">
        <f t="array" ref="I48">_xlfn.IFS(Table_Sales[[#This Row],[quantity]]&lt;=3,"1-3",Table_Sales[[#This Row],[quantity]]&lt;=7,"2-7",Table_Sales[[#This Row],[quantity]]&lt;=10,"8-10",TRUE,"11 and above")</f>
        <v>2-7</v>
      </c>
      <c r="J48" t="str" cm="1">
        <f t="array" ref="J48">_xlfn.IFS(Table_Sales[[#This Row],[amount]]&lt;1000,"Under 1000",Table_Sales[[#This Row],[amount]]&lt;3000,"1000 - 2999",Table_Sales[[#This Row],[amount]]&lt;5000,"3000 - 4999",TRUE,"5000 &amp; above")</f>
        <v>1000 - 2999</v>
      </c>
      <c r="K48">
        <f>IF(COUNTIFS(INDEX(Table_Sales[order_id],1):Table_Sales[[#This Row],[order_id]],Table_Sales[[#This Row],[order_id]])=1,1,0)</f>
        <v>1</v>
      </c>
      <c r="L4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48" t="str">
        <v>B-25935</v>
      </c>
    </row>
    <row r="49" spans="1:14" x14ac:dyDescent="0.25">
      <c r="A49" t="s">
        <v>74</v>
      </c>
      <c r="B49" s="1">
        <v>1657</v>
      </c>
      <c r="C49" s="1">
        <v>460</v>
      </c>
      <c r="D49">
        <v>4</v>
      </c>
      <c r="E49" t="s">
        <v>12</v>
      </c>
      <c r="F49" t="s">
        <v>13</v>
      </c>
      <c r="G49" t="s">
        <v>19</v>
      </c>
      <c r="H49">
        <f>IF(Table_Sales[[#This Row],[profit]]&lt;0,1,0)</f>
        <v>0</v>
      </c>
      <c r="I49" t="str" cm="1">
        <f t="array" ref="I49">_xlfn.IFS(Table_Sales[[#This Row],[quantity]]&lt;=3,"1-3",Table_Sales[[#This Row],[quantity]]&lt;=7,"2-7",Table_Sales[[#This Row],[quantity]]&lt;=10,"8-10",TRUE,"11 and above")</f>
        <v>2-7</v>
      </c>
      <c r="J49" t="str" cm="1">
        <f t="array" ref="J49">_xlfn.IFS(Table_Sales[[#This Row],[amount]]&lt;1000,"Under 1000",Table_Sales[[#This Row],[amount]]&lt;3000,"1000 - 2999",Table_Sales[[#This Row],[amount]]&lt;5000,"3000 - 4999",TRUE,"5000 &amp; above")</f>
        <v>1000 - 2999</v>
      </c>
      <c r="K49">
        <f>IF(COUNTIFS(INDEX(Table_Sales[order_id],1):Table_Sales[[#This Row],[order_id]],Table_Sales[[#This Row],[order_id]])=1,1,0)</f>
        <v>1</v>
      </c>
      <c r="L4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49" t="str">
        <v>B-25613</v>
      </c>
    </row>
    <row r="50" spans="1:14" x14ac:dyDescent="0.25">
      <c r="A50" t="s">
        <v>75</v>
      </c>
      <c r="B50" s="1">
        <v>1603</v>
      </c>
      <c r="C50" s="1">
        <v>0</v>
      </c>
      <c r="D50">
        <v>9</v>
      </c>
      <c r="E50" t="s">
        <v>23</v>
      </c>
      <c r="F50" t="s">
        <v>26</v>
      </c>
      <c r="G50" t="s">
        <v>19</v>
      </c>
      <c r="H50">
        <f>IF(Table_Sales[[#This Row],[profit]]&lt;0,1,0)</f>
        <v>0</v>
      </c>
      <c r="I50" t="str" cm="1">
        <f t="array" ref="I50">_xlfn.IFS(Table_Sales[[#This Row],[quantity]]&lt;=3,"1-3",Table_Sales[[#This Row],[quantity]]&lt;=7,"2-7",Table_Sales[[#This Row],[quantity]]&lt;=10,"8-10",TRUE,"11 and above")</f>
        <v>8-10</v>
      </c>
      <c r="J50" t="str" cm="1">
        <f t="array" ref="J50">_xlfn.IFS(Table_Sales[[#This Row],[amount]]&lt;1000,"Under 1000",Table_Sales[[#This Row],[amount]]&lt;3000,"1000 - 2999",Table_Sales[[#This Row],[amount]]&lt;5000,"3000 - 4999",TRUE,"5000 &amp; above")</f>
        <v>1000 - 2999</v>
      </c>
      <c r="K50">
        <f>IF(COUNTIFS(INDEX(Table_Sales[order_id],1):Table_Sales[[#This Row],[order_id]],Table_Sales[[#This Row],[order_id]])=1,1,0)</f>
        <v>1</v>
      </c>
      <c r="L5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50" t="str">
        <v>B-25729</v>
      </c>
    </row>
    <row r="51" spans="1:14" x14ac:dyDescent="0.25">
      <c r="A51" t="s">
        <v>76</v>
      </c>
      <c r="B51" s="1">
        <v>1549</v>
      </c>
      <c r="C51" s="1">
        <v>-439</v>
      </c>
      <c r="D51">
        <v>4</v>
      </c>
      <c r="E51" t="s">
        <v>8</v>
      </c>
      <c r="F51" t="s">
        <v>21</v>
      </c>
      <c r="G51" t="s">
        <v>19</v>
      </c>
      <c r="H51">
        <f>IF(Table_Sales[[#This Row],[profit]]&lt;0,1,0)</f>
        <v>1</v>
      </c>
      <c r="I51" t="str" cm="1">
        <f t="array" ref="I51">_xlfn.IFS(Table_Sales[[#This Row],[quantity]]&lt;=3,"1-3",Table_Sales[[#This Row],[quantity]]&lt;=7,"2-7",Table_Sales[[#This Row],[quantity]]&lt;=10,"8-10",TRUE,"11 and above")</f>
        <v>2-7</v>
      </c>
      <c r="J51" t="str" cm="1">
        <f t="array" ref="J51">_xlfn.IFS(Table_Sales[[#This Row],[amount]]&lt;1000,"Under 1000",Table_Sales[[#This Row],[amount]]&lt;3000,"1000 - 2999",Table_Sales[[#This Row],[amount]]&lt;5000,"3000 - 4999",TRUE,"5000 &amp; above")</f>
        <v>1000 - 2999</v>
      </c>
      <c r="K51">
        <f>IF(COUNTIFS(INDEX(Table_Sales[order_id],1):Table_Sales[[#This Row],[order_id]],Table_Sales[[#This Row],[order_id]])=1,1,0)</f>
        <v>1</v>
      </c>
      <c r="L5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51" t="str">
        <v>B-25772</v>
      </c>
    </row>
    <row r="52" spans="1:14" x14ac:dyDescent="0.25">
      <c r="A52" t="s">
        <v>77</v>
      </c>
      <c r="B52" s="1">
        <v>1183</v>
      </c>
      <c r="C52" s="1">
        <v>106</v>
      </c>
      <c r="D52">
        <v>4</v>
      </c>
      <c r="E52" t="s">
        <v>8</v>
      </c>
      <c r="F52" t="s">
        <v>18</v>
      </c>
      <c r="G52" t="s">
        <v>14</v>
      </c>
      <c r="H52">
        <f>IF(Table_Sales[[#This Row],[profit]]&lt;0,1,0)</f>
        <v>0</v>
      </c>
      <c r="I52" t="str" cm="1">
        <f t="array" ref="I52">_xlfn.IFS(Table_Sales[[#This Row],[quantity]]&lt;=3,"1-3",Table_Sales[[#This Row],[quantity]]&lt;=7,"2-7",Table_Sales[[#This Row],[quantity]]&lt;=10,"8-10",TRUE,"11 and above")</f>
        <v>2-7</v>
      </c>
      <c r="J52" t="str" cm="1">
        <f t="array" ref="J52">_xlfn.IFS(Table_Sales[[#This Row],[amount]]&lt;1000,"Under 1000",Table_Sales[[#This Row],[amount]]&lt;3000,"1000 - 2999",Table_Sales[[#This Row],[amount]]&lt;5000,"3000 - 4999",TRUE,"5000 &amp; above")</f>
        <v>1000 - 2999</v>
      </c>
      <c r="K52">
        <f>IF(COUNTIFS(INDEX(Table_Sales[order_id],1):Table_Sales[[#This Row],[order_id]],Table_Sales[[#This Row],[order_id]])=1,1,0)</f>
        <v>1</v>
      </c>
      <c r="L5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52" t="str">
        <v>B-25640</v>
      </c>
    </row>
    <row r="53" spans="1:14" x14ac:dyDescent="0.25">
      <c r="A53" t="s">
        <v>38</v>
      </c>
      <c r="B53" s="1">
        <v>74</v>
      </c>
      <c r="C53" s="1">
        <v>-123</v>
      </c>
      <c r="D53">
        <v>8</v>
      </c>
      <c r="E53" t="s">
        <v>23</v>
      </c>
      <c r="F53" t="s">
        <v>43</v>
      </c>
      <c r="G53" t="s">
        <v>28</v>
      </c>
      <c r="H53">
        <f>IF(Table_Sales[[#This Row],[profit]]&lt;0,1,0)</f>
        <v>1</v>
      </c>
      <c r="I53" t="str" cm="1">
        <f t="array" ref="I53">_xlfn.IFS(Table_Sales[[#This Row],[quantity]]&lt;=3,"1-3",Table_Sales[[#This Row],[quantity]]&lt;=7,"2-7",Table_Sales[[#This Row],[quantity]]&lt;=10,"8-10",TRUE,"11 and above")</f>
        <v>8-10</v>
      </c>
      <c r="J53" t="str" cm="1">
        <f t="array" ref="J53">_xlfn.IFS(Table_Sales[[#This Row],[amount]]&lt;1000,"Under 1000",Table_Sales[[#This Row],[amount]]&lt;3000,"1000 - 2999",Table_Sales[[#This Row],[amount]]&lt;5000,"3000 - 4999",TRUE,"5000 &amp; above")</f>
        <v>Under 1000</v>
      </c>
      <c r="K53">
        <f>IF(COUNTIFS(INDEX(Table_Sales[order_id],1):Table_Sales[[#This Row],[order_id]],Table_Sales[[#This Row],[order_id]])=1,1,0)</f>
        <v>0</v>
      </c>
      <c r="L5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53" t="str">
        <v>B-25810</v>
      </c>
    </row>
    <row r="54" spans="1:14" x14ac:dyDescent="0.25">
      <c r="A54" t="s">
        <v>78</v>
      </c>
      <c r="B54" s="1">
        <v>1499</v>
      </c>
      <c r="C54" s="1">
        <v>239</v>
      </c>
      <c r="D54">
        <v>13</v>
      </c>
      <c r="E54" t="s">
        <v>23</v>
      </c>
      <c r="F54" t="s">
        <v>26</v>
      </c>
      <c r="G54" t="s">
        <v>19</v>
      </c>
      <c r="H54">
        <f>IF(Table_Sales[[#This Row],[profit]]&lt;0,1,0)</f>
        <v>0</v>
      </c>
      <c r="I54" t="str" cm="1">
        <f t="array" ref="I54">_xlfn.IFS(Table_Sales[[#This Row],[quantity]]&lt;=3,"1-3",Table_Sales[[#This Row],[quantity]]&lt;=7,"2-7",Table_Sales[[#This Row],[quantity]]&lt;=10,"8-10",TRUE,"11 and above")</f>
        <v>11 and above</v>
      </c>
      <c r="J54" t="str" cm="1">
        <f t="array" ref="J54">_xlfn.IFS(Table_Sales[[#This Row],[amount]]&lt;1000,"Under 1000",Table_Sales[[#This Row],[amount]]&lt;3000,"1000 - 2999",Table_Sales[[#This Row],[amount]]&lt;5000,"3000 - 4999",TRUE,"5000 &amp; above")</f>
        <v>1000 - 2999</v>
      </c>
      <c r="K54">
        <f>IF(COUNTIFS(INDEX(Table_Sales[order_id],1):Table_Sales[[#This Row],[order_id]],Table_Sales[[#This Row],[order_id]])=1,1,0)</f>
        <v>1</v>
      </c>
      <c r="L5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54" t="str">
        <v>B-25801</v>
      </c>
    </row>
    <row r="55" spans="1:14" x14ac:dyDescent="0.25">
      <c r="A55" t="s">
        <v>79</v>
      </c>
      <c r="B55" s="1">
        <v>1120</v>
      </c>
      <c r="C55" s="1">
        <v>199</v>
      </c>
      <c r="D55">
        <v>6</v>
      </c>
      <c r="E55" t="s">
        <v>23</v>
      </c>
      <c r="F55" t="s">
        <v>26</v>
      </c>
      <c r="G55" t="s">
        <v>14</v>
      </c>
      <c r="H55">
        <f>IF(Table_Sales[[#This Row],[profit]]&lt;0,1,0)</f>
        <v>0</v>
      </c>
      <c r="I55" t="str" cm="1">
        <f t="array" ref="I55">_xlfn.IFS(Table_Sales[[#This Row],[quantity]]&lt;=3,"1-3",Table_Sales[[#This Row],[quantity]]&lt;=7,"2-7",Table_Sales[[#This Row],[quantity]]&lt;=10,"8-10",TRUE,"11 and above")</f>
        <v>2-7</v>
      </c>
      <c r="J55" t="str" cm="1">
        <f t="array" ref="J55">_xlfn.IFS(Table_Sales[[#This Row],[amount]]&lt;1000,"Under 1000",Table_Sales[[#This Row],[amount]]&lt;3000,"1000 - 2999",Table_Sales[[#This Row],[amount]]&lt;5000,"3000 - 4999",TRUE,"5000 &amp; above")</f>
        <v>1000 - 2999</v>
      </c>
      <c r="K55">
        <f>IF(COUNTIFS(INDEX(Table_Sales[order_id],1):Table_Sales[[#This Row],[order_id]],Table_Sales[[#This Row],[order_id]])=1,1,0)</f>
        <v>1</v>
      </c>
      <c r="L5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55" t="str">
        <v>B-26085</v>
      </c>
    </row>
    <row r="56" spans="1:14" x14ac:dyDescent="0.25">
      <c r="A56" t="s">
        <v>80</v>
      </c>
      <c r="B56" s="1">
        <v>15</v>
      </c>
      <c r="C56" s="1">
        <v>-2</v>
      </c>
      <c r="D56">
        <v>1</v>
      </c>
      <c r="E56" t="s">
        <v>23</v>
      </c>
      <c r="F56" t="s">
        <v>81</v>
      </c>
      <c r="G56" t="s">
        <v>82</v>
      </c>
      <c r="H56">
        <f>IF(Table_Sales[[#This Row],[profit]]&lt;0,1,0)</f>
        <v>1</v>
      </c>
      <c r="I56" t="str" cm="1">
        <f t="array" ref="I56">_xlfn.IFS(Table_Sales[[#This Row],[quantity]]&lt;=3,"1-3",Table_Sales[[#This Row],[quantity]]&lt;=7,"2-7",Table_Sales[[#This Row],[quantity]]&lt;=10,"8-10",TRUE,"11 and above")</f>
        <v>1-3</v>
      </c>
      <c r="J56" t="str" cm="1">
        <f t="array" ref="J56">_xlfn.IFS(Table_Sales[[#This Row],[amount]]&lt;1000,"Under 1000",Table_Sales[[#This Row],[amount]]&lt;3000,"1000 - 2999",Table_Sales[[#This Row],[amount]]&lt;5000,"3000 - 4999",TRUE,"5000 &amp; above")</f>
        <v>Under 1000</v>
      </c>
      <c r="K56">
        <f>IF(COUNTIFS(INDEX(Table_Sales[order_id],1):Table_Sales[[#This Row],[order_id]],Table_Sales[[#This Row],[order_id]])=1,1,0)</f>
        <v>1</v>
      </c>
      <c r="L5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56" t="str">
        <v>B-25868</v>
      </c>
    </row>
    <row r="57" spans="1:14" x14ac:dyDescent="0.25">
      <c r="A57" t="s">
        <v>83</v>
      </c>
      <c r="B57" s="1">
        <v>1487</v>
      </c>
      <c r="C57" s="1">
        <v>624</v>
      </c>
      <c r="D57">
        <v>3</v>
      </c>
      <c r="E57" t="s">
        <v>23</v>
      </c>
      <c r="F57" t="s">
        <v>24</v>
      </c>
      <c r="G57" t="s">
        <v>19</v>
      </c>
      <c r="H57">
        <f>IF(Table_Sales[[#This Row],[profit]]&lt;0,1,0)</f>
        <v>0</v>
      </c>
      <c r="I57" t="str" cm="1">
        <f t="array" ref="I57">_xlfn.IFS(Table_Sales[[#This Row],[quantity]]&lt;=3,"1-3",Table_Sales[[#This Row],[quantity]]&lt;=7,"2-7",Table_Sales[[#This Row],[quantity]]&lt;=10,"8-10",TRUE,"11 and above")</f>
        <v>1-3</v>
      </c>
      <c r="J57" t="str" cm="1">
        <f t="array" ref="J57">_xlfn.IFS(Table_Sales[[#This Row],[amount]]&lt;1000,"Under 1000",Table_Sales[[#This Row],[amount]]&lt;3000,"1000 - 2999",Table_Sales[[#This Row],[amount]]&lt;5000,"3000 - 4999",TRUE,"5000 &amp; above")</f>
        <v>1000 - 2999</v>
      </c>
      <c r="K57">
        <f>IF(COUNTIFS(INDEX(Table_Sales[order_id],1):Table_Sales[[#This Row],[order_id]],Table_Sales[[#This Row],[order_id]])=1,1,0)</f>
        <v>1</v>
      </c>
      <c r="L5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57" t="str">
        <v>B-25714</v>
      </c>
    </row>
    <row r="58" spans="1:14" x14ac:dyDescent="0.25">
      <c r="A58" t="s">
        <v>84</v>
      </c>
      <c r="B58" s="1">
        <v>1118</v>
      </c>
      <c r="C58" s="1">
        <v>206</v>
      </c>
      <c r="D58">
        <v>2</v>
      </c>
      <c r="E58" t="s">
        <v>12</v>
      </c>
      <c r="F58" t="s">
        <v>45</v>
      </c>
      <c r="G58" t="s">
        <v>19</v>
      </c>
      <c r="H58">
        <f>IF(Table_Sales[[#This Row],[profit]]&lt;0,1,0)</f>
        <v>0</v>
      </c>
      <c r="I58" t="str" cm="1">
        <f t="array" ref="I58">_xlfn.IFS(Table_Sales[[#This Row],[quantity]]&lt;=3,"1-3",Table_Sales[[#This Row],[quantity]]&lt;=7,"2-7",Table_Sales[[#This Row],[quantity]]&lt;=10,"8-10",TRUE,"11 and above")</f>
        <v>1-3</v>
      </c>
      <c r="J58" t="str" cm="1">
        <f t="array" ref="J58">_xlfn.IFS(Table_Sales[[#This Row],[amount]]&lt;1000,"Under 1000",Table_Sales[[#This Row],[amount]]&lt;3000,"1000 - 2999",Table_Sales[[#This Row],[amount]]&lt;5000,"3000 - 4999",TRUE,"5000 &amp; above")</f>
        <v>1000 - 2999</v>
      </c>
      <c r="K58">
        <f>IF(COUNTIFS(INDEX(Table_Sales[order_id],1):Table_Sales[[#This Row],[order_id]],Table_Sales[[#This Row],[order_id]])=1,1,0)</f>
        <v>1</v>
      </c>
      <c r="L5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58" t="str">
        <v>B-25784</v>
      </c>
    </row>
    <row r="59" spans="1:14" x14ac:dyDescent="0.25">
      <c r="A59" t="s">
        <v>85</v>
      </c>
      <c r="B59" s="1">
        <v>11</v>
      </c>
      <c r="C59" s="1">
        <v>-5</v>
      </c>
      <c r="D59">
        <v>2</v>
      </c>
      <c r="E59" t="s">
        <v>23</v>
      </c>
      <c r="F59" t="s">
        <v>30</v>
      </c>
      <c r="G59" t="s">
        <v>10</v>
      </c>
      <c r="H59">
        <f>IF(Table_Sales[[#This Row],[profit]]&lt;0,1,0)</f>
        <v>1</v>
      </c>
      <c r="I59" t="str" cm="1">
        <f t="array" ref="I59">_xlfn.IFS(Table_Sales[[#This Row],[quantity]]&lt;=3,"1-3",Table_Sales[[#This Row],[quantity]]&lt;=7,"2-7",Table_Sales[[#This Row],[quantity]]&lt;=10,"8-10",TRUE,"11 and above")</f>
        <v>1-3</v>
      </c>
      <c r="J59" t="str" cm="1">
        <f t="array" ref="J59">_xlfn.IFS(Table_Sales[[#This Row],[amount]]&lt;1000,"Under 1000",Table_Sales[[#This Row],[amount]]&lt;3000,"1000 - 2999",Table_Sales[[#This Row],[amount]]&lt;5000,"3000 - 4999",TRUE,"5000 &amp; above")</f>
        <v>Under 1000</v>
      </c>
      <c r="K59">
        <f>IF(COUNTIFS(INDEX(Table_Sales[order_id],1):Table_Sales[[#This Row],[order_id]],Table_Sales[[#This Row],[order_id]])=1,1,0)</f>
        <v>1</v>
      </c>
      <c r="L5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59" t="str">
        <v>B-25608</v>
      </c>
    </row>
    <row r="60" spans="1:14" x14ac:dyDescent="0.25">
      <c r="A60" t="s">
        <v>86</v>
      </c>
      <c r="B60" s="1">
        <v>15</v>
      </c>
      <c r="C60" s="1">
        <v>4</v>
      </c>
      <c r="D60">
        <v>1</v>
      </c>
      <c r="E60" t="s">
        <v>23</v>
      </c>
      <c r="F60" t="s">
        <v>30</v>
      </c>
      <c r="G60" t="s">
        <v>82</v>
      </c>
      <c r="H60">
        <f>IF(Table_Sales[[#This Row],[profit]]&lt;0,1,0)</f>
        <v>0</v>
      </c>
      <c r="I60" t="str" cm="1">
        <f t="array" ref="I60">_xlfn.IFS(Table_Sales[[#This Row],[quantity]]&lt;=3,"1-3",Table_Sales[[#This Row],[quantity]]&lt;=7,"2-7",Table_Sales[[#This Row],[quantity]]&lt;=10,"8-10",TRUE,"11 and above")</f>
        <v>1-3</v>
      </c>
      <c r="J60" t="str" cm="1">
        <f t="array" ref="J60">_xlfn.IFS(Table_Sales[[#This Row],[amount]]&lt;1000,"Under 1000",Table_Sales[[#This Row],[amount]]&lt;3000,"1000 - 2999",Table_Sales[[#This Row],[amount]]&lt;5000,"3000 - 4999",TRUE,"5000 &amp; above")</f>
        <v>Under 1000</v>
      </c>
      <c r="K60">
        <f>IF(COUNTIFS(INDEX(Table_Sales[order_id],1):Table_Sales[[#This Row],[order_id]],Table_Sales[[#This Row],[order_id]])=1,1,0)</f>
        <v>1</v>
      </c>
      <c r="L6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60" t="str">
        <v>B-26051</v>
      </c>
    </row>
    <row r="61" spans="1:14" x14ac:dyDescent="0.25">
      <c r="A61" t="s">
        <v>87</v>
      </c>
      <c r="B61" s="1">
        <v>1364</v>
      </c>
      <c r="C61" s="1">
        <v>1864</v>
      </c>
      <c r="D61">
        <v>5</v>
      </c>
      <c r="E61" t="s">
        <v>12</v>
      </c>
      <c r="F61" t="s">
        <v>45</v>
      </c>
      <c r="G61" t="s">
        <v>19</v>
      </c>
      <c r="H61">
        <f>IF(Table_Sales[[#This Row],[profit]]&lt;0,1,0)</f>
        <v>0</v>
      </c>
      <c r="I61" t="str" cm="1">
        <f t="array" ref="I61">_xlfn.IFS(Table_Sales[[#This Row],[quantity]]&lt;=3,"1-3",Table_Sales[[#This Row],[quantity]]&lt;=7,"2-7",Table_Sales[[#This Row],[quantity]]&lt;=10,"8-10",TRUE,"11 and above")</f>
        <v>2-7</v>
      </c>
      <c r="J61" t="str" cm="1">
        <f t="array" ref="J61">_xlfn.IFS(Table_Sales[[#This Row],[amount]]&lt;1000,"Under 1000",Table_Sales[[#This Row],[amount]]&lt;3000,"1000 - 2999",Table_Sales[[#This Row],[amount]]&lt;5000,"3000 - 4999",TRUE,"5000 &amp; above")</f>
        <v>1000 - 2999</v>
      </c>
      <c r="K61">
        <f>IF(COUNTIFS(INDEX(Table_Sales[order_id],1):Table_Sales[[#This Row],[order_id]],Table_Sales[[#This Row],[order_id]])=1,1,0)</f>
        <v>1</v>
      </c>
      <c r="L6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0</v>
      </c>
      <c r="N61" t="str">
        <v>B-25900</v>
      </c>
    </row>
    <row r="62" spans="1:14" x14ac:dyDescent="0.25">
      <c r="A62" t="s">
        <v>88</v>
      </c>
      <c r="B62" s="1">
        <v>1337</v>
      </c>
      <c r="C62" s="1">
        <v>147</v>
      </c>
      <c r="D62">
        <v>7</v>
      </c>
      <c r="E62" t="s">
        <v>8</v>
      </c>
      <c r="F62" t="s">
        <v>18</v>
      </c>
      <c r="G62" t="s">
        <v>19</v>
      </c>
      <c r="H62">
        <f>IF(Table_Sales[[#This Row],[profit]]&lt;0,1,0)</f>
        <v>0</v>
      </c>
      <c r="I62" t="str" cm="1">
        <f t="array" ref="I62">_xlfn.IFS(Table_Sales[[#This Row],[quantity]]&lt;=3,"1-3",Table_Sales[[#This Row],[quantity]]&lt;=7,"2-7",Table_Sales[[#This Row],[quantity]]&lt;=10,"8-10",TRUE,"11 and above")</f>
        <v>2-7</v>
      </c>
      <c r="J62" t="str" cm="1">
        <f t="array" ref="J62">_xlfn.IFS(Table_Sales[[#This Row],[amount]]&lt;1000,"Under 1000",Table_Sales[[#This Row],[amount]]&lt;3000,"1000 - 2999",Table_Sales[[#This Row],[amount]]&lt;5000,"3000 - 4999",TRUE,"5000 &amp; above")</f>
        <v>1000 - 2999</v>
      </c>
      <c r="K62">
        <f>IF(COUNTIFS(INDEX(Table_Sales[order_id],1):Table_Sales[[#This Row],[order_id]],Table_Sales[[#This Row],[order_id]])=1,1,0)</f>
        <v>1</v>
      </c>
      <c r="L6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62" t="str">
        <v>B-25760</v>
      </c>
    </row>
    <row r="63" spans="1:14" x14ac:dyDescent="0.25">
      <c r="A63" t="s">
        <v>89</v>
      </c>
      <c r="B63" s="1">
        <v>15</v>
      </c>
      <c r="C63" s="1">
        <v>2</v>
      </c>
      <c r="D63">
        <v>1</v>
      </c>
      <c r="E63" t="s">
        <v>23</v>
      </c>
      <c r="F63" t="s">
        <v>63</v>
      </c>
      <c r="G63" t="s">
        <v>82</v>
      </c>
      <c r="H63">
        <f>IF(Table_Sales[[#This Row],[profit]]&lt;0,1,0)</f>
        <v>0</v>
      </c>
      <c r="I63" t="str" cm="1">
        <f t="array" ref="I63">_xlfn.IFS(Table_Sales[[#This Row],[quantity]]&lt;=3,"1-3",Table_Sales[[#This Row],[quantity]]&lt;=7,"2-7",Table_Sales[[#This Row],[quantity]]&lt;=10,"8-10",TRUE,"11 and above")</f>
        <v>1-3</v>
      </c>
      <c r="J63" t="str" cm="1">
        <f t="array" ref="J63">_xlfn.IFS(Table_Sales[[#This Row],[amount]]&lt;1000,"Under 1000",Table_Sales[[#This Row],[amount]]&lt;3000,"1000 - 2999",Table_Sales[[#This Row],[amount]]&lt;5000,"3000 - 4999",TRUE,"5000 &amp; above")</f>
        <v>Under 1000</v>
      </c>
      <c r="K63">
        <f>IF(COUNTIFS(INDEX(Table_Sales[order_id],1):Table_Sales[[#This Row],[order_id]],Table_Sales[[#This Row],[order_id]])=1,1,0)</f>
        <v>1</v>
      </c>
      <c r="L6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63" t="str">
        <v>B-25762</v>
      </c>
    </row>
    <row r="64" spans="1:14" x14ac:dyDescent="0.25">
      <c r="A64" t="s">
        <v>90</v>
      </c>
      <c r="B64" s="1">
        <v>322</v>
      </c>
      <c r="C64" s="1">
        <v>-193</v>
      </c>
      <c r="D64">
        <v>5</v>
      </c>
      <c r="E64" t="s">
        <v>8</v>
      </c>
      <c r="F64" t="s">
        <v>18</v>
      </c>
      <c r="G64" t="s">
        <v>28</v>
      </c>
      <c r="H64">
        <f>IF(Table_Sales[[#This Row],[profit]]&lt;0,1,0)</f>
        <v>1</v>
      </c>
      <c r="I64" t="str" cm="1">
        <f t="array" ref="I64">_xlfn.IFS(Table_Sales[[#This Row],[quantity]]&lt;=3,"1-3",Table_Sales[[#This Row],[quantity]]&lt;=7,"2-7",Table_Sales[[#This Row],[quantity]]&lt;=10,"8-10",TRUE,"11 and above")</f>
        <v>2-7</v>
      </c>
      <c r="J64" t="str" cm="1">
        <f t="array" ref="J64">_xlfn.IFS(Table_Sales[[#This Row],[amount]]&lt;1000,"Under 1000",Table_Sales[[#This Row],[amount]]&lt;3000,"1000 - 2999",Table_Sales[[#This Row],[amount]]&lt;5000,"3000 - 4999",TRUE,"5000 &amp; above")</f>
        <v>Under 1000</v>
      </c>
      <c r="K64">
        <f>IF(COUNTIFS(INDEX(Table_Sales[order_id],1):Table_Sales[[#This Row],[order_id]],Table_Sales[[#This Row],[order_id]])=1,1,0)</f>
        <v>1</v>
      </c>
      <c r="L6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64" t="str">
        <v>B-25995</v>
      </c>
    </row>
    <row r="65" spans="1:14" x14ac:dyDescent="0.25">
      <c r="A65" t="s">
        <v>91</v>
      </c>
      <c r="B65" s="1">
        <v>1316</v>
      </c>
      <c r="C65" s="1">
        <v>527</v>
      </c>
      <c r="D65">
        <v>7</v>
      </c>
      <c r="E65" t="s">
        <v>8</v>
      </c>
      <c r="F65" t="s">
        <v>9</v>
      </c>
      <c r="G65" t="s">
        <v>19</v>
      </c>
      <c r="H65">
        <f>IF(Table_Sales[[#This Row],[profit]]&lt;0,1,0)</f>
        <v>0</v>
      </c>
      <c r="I65" t="str" cm="1">
        <f t="array" ref="I65">_xlfn.IFS(Table_Sales[[#This Row],[quantity]]&lt;=3,"1-3",Table_Sales[[#This Row],[quantity]]&lt;=7,"2-7",Table_Sales[[#This Row],[quantity]]&lt;=10,"8-10",TRUE,"11 and above")</f>
        <v>2-7</v>
      </c>
      <c r="J65" t="str" cm="1">
        <f t="array" ref="J65">_xlfn.IFS(Table_Sales[[#This Row],[amount]]&lt;1000,"Under 1000",Table_Sales[[#This Row],[amount]]&lt;3000,"1000 - 2999",Table_Sales[[#This Row],[amount]]&lt;5000,"3000 - 4999",TRUE,"5000 &amp; above")</f>
        <v>1000 - 2999</v>
      </c>
      <c r="K65">
        <f>IF(COUNTIFS(INDEX(Table_Sales[order_id],1):Table_Sales[[#This Row],[order_id]],Table_Sales[[#This Row],[order_id]])=1,1,0)</f>
        <v>1</v>
      </c>
      <c r="L6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65" t="str">
        <v>B-25965</v>
      </c>
    </row>
    <row r="66" spans="1:14" x14ac:dyDescent="0.25">
      <c r="A66" t="s">
        <v>92</v>
      </c>
      <c r="B66" s="1">
        <v>1314</v>
      </c>
      <c r="C66" s="1">
        <v>342</v>
      </c>
      <c r="D66">
        <v>3</v>
      </c>
      <c r="E66" t="s">
        <v>12</v>
      </c>
      <c r="F66" t="s">
        <v>16</v>
      </c>
      <c r="G66" t="s">
        <v>19</v>
      </c>
      <c r="H66">
        <f>IF(Table_Sales[[#This Row],[profit]]&lt;0,1,0)</f>
        <v>0</v>
      </c>
      <c r="I66" t="str" cm="1">
        <f t="array" ref="I66">_xlfn.IFS(Table_Sales[[#This Row],[quantity]]&lt;=3,"1-3",Table_Sales[[#This Row],[quantity]]&lt;=7,"2-7",Table_Sales[[#This Row],[quantity]]&lt;=10,"8-10",TRUE,"11 and above")</f>
        <v>1-3</v>
      </c>
      <c r="J66" t="str" cm="1">
        <f t="array" ref="J66">_xlfn.IFS(Table_Sales[[#This Row],[amount]]&lt;1000,"Under 1000",Table_Sales[[#This Row],[amount]]&lt;3000,"1000 - 2999",Table_Sales[[#This Row],[amount]]&lt;5000,"3000 - 4999",TRUE,"5000 &amp; above")</f>
        <v>1000 - 2999</v>
      </c>
      <c r="K66">
        <f>IF(COUNTIFS(INDEX(Table_Sales[order_id],1):Table_Sales[[#This Row],[order_id]],Table_Sales[[#This Row],[order_id]])=1,1,0)</f>
        <v>1</v>
      </c>
      <c r="L6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66" t="str">
        <v>B-25967</v>
      </c>
    </row>
    <row r="67" spans="1:14" x14ac:dyDescent="0.25">
      <c r="A67" t="s">
        <v>93</v>
      </c>
      <c r="B67" s="1">
        <v>17</v>
      </c>
      <c r="C67" s="1">
        <v>7</v>
      </c>
      <c r="D67">
        <v>3</v>
      </c>
      <c r="E67" t="s">
        <v>23</v>
      </c>
      <c r="F67" t="s">
        <v>30</v>
      </c>
      <c r="G67" t="s">
        <v>82</v>
      </c>
      <c r="H67">
        <f>IF(Table_Sales[[#This Row],[profit]]&lt;0,1,0)</f>
        <v>0</v>
      </c>
      <c r="I67" t="str" cm="1">
        <f t="array" ref="I67">_xlfn.IFS(Table_Sales[[#This Row],[quantity]]&lt;=3,"1-3",Table_Sales[[#This Row],[quantity]]&lt;=7,"2-7",Table_Sales[[#This Row],[quantity]]&lt;=10,"8-10",TRUE,"11 and above")</f>
        <v>1-3</v>
      </c>
      <c r="J67" t="str" cm="1">
        <f t="array" ref="J67">_xlfn.IFS(Table_Sales[[#This Row],[amount]]&lt;1000,"Under 1000",Table_Sales[[#This Row],[amount]]&lt;3000,"1000 - 2999",Table_Sales[[#This Row],[amount]]&lt;5000,"3000 - 4999",TRUE,"5000 &amp; above")</f>
        <v>Under 1000</v>
      </c>
      <c r="K67">
        <f>IF(COUNTIFS(INDEX(Table_Sales[order_id],1):Table_Sales[[#This Row],[order_id]],Table_Sales[[#This Row],[order_id]])=1,1,0)</f>
        <v>1</v>
      </c>
      <c r="L6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67" t="str">
        <v>B-25674</v>
      </c>
    </row>
    <row r="68" spans="1:14" x14ac:dyDescent="0.25">
      <c r="A68" t="s">
        <v>94</v>
      </c>
      <c r="B68" s="1">
        <v>17</v>
      </c>
      <c r="C68" s="1">
        <v>2</v>
      </c>
      <c r="D68">
        <v>2</v>
      </c>
      <c r="E68" t="s">
        <v>23</v>
      </c>
      <c r="F68" t="s">
        <v>43</v>
      </c>
      <c r="G68" t="s">
        <v>82</v>
      </c>
      <c r="H68">
        <f>IF(Table_Sales[[#This Row],[profit]]&lt;0,1,0)</f>
        <v>0</v>
      </c>
      <c r="I68" t="str" cm="1">
        <f t="array" ref="I68">_xlfn.IFS(Table_Sales[[#This Row],[quantity]]&lt;=3,"1-3",Table_Sales[[#This Row],[quantity]]&lt;=7,"2-7",Table_Sales[[#This Row],[quantity]]&lt;=10,"8-10",TRUE,"11 and above")</f>
        <v>1-3</v>
      </c>
      <c r="J68" t="str" cm="1">
        <f t="array" ref="J68">_xlfn.IFS(Table_Sales[[#This Row],[amount]]&lt;1000,"Under 1000",Table_Sales[[#This Row],[amount]]&lt;3000,"1000 - 2999",Table_Sales[[#This Row],[amount]]&lt;5000,"3000 - 4999",TRUE,"5000 &amp; above")</f>
        <v>Under 1000</v>
      </c>
      <c r="K68">
        <f>IF(COUNTIFS(INDEX(Table_Sales[order_id],1):Table_Sales[[#This Row],[order_id]],Table_Sales[[#This Row],[order_id]])=1,1,0)</f>
        <v>1</v>
      </c>
      <c r="L6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68" t="str">
        <v>B-25929</v>
      </c>
    </row>
    <row r="69" spans="1:14" x14ac:dyDescent="0.25">
      <c r="A69" t="s">
        <v>95</v>
      </c>
      <c r="B69" s="1">
        <v>17</v>
      </c>
      <c r="C69" s="1">
        <v>-12</v>
      </c>
      <c r="D69">
        <v>5</v>
      </c>
      <c r="E69" t="s">
        <v>23</v>
      </c>
      <c r="F69" t="s">
        <v>43</v>
      </c>
      <c r="G69" t="s">
        <v>82</v>
      </c>
      <c r="H69">
        <f>IF(Table_Sales[[#This Row],[profit]]&lt;0,1,0)</f>
        <v>1</v>
      </c>
      <c r="I69" t="str" cm="1">
        <f t="array" ref="I69">_xlfn.IFS(Table_Sales[[#This Row],[quantity]]&lt;=3,"1-3",Table_Sales[[#This Row],[quantity]]&lt;=7,"2-7",Table_Sales[[#This Row],[quantity]]&lt;=10,"8-10",TRUE,"11 and above")</f>
        <v>2-7</v>
      </c>
      <c r="J69" t="str" cm="1">
        <f t="array" ref="J69">_xlfn.IFS(Table_Sales[[#This Row],[amount]]&lt;1000,"Under 1000",Table_Sales[[#This Row],[amount]]&lt;3000,"1000 - 2999",Table_Sales[[#This Row],[amount]]&lt;5000,"3000 - 4999",TRUE,"5000 &amp; above")</f>
        <v>Under 1000</v>
      </c>
      <c r="K69">
        <f>IF(COUNTIFS(INDEX(Table_Sales[order_id],1):Table_Sales[[#This Row],[order_id]],Table_Sales[[#This Row],[order_id]])=1,1,0)</f>
        <v>1</v>
      </c>
      <c r="L6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69" t="str">
        <v>B-25777</v>
      </c>
    </row>
    <row r="70" spans="1:14" x14ac:dyDescent="0.25">
      <c r="A70" t="s">
        <v>96</v>
      </c>
      <c r="B70" s="1">
        <v>1308</v>
      </c>
      <c r="C70" s="1">
        <v>536</v>
      </c>
      <c r="D70">
        <v>3</v>
      </c>
      <c r="E70" t="s">
        <v>12</v>
      </c>
      <c r="F70" t="s">
        <v>16</v>
      </c>
      <c r="G70" t="s">
        <v>19</v>
      </c>
      <c r="H70">
        <f>IF(Table_Sales[[#This Row],[profit]]&lt;0,1,0)</f>
        <v>0</v>
      </c>
      <c r="I70" t="str" cm="1">
        <f t="array" ref="I70">_xlfn.IFS(Table_Sales[[#This Row],[quantity]]&lt;=3,"1-3",Table_Sales[[#This Row],[quantity]]&lt;=7,"2-7",Table_Sales[[#This Row],[quantity]]&lt;=10,"8-10",TRUE,"11 and above")</f>
        <v>1-3</v>
      </c>
      <c r="J70" t="str" cm="1">
        <f t="array" ref="J70">_xlfn.IFS(Table_Sales[[#This Row],[amount]]&lt;1000,"Under 1000",Table_Sales[[#This Row],[amount]]&lt;3000,"1000 - 2999",Table_Sales[[#This Row],[amount]]&lt;5000,"3000 - 4999",TRUE,"5000 &amp; above")</f>
        <v>1000 - 2999</v>
      </c>
      <c r="K70">
        <f>IF(COUNTIFS(INDEX(Table_Sales[order_id],1):Table_Sales[[#This Row],[order_id]],Table_Sales[[#This Row],[order_id]])=1,1,0)</f>
        <v>1</v>
      </c>
      <c r="L7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70" t="str">
        <v>B-26006</v>
      </c>
    </row>
    <row r="71" spans="1:14" x14ac:dyDescent="0.25">
      <c r="A71" t="s">
        <v>97</v>
      </c>
      <c r="B71" s="1">
        <v>1076</v>
      </c>
      <c r="C71" s="1">
        <v>-38</v>
      </c>
      <c r="D71">
        <v>4</v>
      </c>
      <c r="E71" t="s">
        <v>8</v>
      </c>
      <c r="F71" t="s">
        <v>18</v>
      </c>
      <c r="G71" t="s">
        <v>19</v>
      </c>
      <c r="H71">
        <f>IF(Table_Sales[[#This Row],[profit]]&lt;0,1,0)</f>
        <v>1</v>
      </c>
      <c r="I71" t="str" cm="1">
        <f t="array" ref="I71">_xlfn.IFS(Table_Sales[[#This Row],[quantity]]&lt;=3,"1-3",Table_Sales[[#This Row],[quantity]]&lt;=7,"2-7",Table_Sales[[#This Row],[quantity]]&lt;=10,"8-10",TRUE,"11 and above")</f>
        <v>2-7</v>
      </c>
      <c r="J71" t="str" cm="1">
        <f t="array" ref="J71">_xlfn.IFS(Table_Sales[[#This Row],[amount]]&lt;1000,"Under 1000",Table_Sales[[#This Row],[amount]]&lt;3000,"1000 - 2999",Table_Sales[[#This Row],[amount]]&lt;5000,"3000 - 4999",TRUE,"5000 &amp; above")</f>
        <v>1000 - 2999</v>
      </c>
      <c r="K71">
        <f>IF(COUNTIFS(INDEX(Table_Sales[order_id],1):Table_Sales[[#This Row],[order_id]],Table_Sales[[#This Row],[order_id]])=1,1,0)</f>
        <v>1</v>
      </c>
      <c r="L7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71" t="str">
        <v>B-25697</v>
      </c>
    </row>
    <row r="72" spans="1:14" x14ac:dyDescent="0.25">
      <c r="A72" t="s">
        <v>98</v>
      </c>
      <c r="B72" s="1">
        <v>1301</v>
      </c>
      <c r="C72" s="1">
        <v>573</v>
      </c>
      <c r="D72">
        <v>5</v>
      </c>
      <c r="E72" t="s">
        <v>8</v>
      </c>
      <c r="F72" t="s">
        <v>73</v>
      </c>
      <c r="G72" t="s">
        <v>19</v>
      </c>
      <c r="H72">
        <f>IF(Table_Sales[[#This Row],[profit]]&lt;0,1,0)</f>
        <v>0</v>
      </c>
      <c r="I72" t="str" cm="1">
        <f t="array" ref="I72">_xlfn.IFS(Table_Sales[[#This Row],[quantity]]&lt;=3,"1-3",Table_Sales[[#This Row],[quantity]]&lt;=7,"2-7",Table_Sales[[#This Row],[quantity]]&lt;=10,"8-10",TRUE,"11 and above")</f>
        <v>2-7</v>
      </c>
      <c r="J72" t="str" cm="1">
        <f t="array" ref="J72">_xlfn.IFS(Table_Sales[[#This Row],[amount]]&lt;1000,"Under 1000",Table_Sales[[#This Row],[amount]]&lt;3000,"1000 - 2999",Table_Sales[[#This Row],[amount]]&lt;5000,"3000 - 4999",TRUE,"5000 &amp; above")</f>
        <v>1000 - 2999</v>
      </c>
      <c r="K72">
        <f>IF(COUNTIFS(INDEX(Table_Sales[order_id],1):Table_Sales[[#This Row],[order_id]],Table_Sales[[#This Row],[order_id]])=1,1,0)</f>
        <v>1</v>
      </c>
      <c r="L7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72" t="str">
        <v>B-25667</v>
      </c>
    </row>
    <row r="73" spans="1:14" x14ac:dyDescent="0.25">
      <c r="A73" t="s">
        <v>99</v>
      </c>
      <c r="B73" s="1">
        <v>1300</v>
      </c>
      <c r="C73" s="1">
        <v>-16</v>
      </c>
      <c r="D73">
        <v>8</v>
      </c>
      <c r="E73" t="s">
        <v>8</v>
      </c>
      <c r="F73" t="s">
        <v>18</v>
      </c>
      <c r="G73" t="s">
        <v>19</v>
      </c>
      <c r="H73">
        <f>IF(Table_Sales[[#This Row],[profit]]&lt;0,1,0)</f>
        <v>1</v>
      </c>
      <c r="I73" t="str" cm="1">
        <f t="array" ref="I73">_xlfn.IFS(Table_Sales[[#This Row],[quantity]]&lt;=3,"1-3",Table_Sales[[#This Row],[quantity]]&lt;=7,"2-7",Table_Sales[[#This Row],[quantity]]&lt;=10,"8-10",TRUE,"11 and above")</f>
        <v>8-10</v>
      </c>
      <c r="J73" t="str" cm="1">
        <f t="array" ref="J73">_xlfn.IFS(Table_Sales[[#This Row],[amount]]&lt;1000,"Under 1000",Table_Sales[[#This Row],[amount]]&lt;3000,"1000 - 2999",Table_Sales[[#This Row],[amount]]&lt;5000,"3000 - 4999",TRUE,"5000 &amp; above")</f>
        <v>1000 - 2999</v>
      </c>
      <c r="K73">
        <f>IF(COUNTIFS(INDEX(Table_Sales[order_id],1):Table_Sales[[#This Row],[order_id]],Table_Sales[[#This Row],[order_id]])=1,1,0)</f>
        <v>1</v>
      </c>
      <c r="L7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73" t="str">
        <v>B-25836</v>
      </c>
    </row>
    <row r="74" spans="1:14" x14ac:dyDescent="0.25">
      <c r="A74" t="s">
        <v>100</v>
      </c>
      <c r="B74" s="1">
        <v>11</v>
      </c>
      <c r="C74" s="1">
        <v>-2</v>
      </c>
      <c r="D74">
        <v>4</v>
      </c>
      <c r="E74" t="s">
        <v>23</v>
      </c>
      <c r="F74" t="s">
        <v>30</v>
      </c>
      <c r="G74" t="s">
        <v>10</v>
      </c>
      <c r="H74">
        <f>IF(Table_Sales[[#This Row],[profit]]&lt;0,1,0)</f>
        <v>1</v>
      </c>
      <c r="I74" t="str" cm="1">
        <f t="array" ref="I74">_xlfn.IFS(Table_Sales[[#This Row],[quantity]]&lt;=3,"1-3",Table_Sales[[#This Row],[quantity]]&lt;=7,"2-7",Table_Sales[[#This Row],[quantity]]&lt;=10,"8-10",TRUE,"11 and above")</f>
        <v>2-7</v>
      </c>
      <c r="J74" t="str" cm="1">
        <f t="array" ref="J74">_xlfn.IFS(Table_Sales[[#This Row],[amount]]&lt;1000,"Under 1000",Table_Sales[[#This Row],[amount]]&lt;3000,"1000 - 2999",Table_Sales[[#This Row],[amount]]&lt;5000,"3000 - 4999",TRUE,"5000 &amp; above")</f>
        <v>Under 1000</v>
      </c>
      <c r="K74">
        <f>IF(COUNTIFS(INDEX(Table_Sales[order_id],1):Table_Sales[[#This Row],[order_id]],Table_Sales[[#This Row],[order_id]])=1,1,0)</f>
        <v>1</v>
      </c>
      <c r="L7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74" t="str">
        <v>B-25984</v>
      </c>
    </row>
    <row r="75" spans="1:14" x14ac:dyDescent="0.25">
      <c r="A75" t="s">
        <v>101</v>
      </c>
      <c r="B75" s="1">
        <v>1298</v>
      </c>
      <c r="C75" s="1">
        <v>65</v>
      </c>
      <c r="D75">
        <v>9</v>
      </c>
      <c r="E75" t="s">
        <v>8</v>
      </c>
      <c r="F75" t="s">
        <v>18</v>
      </c>
      <c r="G75" t="s">
        <v>14</v>
      </c>
      <c r="H75">
        <f>IF(Table_Sales[[#This Row],[profit]]&lt;0,1,0)</f>
        <v>0</v>
      </c>
      <c r="I75" t="str" cm="1">
        <f t="array" ref="I75">_xlfn.IFS(Table_Sales[[#This Row],[quantity]]&lt;=3,"1-3",Table_Sales[[#This Row],[quantity]]&lt;=7,"2-7",Table_Sales[[#This Row],[quantity]]&lt;=10,"8-10",TRUE,"11 and above")</f>
        <v>8-10</v>
      </c>
      <c r="J75" t="str" cm="1">
        <f t="array" ref="J75">_xlfn.IFS(Table_Sales[[#This Row],[amount]]&lt;1000,"Under 1000",Table_Sales[[#This Row],[amount]]&lt;3000,"1000 - 2999",Table_Sales[[#This Row],[amount]]&lt;5000,"3000 - 4999",TRUE,"5000 &amp; above")</f>
        <v>1000 - 2999</v>
      </c>
      <c r="K75">
        <f>IF(COUNTIFS(INDEX(Table_Sales[order_id],1):Table_Sales[[#This Row],[order_id]],Table_Sales[[#This Row],[order_id]])=1,1,0)</f>
        <v>1</v>
      </c>
      <c r="L7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75" t="str">
        <v>B-25728</v>
      </c>
    </row>
    <row r="76" spans="1:14" x14ac:dyDescent="0.25">
      <c r="A76" t="s">
        <v>102</v>
      </c>
      <c r="B76" s="1">
        <v>304</v>
      </c>
      <c r="C76" s="1">
        <v>97</v>
      </c>
      <c r="D76">
        <v>6</v>
      </c>
      <c r="E76" t="s">
        <v>23</v>
      </c>
      <c r="F76" t="s">
        <v>57</v>
      </c>
      <c r="G76" t="s">
        <v>28</v>
      </c>
      <c r="H76">
        <f>IF(Table_Sales[[#This Row],[profit]]&lt;0,1,0)</f>
        <v>0</v>
      </c>
      <c r="I76" t="str" cm="1">
        <f t="array" ref="I76">_xlfn.IFS(Table_Sales[[#This Row],[quantity]]&lt;=3,"1-3",Table_Sales[[#This Row],[quantity]]&lt;=7,"2-7",Table_Sales[[#This Row],[quantity]]&lt;=10,"8-10",TRUE,"11 and above")</f>
        <v>2-7</v>
      </c>
      <c r="J76" t="str" cm="1">
        <f t="array" ref="J76">_xlfn.IFS(Table_Sales[[#This Row],[amount]]&lt;1000,"Under 1000",Table_Sales[[#This Row],[amount]]&lt;3000,"1000 - 2999",Table_Sales[[#This Row],[amount]]&lt;5000,"3000 - 4999",TRUE,"5000 &amp; above")</f>
        <v>Under 1000</v>
      </c>
      <c r="K76">
        <f>IF(COUNTIFS(INDEX(Table_Sales[order_id],1):Table_Sales[[#This Row],[order_id]],Table_Sales[[#This Row],[order_id]])=1,1,0)</f>
        <v>1</v>
      </c>
      <c r="L7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76" t="str">
        <v>B-25757</v>
      </c>
    </row>
    <row r="77" spans="1:14" x14ac:dyDescent="0.25">
      <c r="A77" t="s">
        <v>103</v>
      </c>
      <c r="B77" s="1">
        <v>1055</v>
      </c>
      <c r="C77" s="1">
        <v>264</v>
      </c>
      <c r="D77">
        <v>4</v>
      </c>
      <c r="E77" t="s">
        <v>8</v>
      </c>
      <c r="F77" t="s">
        <v>18</v>
      </c>
      <c r="G77" t="s">
        <v>14</v>
      </c>
      <c r="H77">
        <f>IF(Table_Sales[[#This Row],[profit]]&lt;0,1,0)</f>
        <v>0</v>
      </c>
      <c r="I77" t="str" cm="1">
        <f t="array" ref="I77">_xlfn.IFS(Table_Sales[[#This Row],[quantity]]&lt;=3,"1-3",Table_Sales[[#This Row],[quantity]]&lt;=7,"2-7",Table_Sales[[#This Row],[quantity]]&lt;=10,"8-10",TRUE,"11 and above")</f>
        <v>2-7</v>
      </c>
      <c r="J77" t="str" cm="1">
        <f t="array" ref="J77">_xlfn.IFS(Table_Sales[[#This Row],[amount]]&lt;1000,"Under 1000",Table_Sales[[#This Row],[amount]]&lt;3000,"1000 - 2999",Table_Sales[[#This Row],[amount]]&lt;5000,"3000 - 4999",TRUE,"5000 &amp; above")</f>
        <v>1000 - 2999</v>
      </c>
      <c r="K77">
        <f>IF(COUNTIFS(INDEX(Table_Sales[order_id],1):Table_Sales[[#This Row],[order_id]],Table_Sales[[#This Row],[order_id]])=1,1,0)</f>
        <v>1</v>
      </c>
      <c r="L7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77" t="str">
        <v>B-25957</v>
      </c>
    </row>
    <row r="78" spans="1:14" x14ac:dyDescent="0.25">
      <c r="A78" t="s">
        <v>104</v>
      </c>
      <c r="B78" s="1">
        <v>17</v>
      </c>
      <c r="C78" s="1">
        <v>-13</v>
      </c>
      <c r="D78">
        <v>4</v>
      </c>
      <c r="E78" t="s">
        <v>23</v>
      </c>
      <c r="F78" t="s">
        <v>43</v>
      </c>
      <c r="G78" t="s">
        <v>82</v>
      </c>
      <c r="H78">
        <f>IF(Table_Sales[[#This Row],[profit]]&lt;0,1,0)</f>
        <v>1</v>
      </c>
      <c r="I78" t="str" cm="1">
        <f t="array" ref="I78">_xlfn.IFS(Table_Sales[[#This Row],[quantity]]&lt;=3,"1-3",Table_Sales[[#This Row],[quantity]]&lt;=7,"2-7",Table_Sales[[#This Row],[quantity]]&lt;=10,"8-10",TRUE,"11 and above")</f>
        <v>2-7</v>
      </c>
      <c r="J78" t="str" cm="1">
        <f t="array" ref="J78">_xlfn.IFS(Table_Sales[[#This Row],[amount]]&lt;1000,"Under 1000",Table_Sales[[#This Row],[amount]]&lt;3000,"1000 - 2999",Table_Sales[[#This Row],[amount]]&lt;5000,"3000 - 4999",TRUE,"5000 &amp; above")</f>
        <v>Under 1000</v>
      </c>
      <c r="K78">
        <f>IF(COUNTIFS(INDEX(Table_Sales[order_id],1):Table_Sales[[#This Row],[order_id]],Table_Sales[[#This Row],[order_id]])=1,1,0)</f>
        <v>1</v>
      </c>
      <c r="L7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78" t="str">
        <v>B-26061</v>
      </c>
    </row>
    <row r="79" spans="1:14" x14ac:dyDescent="0.25">
      <c r="A79" t="s">
        <v>105</v>
      </c>
      <c r="B79" s="1">
        <v>147</v>
      </c>
      <c r="C79" s="1">
        <v>73</v>
      </c>
      <c r="D79">
        <v>3</v>
      </c>
      <c r="E79" t="s">
        <v>23</v>
      </c>
      <c r="F79" t="s">
        <v>57</v>
      </c>
      <c r="G79" t="s">
        <v>10</v>
      </c>
      <c r="H79">
        <f>IF(Table_Sales[[#This Row],[profit]]&lt;0,1,0)</f>
        <v>0</v>
      </c>
      <c r="I79" t="str" cm="1">
        <f t="array" ref="I79">_xlfn.IFS(Table_Sales[[#This Row],[quantity]]&lt;=3,"1-3",Table_Sales[[#This Row],[quantity]]&lt;=7,"2-7",Table_Sales[[#This Row],[quantity]]&lt;=10,"8-10",TRUE,"11 and above")</f>
        <v>1-3</v>
      </c>
      <c r="J79" t="str" cm="1">
        <f t="array" ref="J79">_xlfn.IFS(Table_Sales[[#This Row],[amount]]&lt;1000,"Under 1000",Table_Sales[[#This Row],[amount]]&lt;3000,"1000 - 2999",Table_Sales[[#This Row],[amount]]&lt;5000,"3000 - 4999",TRUE,"5000 &amp; above")</f>
        <v>Under 1000</v>
      </c>
      <c r="K79">
        <f>IF(COUNTIFS(INDEX(Table_Sales[order_id],1):Table_Sales[[#This Row],[order_id]],Table_Sales[[#This Row],[order_id]])=1,1,0)</f>
        <v>1</v>
      </c>
      <c r="L7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79" t="str">
        <v>B-25616</v>
      </c>
    </row>
    <row r="80" spans="1:14" x14ac:dyDescent="0.25">
      <c r="A80" t="s">
        <v>106</v>
      </c>
      <c r="B80" s="1">
        <v>965</v>
      </c>
      <c r="C80" s="1">
        <v>-68</v>
      </c>
      <c r="D80">
        <v>3</v>
      </c>
      <c r="E80" t="s">
        <v>8</v>
      </c>
      <c r="F80" t="s">
        <v>18</v>
      </c>
      <c r="G80" t="s">
        <v>10</v>
      </c>
      <c r="H80">
        <f>IF(Table_Sales[[#This Row],[profit]]&lt;0,1,0)</f>
        <v>1</v>
      </c>
      <c r="I80" t="str" cm="1">
        <f t="array" ref="I80">_xlfn.IFS(Table_Sales[[#This Row],[quantity]]&lt;=3,"1-3",Table_Sales[[#This Row],[quantity]]&lt;=7,"2-7",Table_Sales[[#This Row],[quantity]]&lt;=10,"8-10",TRUE,"11 and above")</f>
        <v>1-3</v>
      </c>
      <c r="J80" t="str" cm="1">
        <f t="array" ref="J80">_xlfn.IFS(Table_Sales[[#This Row],[amount]]&lt;1000,"Under 1000",Table_Sales[[#This Row],[amount]]&lt;3000,"1000 - 2999",Table_Sales[[#This Row],[amount]]&lt;5000,"3000 - 4999",TRUE,"5000 &amp; above")</f>
        <v>Under 1000</v>
      </c>
      <c r="K80">
        <f>IF(COUNTIFS(INDEX(Table_Sales[order_id],1):Table_Sales[[#This Row],[order_id]],Table_Sales[[#This Row],[order_id]])=1,1,0)</f>
        <v>1</v>
      </c>
      <c r="L8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80" t="str">
        <v>B-25666</v>
      </c>
    </row>
    <row r="81" spans="1:14" x14ac:dyDescent="0.25">
      <c r="A81" t="s">
        <v>42</v>
      </c>
      <c r="B81" s="1">
        <v>12</v>
      </c>
      <c r="C81" s="1">
        <v>-2</v>
      </c>
      <c r="D81">
        <v>3</v>
      </c>
      <c r="E81" t="s">
        <v>23</v>
      </c>
      <c r="F81" t="s">
        <v>30</v>
      </c>
      <c r="G81" t="s">
        <v>10</v>
      </c>
      <c r="H81">
        <f>IF(Table_Sales[[#This Row],[profit]]&lt;0,1,0)</f>
        <v>1</v>
      </c>
      <c r="I81" t="str" cm="1">
        <f t="array" ref="I81">_xlfn.IFS(Table_Sales[[#This Row],[quantity]]&lt;=3,"1-3",Table_Sales[[#This Row],[quantity]]&lt;=7,"2-7",Table_Sales[[#This Row],[quantity]]&lt;=10,"8-10",TRUE,"11 and above")</f>
        <v>1-3</v>
      </c>
      <c r="J81" t="str" cm="1">
        <f t="array" ref="J81">_xlfn.IFS(Table_Sales[[#This Row],[amount]]&lt;1000,"Under 1000",Table_Sales[[#This Row],[amount]]&lt;3000,"1000 - 2999",Table_Sales[[#This Row],[amount]]&lt;5000,"3000 - 4999",TRUE,"5000 &amp; above")</f>
        <v>Under 1000</v>
      </c>
      <c r="K81">
        <f>IF(COUNTIFS(INDEX(Table_Sales[order_id],1):Table_Sales[[#This Row],[order_id]],Table_Sales[[#This Row],[order_id]])=1,1,0)</f>
        <v>0</v>
      </c>
      <c r="L8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81" t="str">
        <v>B-25675</v>
      </c>
    </row>
    <row r="82" spans="1:14" x14ac:dyDescent="0.25">
      <c r="A82" t="s">
        <v>107</v>
      </c>
      <c r="B82" s="1">
        <v>14</v>
      </c>
      <c r="C82" s="1">
        <v>-2</v>
      </c>
      <c r="D82">
        <v>3</v>
      </c>
      <c r="E82" t="s">
        <v>23</v>
      </c>
      <c r="F82" t="s">
        <v>30</v>
      </c>
      <c r="G82" t="s">
        <v>28</v>
      </c>
      <c r="H82">
        <f>IF(Table_Sales[[#This Row],[profit]]&lt;0,1,0)</f>
        <v>1</v>
      </c>
      <c r="I82" t="str" cm="1">
        <f t="array" ref="I82">_xlfn.IFS(Table_Sales[[#This Row],[quantity]]&lt;=3,"1-3",Table_Sales[[#This Row],[quantity]]&lt;=7,"2-7",Table_Sales[[#This Row],[quantity]]&lt;=10,"8-10",TRUE,"11 and above")</f>
        <v>1-3</v>
      </c>
      <c r="J82" t="str" cm="1">
        <f t="array" ref="J82">_xlfn.IFS(Table_Sales[[#This Row],[amount]]&lt;1000,"Under 1000",Table_Sales[[#This Row],[amount]]&lt;3000,"1000 - 2999",Table_Sales[[#This Row],[amount]]&lt;5000,"3000 - 4999",TRUE,"5000 &amp; above")</f>
        <v>Under 1000</v>
      </c>
      <c r="K82">
        <f>IF(COUNTIFS(INDEX(Table_Sales[order_id],1):Table_Sales[[#This Row],[order_id]],Table_Sales[[#This Row],[order_id]])=1,1,0)</f>
        <v>1</v>
      </c>
      <c r="L8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82" t="str">
        <v>B-26079</v>
      </c>
    </row>
    <row r="83" spans="1:14" x14ac:dyDescent="0.25">
      <c r="A83" t="s">
        <v>108</v>
      </c>
      <c r="B83" s="1">
        <v>934</v>
      </c>
      <c r="C83" s="1">
        <v>-916</v>
      </c>
      <c r="D83">
        <v>7</v>
      </c>
      <c r="E83" t="s">
        <v>8</v>
      </c>
      <c r="F83" t="s">
        <v>9</v>
      </c>
      <c r="G83" t="s">
        <v>10</v>
      </c>
      <c r="H83">
        <f>IF(Table_Sales[[#This Row],[profit]]&lt;0,1,0)</f>
        <v>1</v>
      </c>
      <c r="I83" t="str" cm="1">
        <f t="array" ref="I83">_xlfn.IFS(Table_Sales[[#This Row],[quantity]]&lt;=3,"1-3",Table_Sales[[#This Row],[quantity]]&lt;=7,"2-7",Table_Sales[[#This Row],[quantity]]&lt;=10,"8-10",TRUE,"11 and above")</f>
        <v>2-7</v>
      </c>
      <c r="J83" t="str" cm="1">
        <f t="array" ref="J83">_xlfn.IFS(Table_Sales[[#This Row],[amount]]&lt;1000,"Under 1000",Table_Sales[[#This Row],[amount]]&lt;3000,"1000 - 2999",Table_Sales[[#This Row],[amount]]&lt;5000,"3000 - 4999",TRUE,"5000 &amp; above")</f>
        <v>Under 1000</v>
      </c>
      <c r="K83">
        <f>IF(COUNTIFS(INDEX(Table_Sales[order_id],1):Table_Sales[[#This Row],[order_id]],Table_Sales[[#This Row],[order_id]])=1,1,0)</f>
        <v>1</v>
      </c>
      <c r="L8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83" t="str">
        <v>B-25850</v>
      </c>
    </row>
    <row r="84" spans="1:14" x14ac:dyDescent="0.25">
      <c r="A84" t="s">
        <v>109</v>
      </c>
      <c r="B84" s="1">
        <v>929</v>
      </c>
      <c r="C84" s="1">
        <v>-93</v>
      </c>
      <c r="D84">
        <v>9</v>
      </c>
      <c r="E84" t="s">
        <v>23</v>
      </c>
      <c r="F84" t="s">
        <v>26</v>
      </c>
      <c r="G84" t="s">
        <v>10</v>
      </c>
      <c r="H84">
        <f>IF(Table_Sales[[#This Row],[profit]]&lt;0,1,0)</f>
        <v>1</v>
      </c>
      <c r="I84" t="str" cm="1">
        <f t="array" ref="I84">_xlfn.IFS(Table_Sales[[#This Row],[quantity]]&lt;=3,"1-3",Table_Sales[[#This Row],[quantity]]&lt;=7,"2-7",Table_Sales[[#This Row],[quantity]]&lt;=10,"8-10",TRUE,"11 and above")</f>
        <v>8-10</v>
      </c>
      <c r="J84" t="str" cm="1">
        <f t="array" ref="J84">_xlfn.IFS(Table_Sales[[#This Row],[amount]]&lt;1000,"Under 1000",Table_Sales[[#This Row],[amount]]&lt;3000,"1000 - 2999",Table_Sales[[#This Row],[amount]]&lt;5000,"3000 - 4999",TRUE,"5000 &amp; above")</f>
        <v>Under 1000</v>
      </c>
      <c r="K84">
        <f>IF(COUNTIFS(INDEX(Table_Sales[order_id],1):Table_Sales[[#This Row],[order_id]],Table_Sales[[#This Row],[order_id]])=1,1,0)</f>
        <v>1</v>
      </c>
      <c r="L8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84" t="str">
        <v>B-25693</v>
      </c>
    </row>
    <row r="85" spans="1:14" x14ac:dyDescent="0.25">
      <c r="A85" t="s">
        <v>110</v>
      </c>
      <c r="B85" s="1">
        <v>18</v>
      </c>
      <c r="C85" s="1">
        <v>3</v>
      </c>
      <c r="D85">
        <v>2</v>
      </c>
      <c r="E85" t="s">
        <v>23</v>
      </c>
      <c r="F85" t="s">
        <v>30</v>
      </c>
      <c r="G85" t="s">
        <v>82</v>
      </c>
      <c r="H85">
        <f>IF(Table_Sales[[#This Row],[profit]]&lt;0,1,0)</f>
        <v>0</v>
      </c>
      <c r="I85" t="str" cm="1">
        <f t="array" ref="I85">_xlfn.IFS(Table_Sales[[#This Row],[quantity]]&lt;=3,"1-3",Table_Sales[[#This Row],[quantity]]&lt;=7,"2-7",Table_Sales[[#This Row],[quantity]]&lt;=10,"8-10",TRUE,"11 and above")</f>
        <v>1-3</v>
      </c>
      <c r="J85" t="str" cm="1">
        <f t="array" ref="J85">_xlfn.IFS(Table_Sales[[#This Row],[amount]]&lt;1000,"Under 1000",Table_Sales[[#This Row],[amount]]&lt;3000,"1000 - 2999",Table_Sales[[#This Row],[amount]]&lt;5000,"3000 - 4999",TRUE,"5000 &amp; above")</f>
        <v>Under 1000</v>
      </c>
      <c r="K85">
        <f>IF(COUNTIFS(INDEX(Table_Sales[order_id],1):Table_Sales[[#This Row],[order_id]],Table_Sales[[#This Row],[order_id]])=1,1,0)</f>
        <v>1</v>
      </c>
      <c r="L8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85" t="str">
        <v>B-25852</v>
      </c>
    </row>
    <row r="86" spans="1:14" x14ac:dyDescent="0.25">
      <c r="A86" t="s">
        <v>111</v>
      </c>
      <c r="B86" s="1">
        <v>916</v>
      </c>
      <c r="C86" s="1">
        <v>192</v>
      </c>
      <c r="D86">
        <v>11</v>
      </c>
      <c r="E86" t="s">
        <v>8</v>
      </c>
      <c r="F86" t="s">
        <v>21</v>
      </c>
      <c r="G86" t="s">
        <v>10</v>
      </c>
      <c r="H86">
        <f>IF(Table_Sales[[#This Row],[profit]]&lt;0,1,0)</f>
        <v>0</v>
      </c>
      <c r="I86" t="str" cm="1">
        <f t="array" ref="I86">_xlfn.IFS(Table_Sales[[#This Row],[quantity]]&lt;=3,"1-3",Table_Sales[[#This Row],[quantity]]&lt;=7,"2-7",Table_Sales[[#This Row],[quantity]]&lt;=10,"8-10",TRUE,"11 and above")</f>
        <v>11 and above</v>
      </c>
      <c r="J86" t="str" cm="1">
        <f t="array" ref="J86">_xlfn.IFS(Table_Sales[[#This Row],[amount]]&lt;1000,"Under 1000",Table_Sales[[#This Row],[amount]]&lt;3000,"1000 - 2999",Table_Sales[[#This Row],[amount]]&lt;5000,"3000 - 4999",TRUE,"5000 &amp; above")</f>
        <v>Under 1000</v>
      </c>
      <c r="K86">
        <f>IF(COUNTIFS(INDEX(Table_Sales[order_id],1):Table_Sales[[#This Row],[order_id]],Table_Sales[[#This Row],[order_id]])=1,1,0)</f>
        <v>1</v>
      </c>
      <c r="L8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86" t="str">
        <v>B-25860</v>
      </c>
    </row>
    <row r="87" spans="1:14" x14ac:dyDescent="0.25">
      <c r="A87" t="s">
        <v>112</v>
      </c>
      <c r="B87" s="1">
        <v>76</v>
      </c>
      <c r="C87" s="1">
        <v>-72</v>
      </c>
      <c r="D87">
        <v>9</v>
      </c>
      <c r="E87" t="s">
        <v>23</v>
      </c>
      <c r="F87" t="s">
        <v>30</v>
      </c>
      <c r="G87" t="s">
        <v>10</v>
      </c>
      <c r="H87">
        <f>IF(Table_Sales[[#This Row],[profit]]&lt;0,1,0)</f>
        <v>1</v>
      </c>
      <c r="I87" t="str" cm="1">
        <f t="array" ref="I87">_xlfn.IFS(Table_Sales[[#This Row],[quantity]]&lt;=3,"1-3",Table_Sales[[#This Row],[quantity]]&lt;=7,"2-7",Table_Sales[[#This Row],[quantity]]&lt;=10,"8-10",TRUE,"11 and above")</f>
        <v>8-10</v>
      </c>
      <c r="J87" t="str" cm="1">
        <f t="array" ref="J87">_xlfn.IFS(Table_Sales[[#This Row],[amount]]&lt;1000,"Under 1000",Table_Sales[[#This Row],[amount]]&lt;3000,"1000 - 2999",Table_Sales[[#This Row],[amount]]&lt;5000,"3000 - 4999",TRUE,"5000 &amp; above")</f>
        <v>Under 1000</v>
      </c>
      <c r="K87">
        <f>IF(COUNTIFS(INDEX(Table_Sales[order_id],1):Table_Sales[[#This Row],[order_id]],Table_Sales[[#This Row],[order_id]])=1,1,0)</f>
        <v>1</v>
      </c>
      <c r="L8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87" t="str">
        <v>B-25898</v>
      </c>
    </row>
    <row r="88" spans="1:14" x14ac:dyDescent="0.25">
      <c r="A88" t="s">
        <v>113</v>
      </c>
      <c r="B88" s="1">
        <v>869</v>
      </c>
      <c r="C88" s="1">
        <v>67</v>
      </c>
      <c r="D88">
        <v>4</v>
      </c>
      <c r="E88" t="s">
        <v>12</v>
      </c>
      <c r="F88" t="s">
        <v>45</v>
      </c>
      <c r="G88" t="s">
        <v>10</v>
      </c>
      <c r="H88">
        <f>IF(Table_Sales[[#This Row],[profit]]&lt;0,1,0)</f>
        <v>0</v>
      </c>
      <c r="I88" t="str" cm="1">
        <f t="array" ref="I88">_xlfn.IFS(Table_Sales[[#This Row],[quantity]]&lt;=3,"1-3",Table_Sales[[#This Row],[quantity]]&lt;=7,"2-7",Table_Sales[[#This Row],[quantity]]&lt;=10,"8-10",TRUE,"11 and above")</f>
        <v>2-7</v>
      </c>
      <c r="J88" t="str" cm="1">
        <f t="array" ref="J88">_xlfn.IFS(Table_Sales[[#This Row],[amount]]&lt;1000,"Under 1000",Table_Sales[[#This Row],[amount]]&lt;3000,"1000 - 2999",Table_Sales[[#This Row],[amount]]&lt;5000,"3000 - 4999",TRUE,"5000 &amp; above")</f>
        <v>Under 1000</v>
      </c>
      <c r="K88">
        <f>IF(COUNTIFS(INDEX(Table_Sales[order_id],1):Table_Sales[[#This Row],[order_id]],Table_Sales[[#This Row],[order_id]])=1,1,0)</f>
        <v>1</v>
      </c>
      <c r="L8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88" t="str">
        <v>B-26100</v>
      </c>
    </row>
    <row r="89" spans="1:14" x14ac:dyDescent="0.25">
      <c r="A89" t="s">
        <v>114</v>
      </c>
      <c r="B89" s="1">
        <v>112</v>
      </c>
      <c r="C89" s="1">
        <v>24</v>
      </c>
      <c r="D89">
        <v>3</v>
      </c>
      <c r="E89" t="s">
        <v>23</v>
      </c>
      <c r="F89" t="s">
        <v>32</v>
      </c>
      <c r="G89" t="s">
        <v>10</v>
      </c>
      <c r="H89">
        <f>IF(Table_Sales[[#This Row],[profit]]&lt;0,1,0)</f>
        <v>0</v>
      </c>
      <c r="I89" t="str" cm="1">
        <f t="array" ref="I89">_xlfn.IFS(Table_Sales[[#This Row],[quantity]]&lt;=3,"1-3",Table_Sales[[#This Row],[quantity]]&lt;=7,"2-7",Table_Sales[[#This Row],[quantity]]&lt;=10,"8-10",TRUE,"11 and above")</f>
        <v>1-3</v>
      </c>
      <c r="J89" t="str" cm="1">
        <f t="array" ref="J89">_xlfn.IFS(Table_Sales[[#This Row],[amount]]&lt;1000,"Under 1000",Table_Sales[[#This Row],[amount]]&lt;3000,"1000 - 2999",Table_Sales[[#This Row],[amount]]&lt;5000,"3000 - 4999",TRUE,"5000 &amp; above")</f>
        <v>Under 1000</v>
      </c>
      <c r="K89">
        <f>IF(COUNTIFS(INDEX(Table_Sales[order_id],1):Table_Sales[[#This Row],[order_id]],Table_Sales[[#This Row],[order_id]])=1,1,0)</f>
        <v>1</v>
      </c>
      <c r="L8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89" t="str">
        <v>B-25653</v>
      </c>
    </row>
    <row r="90" spans="1:14" x14ac:dyDescent="0.25">
      <c r="A90" t="s">
        <v>41</v>
      </c>
      <c r="B90" s="1">
        <v>39</v>
      </c>
      <c r="C90" s="1">
        <v>16</v>
      </c>
      <c r="D90">
        <v>6</v>
      </c>
      <c r="E90" t="s">
        <v>23</v>
      </c>
      <c r="F90" t="s">
        <v>43</v>
      </c>
      <c r="G90" t="s">
        <v>28</v>
      </c>
      <c r="H90">
        <f>IF(Table_Sales[[#This Row],[profit]]&lt;0,1,0)</f>
        <v>0</v>
      </c>
      <c r="I90" t="str" cm="1">
        <f t="array" ref="I90">_xlfn.IFS(Table_Sales[[#This Row],[quantity]]&lt;=3,"1-3",Table_Sales[[#This Row],[quantity]]&lt;=7,"2-7",Table_Sales[[#This Row],[quantity]]&lt;=10,"8-10",TRUE,"11 and above")</f>
        <v>2-7</v>
      </c>
      <c r="J90" t="str" cm="1">
        <f t="array" ref="J90">_xlfn.IFS(Table_Sales[[#This Row],[amount]]&lt;1000,"Under 1000",Table_Sales[[#This Row],[amount]]&lt;3000,"1000 - 2999",Table_Sales[[#This Row],[amount]]&lt;5000,"3000 - 4999",TRUE,"5000 &amp; above")</f>
        <v>Under 1000</v>
      </c>
      <c r="K90">
        <f>IF(COUNTIFS(INDEX(Table_Sales[order_id],1):Table_Sales[[#This Row],[order_id]],Table_Sales[[#This Row],[order_id]])=1,1,0)</f>
        <v>0</v>
      </c>
      <c r="L9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90" t="str">
        <v>B-25839</v>
      </c>
    </row>
    <row r="91" spans="1:14" x14ac:dyDescent="0.25">
      <c r="A91" t="s">
        <v>115</v>
      </c>
      <c r="B91" s="1">
        <v>857</v>
      </c>
      <c r="C91" s="1">
        <v>-274</v>
      </c>
      <c r="D91">
        <v>2</v>
      </c>
      <c r="E91" t="s">
        <v>12</v>
      </c>
      <c r="F91" t="s">
        <v>45</v>
      </c>
      <c r="G91" t="s">
        <v>10</v>
      </c>
      <c r="H91">
        <f>IF(Table_Sales[[#This Row],[profit]]&lt;0,1,0)</f>
        <v>1</v>
      </c>
      <c r="I91" t="str" cm="1">
        <f t="array" ref="I91">_xlfn.IFS(Table_Sales[[#This Row],[quantity]]&lt;=3,"1-3",Table_Sales[[#This Row],[quantity]]&lt;=7,"2-7",Table_Sales[[#This Row],[quantity]]&lt;=10,"8-10",TRUE,"11 and above")</f>
        <v>1-3</v>
      </c>
      <c r="J91" t="str" cm="1">
        <f t="array" ref="J91">_xlfn.IFS(Table_Sales[[#This Row],[amount]]&lt;1000,"Under 1000",Table_Sales[[#This Row],[amount]]&lt;3000,"1000 - 2999",Table_Sales[[#This Row],[amount]]&lt;5000,"3000 - 4999",TRUE,"5000 &amp; above")</f>
        <v>Under 1000</v>
      </c>
      <c r="K91">
        <f>IF(COUNTIFS(INDEX(Table_Sales[order_id],1):Table_Sales[[#This Row],[order_id]],Table_Sales[[#This Row],[order_id]])=1,1,0)</f>
        <v>1</v>
      </c>
      <c r="L9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91" t="str">
        <v>B-25651</v>
      </c>
    </row>
    <row r="92" spans="1:14" x14ac:dyDescent="0.25">
      <c r="A92" t="s">
        <v>116</v>
      </c>
      <c r="B92" s="1">
        <v>828</v>
      </c>
      <c r="C92" s="1">
        <v>230</v>
      </c>
      <c r="D92">
        <v>2</v>
      </c>
      <c r="E92" t="s">
        <v>12</v>
      </c>
      <c r="F92" t="s">
        <v>13</v>
      </c>
      <c r="G92" t="s">
        <v>10</v>
      </c>
      <c r="H92">
        <f>IF(Table_Sales[[#This Row],[profit]]&lt;0,1,0)</f>
        <v>0</v>
      </c>
      <c r="I92" t="str" cm="1">
        <f t="array" ref="I92">_xlfn.IFS(Table_Sales[[#This Row],[quantity]]&lt;=3,"1-3",Table_Sales[[#This Row],[quantity]]&lt;=7,"2-7",Table_Sales[[#This Row],[quantity]]&lt;=10,"8-10",TRUE,"11 and above")</f>
        <v>1-3</v>
      </c>
      <c r="J92" t="str" cm="1">
        <f t="array" ref="J92">_xlfn.IFS(Table_Sales[[#This Row],[amount]]&lt;1000,"Under 1000",Table_Sales[[#This Row],[amount]]&lt;3000,"1000 - 2999",Table_Sales[[#This Row],[amount]]&lt;5000,"3000 - 4999",TRUE,"5000 &amp; above")</f>
        <v>Under 1000</v>
      </c>
      <c r="K92">
        <f>IF(COUNTIFS(INDEX(Table_Sales[order_id],1):Table_Sales[[#This Row],[order_id]],Table_Sales[[#This Row],[order_id]])=1,1,0)</f>
        <v>1</v>
      </c>
      <c r="L9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92" t="str">
        <v>B-25704</v>
      </c>
    </row>
    <row r="93" spans="1:14" x14ac:dyDescent="0.25">
      <c r="A93" t="s">
        <v>117</v>
      </c>
      <c r="B93" s="1">
        <v>1279</v>
      </c>
      <c r="C93" s="1">
        <v>-640</v>
      </c>
      <c r="D93">
        <v>8</v>
      </c>
      <c r="E93" t="s">
        <v>8</v>
      </c>
      <c r="F93" t="s">
        <v>18</v>
      </c>
      <c r="G93" t="s">
        <v>14</v>
      </c>
      <c r="H93">
        <f>IF(Table_Sales[[#This Row],[profit]]&lt;0,1,0)</f>
        <v>1</v>
      </c>
      <c r="I93" t="str" cm="1">
        <f t="array" ref="I93">_xlfn.IFS(Table_Sales[[#This Row],[quantity]]&lt;=3,"1-3",Table_Sales[[#This Row],[quantity]]&lt;=7,"2-7",Table_Sales[[#This Row],[quantity]]&lt;=10,"8-10",TRUE,"11 and above")</f>
        <v>8-10</v>
      </c>
      <c r="J93" t="str" cm="1">
        <f t="array" ref="J93">_xlfn.IFS(Table_Sales[[#This Row],[amount]]&lt;1000,"Under 1000",Table_Sales[[#This Row],[amount]]&lt;3000,"1000 - 2999",Table_Sales[[#This Row],[amount]]&lt;5000,"3000 - 4999",TRUE,"5000 &amp; above")</f>
        <v>1000 - 2999</v>
      </c>
      <c r="K93">
        <f>IF(COUNTIFS(INDEX(Table_Sales[order_id],1):Table_Sales[[#This Row],[order_id]],Table_Sales[[#This Row],[order_id]])=1,1,0)</f>
        <v>1</v>
      </c>
      <c r="L9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93" t="str">
        <v>B-25730</v>
      </c>
    </row>
    <row r="94" spans="1:14" x14ac:dyDescent="0.25">
      <c r="A94" t="s">
        <v>118</v>
      </c>
      <c r="B94" s="1">
        <v>1250</v>
      </c>
      <c r="C94" s="1">
        <v>486</v>
      </c>
      <c r="D94">
        <v>7</v>
      </c>
      <c r="E94" t="s">
        <v>23</v>
      </c>
      <c r="F94" t="s">
        <v>26</v>
      </c>
      <c r="G94" t="s">
        <v>14</v>
      </c>
      <c r="H94">
        <f>IF(Table_Sales[[#This Row],[profit]]&lt;0,1,0)</f>
        <v>0</v>
      </c>
      <c r="I94" t="str" cm="1">
        <f t="array" ref="I94">_xlfn.IFS(Table_Sales[[#This Row],[quantity]]&lt;=3,"1-3",Table_Sales[[#This Row],[quantity]]&lt;=7,"2-7",Table_Sales[[#This Row],[quantity]]&lt;=10,"8-10",TRUE,"11 and above")</f>
        <v>2-7</v>
      </c>
      <c r="J94" t="str" cm="1">
        <f t="array" ref="J94">_xlfn.IFS(Table_Sales[[#This Row],[amount]]&lt;1000,"Under 1000",Table_Sales[[#This Row],[amount]]&lt;3000,"1000 - 2999",Table_Sales[[#This Row],[amount]]&lt;5000,"3000 - 4999",TRUE,"5000 &amp; above")</f>
        <v>1000 - 2999</v>
      </c>
      <c r="K94">
        <f>IF(COUNTIFS(INDEX(Table_Sales[order_id],1):Table_Sales[[#This Row],[order_id]],Table_Sales[[#This Row],[order_id]])=1,1,0)</f>
        <v>1</v>
      </c>
      <c r="L9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94" t="str">
        <v>B-26052</v>
      </c>
    </row>
    <row r="95" spans="1:14" x14ac:dyDescent="0.25">
      <c r="A95" t="s">
        <v>119</v>
      </c>
      <c r="B95" s="1">
        <v>823</v>
      </c>
      <c r="C95" s="1">
        <v>-18</v>
      </c>
      <c r="D95">
        <v>7</v>
      </c>
      <c r="E95" t="s">
        <v>12</v>
      </c>
      <c r="F95" t="s">
        <v>13</v>
      </c>
      <c r="G95" t="s">
        <v>10</v>
      </c>
      <c r="H95">
        <f>IF(Table_Sales[[#This Row],[profit]]&lt;0,1,0)</f>
        <v>1</v>
      </c>
      <c r="I95" t="str" cm="1">
        <f t="array" ref="I95">_xlfn.IFS(Table_Sales[[#This Row],[quantity]]&lt;=3,"1-3",Table_Sales[[#This Row],[quantity]]&lt;=7,"2-7",Table_Sales[[#This Row],[quantity]]&lt;=10,"8-10",TRUE,"11 and above")</f>
        <v>2-7</v>
      </c>
      <c r="J95" t="str" cm="1">
        <f t="array" ref="J95">_xlfn.IFS(Table_Sales[[#This Row],[amount]]&lt;1000,"Under 1000",Table_Sales[[#This Row],[amount]]&lt;3000,"1000 - 2999",Table_Sales[[#This Row],[amount]]&lt;5000,"3000 - 4999",TRUE,"5000 &amp; above")</f>
        <v>Under 1000</v>
      </c>
      <c r="K95">
        <f>IF(COUNTIFS(INDEX(Table_Sales[order_id],1):Table_Sales[[#This Row],[order_id]],Table_Sales[[#This Row],[order_id]])=1,1,0)</f>
        <v>1</v>
      </c>
      <c r="L9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95" t="str">
        <v>B-25656</v>
      </c>
    </row>
    <row r="96" spans="1:14" x14ac:dyDescent="0.25">
      <c r="A96" t="s">
        <v>105</v>
      </c>
      <c r="B96" s="1">
        <v>1157</v>
      </c>
      <c r="C96" s="1">
        <v>-13</v>
      </c>
      <c r="D96">
        <v>9</v>
      </c>
      <c r="E96" t="s">
        <v>12</v>
      </c>
      <c r="F96" t="s">
        <v>16</v>
      </c>
      <c r="G96" t="s">
        <v>19</v>
      </c>
      <c r="H96">
        <f>IF(Table_Sales[[#This Row],[profit]]&lt;0,1,0)</f>
        <v>1</v>
      </c>
      <c r="I96" t="str" cm="1">
        <f t="array" ref="I96">_xlfn.IFS(Table_Sales[[#This Row],[quantity]]&lt;=3,"1-3",Table_Sales[[#This Row],[quantity]]&lt;=7,"2-7",Table_Sales[[#This Row],[quantity]]&lt;=10,"8-10",TRUE,"11 and above")</f>
        <v>8-10</v>
      </c>
      <c r="J96" t="str" cm="1">
        <f t="array" ref="J96">_xlfn.IFS(Table_Sales[[#This Row],[amount]]&lt;1000,"Under 1000",Table_Sales[[#This Row],[amount]]&lt;3000,"1000 - 2999",Table_Sales[[#This Row],[amount]]&lt;5000,"3000 - 4999",TRUE,"5000 &amp; above")</f>
        <v>1000 - 2999</v>
      </c>
      <c r="K96">
        <f>IF(COUNTIFS(INDEX(Table_Sales[order_id],1):Table_Sales[[#This Row],[order_id]],Table_Sales[[#This Row],[order_id]])=1,1,0)</f>
        <v>0</v>
      </c>
      <c r="L9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96" t="str">
        <v>B-26033</v>
      </c>
    </row>
    <row r="97" spans="1:14" x14ac:dyDescent="0.25">
      <c r="A97" t="s">
        <v>120</v>
      </c>
      <c r="B97" s="1">
        <v>126</v>
      </c>
      <c r="C97" s="1">
        <v>-63</v>
      </c>
      <c r="D97">
        <v>3</v>
      </c>
      <c r="E97" t="s">
        <v>8</v>
      </c>
      <c r="F97" t="s">
        <v>73</v>
      </c>
      <c r="G97" t="s">
        <v>28</v>
      </c>
      <c r="H97">
        <f>IF(Table_Sales[[#This Row],[profit]]&lt;0,1,0)</f>
        <v>1</v>
      </c>
      <c r="I97" t="str" cm="1">
        <f t="array" ref="I97">_xlfn.IFS(Table_Sales[[#This Row],[quantity]]&lt;=3,"1-3",Table_Sales[[#This Row],[quantity]]&lt;=7,"2-7",Table_Sales[[#This Row],[quantity]]&lt;=10,"8-10",TRUE,"11 and above")</f>
        <v>1-3</v>
      </c>
      <c r="J97" t="str" cm="1">
        <f t="array" ref="J97">_xlfn.IFS(Table_Sales[[#This Row],[amount]]&lt;1000,"Under 1000",Table_Sales[[#This Row],[amount]]&lt;3000,"1000 - 2999",Table_Sales[[#This Row],[amount]]&lt;5000,"3000 - 4999",TRUE,"5000 &amp; above")</f>
        <v>Under 1000</v>
      </c>
      <c r="K97">
        <f>IF(COUNTIFS(INDEX(Table_Sales[order_id],1):Table_Sales[[#This Row],[order_id]],Table_Sales[[#This Row],[order_id]])=1,1,0)</f>
        <v>1</v>
      </c>
      <c r="L9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97" t="str">
        <v>B-25945</v>
      </c>
    </row>
    <row r="98" spans="1:14" x14ac:dyDescent="0.25">
      <c r="A98" t="s">
        <v>121</v>
      </c>
      <c r="B98" s="1">
        <v>1145</v>
      </c>
      <c r="C98" s="1">
        <v>-706</v>
      </c>
      <c r="D98">
        <v>3</v>
      </c>
      <c r="E98" t="s">
        <v>8</v>
      </c>
      <c r="F98" t="s">
        <v>21</v>
      </c>
      <c r="G98" t="s">
        <v>19</v>
      </c>
      <c r="H98">
        <f>IF(Table_Sales[[#This Row],[profit]]&lt;0,1,0)</f>
        <v>1</v>
      </c>
      <c r="I98" t="str" cm="1">
        <f t="array" ref="I98">_xlfn.IFS(Table_Sales[[#This Row],[quantity]]&lt;=3,"1-3",Table_Sales[[#This Row],[quantity]]&lt;=7,"2-7",Table_Sales[[#This Row],[quantity]]&lt;=10,"8-10",TRUE,"11 and above")</f>
        <v>1-3</v>
      </c>
      <c r="J98" t="str" cm="1">
        <f t="array" ref="J98">_xlfn.IFS(Table_Sales[[#This Row],[amount]]&lt;1000,"Under 1000",Table_Sales[[#This Row],[amount]]&lt;3000,"1000 - 2999",Table_Sales[[#This Row],[amount]]&lt;5000,"3000 - 4999",TRUE,"5000 &amp; above")</f>
        <v>1000 - 2999</v>
      </c>
      <c r="K98">
        <f>IF(COUNTIFS(INDEX(Table_Sales[order_id],1):Table_Sales[[#This Row],[order_id]],Table_Sales[[#This Row],[order_id]])=1,1,0)</f>
        <v>1</v>
      </c>
      <c r="L9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98" t="str">
        <v>B-26086</v>
      </c>
    </row>
    <row r="99" spans="1:14" x14ac:dyDescent="0.25">
      <c r="A99" t="s">
        <v>122</v>
      </c>
      <c r="B99" s="1">
        <v>774</v>
      </c>
      <c r="C99" s="1">
        <v>170</v>
      </c>
      <c r="D99">
        <v>3</v>
      </c>
      <c r="E99" t="s">
        <v>8</v>
      </c>
      <c r="F99" t="s">
        <v>73</v>
      </c>
      <c r="G99" t="s">
        <v>10</v>
      </c>
      <c r="H99">
        <f>IF(Table_Sales[[#This Row],[profit]]&lt;0,1,0)</f>
        <v>0</v>
      </c>
      <c r="I99" t="str" cm="1">
        <f t="array" ref="I99">_xlfn.IFS(Table_Sales[[#This Row],[quantity]]&lt;=3,"1-3",Table_Sales[[#This Row],[quantity]]&lt;=7,"2-7",Table_Sales[[#This Row],[quantity]]&lt;=10,"8-10",TRUE,"11 and above")</f>
        <v>1-3</v>
      </c>
      <c r="J99" t="str" cm="1">
        <f t="array" ref="J99">_xlfn.IFS(Table_Sales[[#This Row],[amount]]&lt;1000,"Under 1000",Table_Sales[[#This Row],[amount]]&lt;3000,"1000 - 2999",Table_Sales[[#This Row],[amount]]&lt;5000,"3000 - 4999",TRUE,"5000 &amp; above")</f>
        <v>Under 1000</v>
      </c>
      <c r="K99">
        <f>IF(COUNTIFS(INDEX(Table_Sales[order_id],1):Table_Sales[[#This Row],[order_id]],Table_Sales[[#This Row],[order_id]])=1,1,0)</f>
        <v>1</v>
      </c>
      <c r="L9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99" t="str">
        <v>B-25752</v>
      </c>
    </row>
    <row r="100" spans="1:14" x14ac:dyDescent="0.25">
      <c r="A100" t="s">
        <v>123</v>
      </c>
      <c r="B100" s="1">
        <v>24</v>
      </c>
      <c r="C100" s="1">
        <v>-1</v>
      </c>
      <c r="D100">
        <v>2</v>
      </c>
      <c r="E100" t="s">
        <v>23</v>
      </c>
      <c r="F100" t="s">
        <v>30</v>
      </c>
      <c r="G100" t="s">
        <v>10</v>
      </c>
      <c r="H100">
        <f>IF(Table_Sales[[#This Row],[profit]]&lt;0,1,0)</f>
        <v>1</v>
      </c>
      <c r="I100" t="str" cm="1">
        <f t="array" ref="I100">_xlfn.IFS(Table_Sales[[#This Row],[quantity]]&lt;=3,"1-3",Table_Sales[[#This Row],[quantity]]&lt;=7,"2-7",Table_Sales[[#This Row],[quantity]]&lt;=10,"8-10",TRUE,"11 and above")</f>
        <v>1-3</v>
      </c>
      <c r="J100" t="str" cm="1">
        <f t="array" ref="J100">_xlfn.IFS(Table_Sales[[#This Row],[amount]]&lt;1000,"Under 1000",Table_Sales[[#This Row],[amount]]&lt;3000,"1000 - 2999",Table_Sales[[#This Row],[amount]]&lt;5000,"3000 - 4999",TRUE,"5000 &amp; above")</f>
        <v>Under 1000</v>
      </c>
      <c r="K100">
        <f>IF(COUNTIFS(INDEX(Table_Sales[order_id],1):Table_Sales[[#This Row],[order_id]],Table_Sales[[#This Row],[order_id]])=1,1,0)</f>
        <v>1</v>
      </c>
      <c r="L10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100" t="str">
        <v>B-26098</v>
      </c>
    </row>
    <row r="101" spans="1:14" x14ac:dyDescent="0.25">
      <c r="A101" t="s">
        <v>124</v>
      </c>
      <c r="B101" s="1">
        <v>774</v>
      </c>
      <c r="C101" s="1">
        <v>170</v>
      </c>
      <c r="D101">
        <v>3</v>
      </c>
      <c r="E101" t="s">
        <v>8</v>
      </c>
      <c r="F101" t="s">
        <v>73</v>
      </c>
      <c r="G101" t="s">
        <v>10</v>
      </c>
      <c r="H101">
        <f>IF(Table_Sales[[#This Row],[profit]]&lt;0,1,0)</f>
        <v>0</v>
      </c>
      <c r="I101" t="str" cm="1">
        <f t="array" ref="I101">_xlfn.IFS(Table_Sales[[#This Row],[quantity]]&lt;=3,"1-3",Table_Sales[[#This Row],[quantity]]&lt;=7,"2-7",Table_Sales[[#This Row],[quantity]]&lt;=10,"8-10",TRUE,"11 and above")</f>
        <v>1-3</v>
      </c>
      <c r="J101" t="str" cm="1">
        <f t="array" ref="J101">_xlfn.IFS(Table_Sales[[#This Row],[amount]]&lt;1000,"Under 1000",Table_Sales[[#This Row],[amount]]&lt;3000,"1000 - 2999",Table_Sales[[#This Row],[amount]]&lt;5000,"3000 - 4999",TRUE,"5000 &amp; above")</f>
        <v>Under 1000</v>
      </c>
      <c r="K101">
        <f>IF(COUNTIFS(INDEX(Table_Sales[order_id],1):Table_Sales[[#This Row],[order_id]],Table_Sales[[#This Row],[order_id]])=1,1,0)</f>
        <v>1</v>
      </c>
      <c r="L10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101" t="str">
        <v>B-26067</v>
      </c>
    </row>
    <row r="102" spans="1:14" x14ac:dyDescent="0.25">
      <c r="A102" t="s">
        <v>111</v>
      </c>
      <c r="B102" s="1">
        <v>93</v>
      </c>
      <c r="C102" s="1">
        <v>-1</v>
      </c>
      <c r="D102">
        <v>2</v>
      </c>
      <c r="E102" t="s">
        <v>23</v>
      </c>
      <c r="F102" t="s">
        <v>30</v>
      </c>
      <c r="G102" t="s">
        <v>10</v>
      </c>
      <c r="H102">
        <f>IF(Table_Sales[[#This Row],[profit]]&lt;0,1,0)</f>
        <v>1</v>
      </c>
      <c r="I102" t="str" cm="1">
        <f t="array" ref="I102">_xlfn.IFS(Table_Sales[[#This Row],[quantity]]&lt;=3,"1-3",Table_Sales[[#This Row],[quantity]]&lt;=7,"2-7",Table_Sales[[#This Row],[quantity]]&lt;=10,"8-10",TRUE,"11 and above")</f>
        <v>1-3</v>
      </c>
      <c r="J102" t="str" cm="1">
        <f t="array" ref="J102">_xlfn.IFS(Table_Sales[[#This Row],[amount]]&lt;1000,"Under 1000",Table_Sales[[#This Row],[amount]]&lt;3000,"1000 - 2999",Table_Sales[[#This Row],[amount]]&lt;5000,"3000 - 4999",TRUE,"5000 &amp; above")</f>
        <v>Under 1000</v>
      </c>
      <c r="K102">
        <f>IF(COUNTIFS(INDEX(Table_Sales[order_id],1):Table_Sales[[#This Row],[order_id]],Table_Sales[[#This Row],[order_id]])=1,1,0)</f>
        <v>0</v>
      </c>
      <c r="L10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102" t="str">
        <v>B-25986</v>
      </c>
    </row>
    <row r="103" spans="1:14" x14ac:dyDescent="0.25">
      <c r="A103" t="s">
        <v>125</v>
      </c>
      <c r="B103" s="1">
        <v>765</v>
      </c>
      <c r="C103" s="1">
        <v>-36</v>
      </c>
      <c r="D103">
        <v>3</v>
      </c>
      <c r="E103" t="s">
        <v>8</v>
      </c>
      <c r="F103" t="s">
        <v>9</v>
      </c>
      <c r="G103" t="s">
        <v>10</v>
      </c>
      <c r="H103">
        <f>IF(Table_Sales[[#This Row],[profit]]&lt;0,1,0)</f>
        <v>1</v>
      </c>
      <c r="I103" t="str" cm="1">
        <f t="array" ref="I103">_xlfn.IFS(Table_Sales[[#This Row],[quantity]]&lt;=3,"1-3",Table_Sales[[#This Row],[quantity]]&lt;=7,"2-7",Table_Sales[[#This Row],[quantity]]&lt;=10,"8-10",TRUE,"11 and above")</f>
        <v>1-3</v>
      </c>
      <c r="J103" t="str" cm="1">
        <f t="array" ref="J103">_xlfn.IFS(Table_Sales[[#This Row],[amount]]&lt;1000,"Under 1000",Table_Sales[[#This Row],[amount]]&lt;3000,"1000 - 2999",Table_Sales[[#This Row],[amount]]&lt;5000,"3000 - 4999",TRUE,"5000 &amp; above")</f>
        <v>Under 1000</v>
      </c>
      <c r="K103">
        <f>IF(COUNTIFS(INDEX(Table_Sales[order_id],1):Table_Sales[[#This Row],[order_id]],Table_Sales[[#This Row],[order_id]])=1,1,0)</f>
        <v>1</v>
      </c>
      <c r="L10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103" t="str">
        <v>B-25953</v>
      </c>
    </row>
    <row r="104" spans="1:14" x14ac:dyDescent="0.25">
      <c r="A104" t="s">
        <v>126</v>
      </c>
      <c r="B104" s="1">
        <v>762</v>
      </c>
      <c r="C104" s="1">
        <v>101</v>
      </c>
      <c r="D104">
        <v>6</v>
      </c>
      <c r="E104" t="s">
        <v>8</v>
      </c>
      <c r="F104" t="s">
        <v>18</v>
      </c>
      <c r="G104" t="s">
        <v>10</v>
      </c>
      <c r="H104">
        <f>IF(Table_Sales[[#This Row],[profit]]&lt;0,1,0)</f>
        <v>0</v>
      </c>
      <c r="I104" t="str" cm="1">
        <f t="array" ref="I104">_xlfn.IFS(Table_Sales[[#This Row],[quantity]]&lt;=3,"1-3",Table_Sales[[#This Row],[quantity]]&lt;=7,"2-7",Table_Sales[[#This Row],[quantity]]&lt;=10,"8-10",TRUE,"11 and above")</f>
        <v>2-7</v>
      </c>
      <c r="J104" t="str" cm="1">
        <f t="array" ref="J104">_xlfn.IFS(Table_Sales[[#This Row],[amount]]&lt;1000,"Under 1000",Table_Sales[[#This Row],[amount]]&lt;3000,"1000 - 2999",Table_Sales[[#This Row],[amount]]&lt;5000,"3000 - 4999",TRUE,"5000 &amp; above")</f>
        <v>Under 1000</v>
      </c>
      <c r="K104">
        <f>IF(COUNTIFS(INDEX(Table_Sales[order_id],1):Table_Sales[[#This Row],[order_id]],Table_Sales[[#This Row],[order_id]])=1,1,0)</f>
        <v>1</v>
      </c>
      <c r="L10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104" t="str">
        <v>B-25952</v>
      </c>
    </row>
    <row r="105" spans="1:14" x14ac:dyDescent="0.25">
      <c r="A105" t="s">
        <v>127</v>
      </c>
      <c r="B105" s="1">
        <v>761</v>
      </c>
      <c r="C105" s="1">
        <v>266</v>
      </c>
      <c r="D105">
        <v>9</v>
      </c>
      <c r="E105" t="s">
        <v>8</v>
      </c>
      <c r="F105" t="s">
        <v>9</v>
      </c>
      <c r="G105" t="s">
        <v>10</v>
      </c>
      <c r="H105">
        <f>IF(Table_Sales[[#This Row],[profit]]&lt;0,1,0)</f>
        <v>0</v>
      </c>
      <c r="I105" t="str" cm="1">
        <f t="array" ref="I105">_xlfn.IFS(Table_Sales[[#This Row],[quantity]]&lt;=3,"1-3",Table_Sales[[#This Row],[quantity]]&lt;=7,"2-7",Table_Sales[[#This Row],[quantity]]&lt;=10,"8-10",TRUE,"11 and above")</f>
        <v>8-10</v>
      </c>
      <c r="J105" t="str" cm="1">
        <f t="array" ref="J105">_xlfn.IFS(Table_Sales[[#This Row],[amount]]&lt;1000,"Under 1000",Table_Sales[[#This Row],[amount]]&lt;3000,"1000 - 2999",Table_Sales[[#This Row],[amount]]&lt;5000,"3000 - 4999",TRUE,"5000 &amp; above")</f>
        <v>Under 1000</v>
      </c>
      <c r="K105">
        <f>IF(COUNTIFS(INDEX(Table_Sales[order_id],1):Table_Sales[[#This Row],[order_id]],Table_Sales[[#This Row],[order_id]])=1,1,0)</f>
        <v>1</v>
      </c>
      <c r="L10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105" t="str">
        <v>B-25903</v>
      </c>
    </row>
    <row r="106" spans="1:14" x14ac:dyDescent="0.25">
      <c r="A106" t="s">
        <v>128</v>
      </c>
      <c r="B106" s="1">
        <v>96</v>
      </c>
      <c r="C106" s="1">
        <v>-48</v>
      </c>
      <c r="D106">
        <v>5</v>
      </c>
      <c r="E106" t="s">
        <v>23</v>
      </c>
      <c r="F106" t="s">
        <v>63</v>
      </c>
      <c r="G106" t="s">
        <v>28</v>
      </c>
      <c r="H106">
        <f>IF(Table_Sales[[#This Row],[profit]]&lt;0,1,0)</f>
        <v>1</v>
      </c>
      <c r="I106" t="str" cm="1">
        <f t="array" ref="I106">_xlfn.IFS(Table_Sales[[#This Row],[quantity]]&lt;=3,"1-3",Table_Sales[[#This Row],[quantity]]&lt;=7,"2-7",Table_Sales[[#This Row],[quantity]]&lt;=10,"8-10",TRUE,"11 and above")</f>
        <v>2-7</v>
      </c>
      <c r="J106" t="str" cm="1">
        <f t="array" ref="J106">_xlfn.IFS(Table_Sales[[#This Row],[amount]]&lt;1000,"Under 1000",Table_Sales[[#This Row],[amount]]&lt;3000,"1000 - 2999",Table_Sales[[#This Row],[amount]]&lt;5000,"3000 - 4999",TRUE,"5000 &amp; above")</f>
        <v>Under 1000</v>
      </c>
      <c r="K106">
        <f>IF(COUNTIFS(INDEX(Table_Sales[order_id],1):Table_Sales[[#This Row],[order_id]],Table_Sales[[#This Row],[order_id]])=1,1,0)</f>
        <v>1</v>
      </c>
      <c r="L10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106" t="str">
        <v>B-25650</v>
      </c>
    </row>
    <row r="107" spans="1:14" x14ac:dyDescent="0.25">
      <c r="A107" t="s">
        <v>129</v>
      </c>
      <c r="B107" s="1">
        <v>1137</v>
      </c>
      <c r="C107" s="1">
        <v>-14</v>
      </c>
      <c r="D107">
        <v>7</v>
      </c>
      <c r="E107" t="s">
        <v>8</v>
      </c>
      <c r="F107" t="s">
        <v>18</v>
      </c>
      <c r="G107" t="s">
        <v>14</v>
      </c>
      <c r="H107">
        <f>IF(Table_Sales[[#This Row],[profit]]&lt;0,1,0)</f>
        <v>1</v>
      </c>
      <c r="I107" t="str" cm="1">
        <f t="array" ref="I107">_xlfn.IFS(Table_Sales[[#This Row],[quantity]]&lt;=3,"1-3",Table_Sales[[#This Row],[quantity]]&lt;=7,"2-7",Table_Sales[[#This Row],[quantity]]&lt;=10,"8-10",TRUE,"11 and above")</f>
        <v>2-7</v>
      </c>
      <c r="J107" t="str" cm="1">
        <f t="array" ref="J107">_xlfn.IFS(Table_Sales[[#This Row],[amount]]&lt;1000,"Under 1000",Table_Sales[[#This Row],[amount]]&lt;3000,"1000 - 2999",Table_Sales[[#This Row],[amount]]&lt;5000,"3000 - 4999",TRUE,"5000 &amp; above")</f>
        <v>1000 - 2999</v>
      </c>
      <c r="K107">
        <f>IF(COUNTIFS(INDEX(Table_Sales[order_id],1):Table_Sales[[#This Row],[order_id]],Table_Sales[[#This Row],[order_id]])=1,1,0)</f>
        <v>1</v>
      </c>
      <c r="L10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107" t="str">
        <v>B-25970</v>
      </c>
    </row>
    <row r="108" spans="1:14" x14ac:dyDescent="0.25">
      <c r="A108" t="s">
        <v>121</v>
      </c>
      <c r="B108" s="1">
        <v>18</v>
      </c>
      <c r="C108" s="1">
        <v>8</v>
      </c>
      <c r="D108">
        <v>2</v>
      </c>
      <c r="E108" t="s">
        <v>23</v>
      </c>
      <c r="F108" t="s">
        <v>30</v>
      </c>
      <c r="G108" t="s">
        <v>82</v>
      </c>
      <c r="H108">
        <f>IF(Table_Sales[[#This Row],[profit]]&lt;0,1,0)</f>
        <v>0</v>
      </c>
      <c r="I108" t="str" cm="1">
        <f t="array" ref="I108">_xlfn.IFS(Table_Sales[[#This Row],[quantity]]&lt;=3,"1-3",Table_Sales[[#This Row],[quantity]]&lt;=7,"2-7",Table_Sales[[#This Row],[quantity]]&lt;=10,"8-10",TRUE,"11 and above")</f>
        <v>1-3</v>
      </c>
      <c r="J108" t="str" cm="1">
        <f t="array" ref="J108">_xlfn.IFS(Table_Sales[[#This Row],[amount]]&lt;1000,"Under 1000",Table_Sales[[#This Row],[amount]]&lt;3000,"1000 - 2999",Table_Sales[[#This Row],[amount]]&lt;5000,"3000 - 4999",TRUE,"5000 &amp; above")</f>
        <v>Under 1000</v>
      </c>
      <c r="K108">
        <f>IF(COUNTIFS(INDEX(Table_Sales[order_id],1):Table_Sales[[#This Row],[order_id]],Table_Sales[[#This Row],[order_id]])=1,1,0)</f>
        <v>0</v>
      </c>
      <c r="L10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108" t="str">
        <v>B-26062</v>
      </c>
    </row>
    <row r="109" spans="1:14" x14ac:dyDescent="0.25">
      <c r="A109" t="s">
        <v>130</v>
      </c>
      <c r="B109" s="1">
        <v>749</v>
      </c>
      <c r="C109" s="1">
        <v>-307</v>
      </c>
      <c r="D109">
        <v>7</v>
      </c>
      <c r="E109" t="s">
        <v>12</v>
      </c>
      <c r="F109" t="s">
        <v>131</v>
      </c>
      <c r="G109" t="s">
        <v>10</v>
      </c>
      <c r="H109">
        <f>IF(Table_Sales[[#This Row],[profit]]&lt;0,1,0)</f>
        <v>1</v>
      </c>
      <c r="I109" t="str" cm="1">
        <f t="array" ref="I109">_xlfn.IFS(Table_Sales[[#This Row],[quantity]]&lt;=3,"1-3",Table_Sales[[#This Row],[quantity]]&lt;=7,"2-7",Table_Sales[[#This Row],[quantity]]&lt;=10,"8-10",TRUE,"11 and above")</f>
        <v>2-7</v>
      </c>
      <c r="J109" t="str" cm="1">
        <f t="array" ref="J109">_xlfn.IFS(Table_Sales[[#This Row],[amount]]&lt;1000,"Under 1000",Table_Sales[[#This Row],[amount]]&lt;3000,"1000 - 2999",Table_Sales[[#This Row],[amount]]&lt;5000,"3000 - 4999",TRUE,"5000 &amp; above")</f>
        <v>Under 1000</v>
      </c>
      <c r="K109">
        <f>IF(COUNTIFS(INDEX(Table_Sales[order_id],1):Table_Sales[[#This Row],[order_id]],Table_Sales[[#This Row],[order_id]])=1,1,0)</f>
        <v>1</v>
      </c>
      <c r="L10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109" t="str">
        <v>B-25632</v>
      </c>
    </row>
    <row r="110" spans="1:14" x14ac:dyDescent="0.25">
      <c r="A110" t="s">
        <v>129</v>
      </c>
      <c r="B110" s="1">
        <v>1120</v>
      </c>
      <c r="C110" s="1">
        <v>199</v>
      </c>
      <c r="D110">
        <v>6</v>
      </c>
      <c r="E110" t="s">
        <v>23</v>
      </c>
      <c r="F110" t="s">
        <v>26</v>
      </c>
      <c r="G110" t="s">
        <v>14</v>
      </c>
      <c r="H110">
        <f>IF(Table_Sales[[#This Row],[profit]]&lt;0,1,0)</f>
        <v>0</v>
      </c>
      <c r="I110" t="str" cm="1">
        <f t="array" ref="I110">_xlfn.IFS(Table_Sales[[#This Row],[quantity]]&lt;=3,"1-3",Table_Sales[[#This Row],[quantity]]&lt;=7,"2-7",Table_Sales[[#This Row],[quantity]]&lt;=10,"8-10",TRUE,"11 and above")</f>
        <v>2-7</v>
      </c>
      <c r="J110" t="str" cm="1">
        <f t="array" ref="J110">_xlfn.IFS(Table_Sales[[#This Row],[amount]]&lt;1000,"Under 1000",Table_Sales[[#This Row],[amount]]&lt;3000,"1000 - 2999",Table_Sales[[#This Row],[amount]]&lt;5000,"3000 - 4999",TRUE,"5000 &amp; above")</f>
        <v>1000 - 2999</v>
      </c>
      <c r="K110">
        <f>IF(COUNTIFS(INDEX(Table_Sales[order_id],1):Table_Sales[[#This Row],[order_id]],Table_Sales[[#This Row],[order_id]])=1,1,0)</f>
        <v>0</v>
      </c>
      <c r="L11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110" t="str">
        <v>B-25821</v>
      </c>
    </row>
    <row r="111" spans="1:14" x14ac:dyDescent="0.25">
      <c r="A111" t="s">
        <v>132</v>
      </c>
      <c r="B111" s="1">
        <v>744</v>
      </c>
      <c r="C111" s="1">
        <v>119</v>
      </c>
      <c r="D111">
        <v>6</v>
      </c>
      <c r="E111" t="s">
        <v>8</v>
      </c>
      <c r="F111" t="s">
        <v>18</v>
      </c>
      <c r="G111" t="s">
        <v>10</v>
      </c>
      <c r="H111">
        <f>IF(Table_Sales[[#This Row],[profit]]&lt;0,1,0)</f>
        <v>0</v>
      </c>
      <c r="I111" t="str" cm="1">
        <f t="array" ref="I111">_xlfn.IFS(Table_Sales[[#This Row],[quantity]]&lt;=3,"1-3",Table_Sales[[#This Row],[quantity]]&lt;=7,"2-7",Table_Sales[[#This Row],[quantity]]&lt;=10,"8-10",TRUE,"11 and above")</f>
        <v>2-7</v>
      </c>
      <c r="J111" t="str" cm="1">
        <f t="array" ref="J111">_xlfn.IFS(Table_Sales[[#This Row],[amount]]&lt;1000,"Under 1000",Table_Sales[[#This Row],[amount]]&lt;3000,"1000 - 2999",Table_Sales[[#This Row],[amount]]&lt;5000,"3000 - 4999",TRUE,"5000 &amp; above")</f>
        <v>Under 1000</v>
      </c>
      <c r="K111">
        <f>IF(COUNTIFS(INDEX(Table_Sales[order_id],1):Table_Sales[[#This Row],[order_id]],Table_Sales[[#This Row],[order_id]])=1,1,0)</f>
        <v>1</v>
      </c>
      <c r="L11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111" t="str">
        <v>B-25878</v>
      </c>
    </row>
    <row r="112" spans="1:14" x14ac:dyDescent="0.25">
      <c r="A112" t="s">
        <v>133</v>
      </c>
      <c r="B112" s="1">
        <v>14</v>
      </c>
      <c r="C112" s="1">
        <v>0</v>
      </c>
      <c r="D112">
        <v>4</v>
      </c>
      <c r="E112" t="s">
        <v>23</v>
      </c>
      <c r="F112" t="s">
        <v>30</v>
      </c>
      <c r="G112" t="s">
        <v>28</v>
      </c>
      <c r="H112">
        <f>IF(Table_Sales[[#This Row],[profit]]&lt;0,1,0)</f>
        <v>0</v>
      </c>
      <c r="I112" t="str" cm="1">
        <f t="array" ref="I112">_xlfn.IFS(Table_Sales[[#This Row],[quantity]]&lt;=3,"1-3",Table_Sales[[#This Row],[quantity]]&lt;=7,"2-7",Table_Sales[[#This Row],[quantity]]&lt;=10,"8-10",TRUE,"11 and above")</f>
        <v>2-7</v>
      </c>
      <c r="J112" t="str" cm="1">
        <f t="array" ref="J112">_xlfn.IFS(Table_Sales[[#This Row],[amount]]&lt;1000,"Under 1000",Table_Sales[[#This Row],[amount]]&lt;3000,"1000 - 2999",Table_Sales[[#This Row],[amount]]&lt;5000,"3000 - 4999",TRUE,"5000 &amp; above")</f>
        <v>Under 1000</v>
      </c>
      <c r="K112">
        <f>IF(COUNTIFS(INDEX(Table_Sales[order_id],1):Table_Sales[[#This Row],[order_id]],Table_Sales[[#This Row],[order_id]])=1,1,0)</f>
        <v>1</v>
      </c>
      <c r="L11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112" t="str">
        <v>B-25750</v>
      </c>
    </row>
    <row r="113" spans="1:14" x14ac:dyDescent="0.25">
      <c r="A113" t="s">
        <v>134</v>
      </c>
      <c r="B113" s="1">
        <v>19</v>
      </c>
      <c r="C113" s="1">
        <v>8</v>
      </c>
      <c r="D113">
        <v>2</v>
      </c>
      <c r="E113" t="s">
        <v>23</v>
      </c>
      <c r="F113" t="s">
        <v>30</v>
      </c>
      <c r="G113" t="s">
        <v>82</v>
      </c>
      <c r="H113">
        <f>IF(Table_Sales[[#This Row],[profit]]&lt;0,1,0)</f>
        <v>0</v>
      </c>
      <c r="I113" t="str" cm="1">
        <f t="array" ref="I113">_xlfn.IFS(Table_Sales[[#This Row],[quantity]]&lt;=3,"1-3",Table_Sales[[#This Row],[quantity]]&lt;=7,"2-7",Table_Sales[[#This Row],[quantity]]&lt;=10,"8-10",TRUE,"11 and above")</f>
        <v>1-3</v>
      </c>
      <c r="J113" t="str" cm="1">
        <f t="array" ref="J113">_xlfn.IFS(Table_Sales[[#This Row],[amount]]&lt;1000,"Under 1000",Table_Sales[[#This Row],[amount]]&lt;3000,"1000 - 2999",Table_Sales[[#This Row],[amount]]&lt;5000,"3000 - 4999",TRUE,"5000 &amp; above")</f>
        <v>Under 1000</v>
      </c>
      <c r="K113">
        <f>IF(COUNTIFS(INDEX(Table_Sales[order_id],1):Table_Sales[[#This Row],[order_id]],Table_Sales[[#This Row],[order_id]])=1,1,0)</f>
        <v>1</v>
      </c>
      <c r="L11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113" t="str">
        <v>B-25657</v>
      </c>
    </row>
    <row r="114" spans="1:14" x14ac:dyDescent="0.25">
      <c r="A114" t="s">
        <v>135</v>
      </c>
      <c r="B114" s="1">
        <v>512</v>
      </c>
      <c r="C114" s="1">
        <v>-225</v>
      </c>
      <c r="D114">
        <v>5</v>
      </c>
      <c r="E114" t="s">
        <v>23</v>
      </c>
      <c r="F114" t="s">
        <v>26</v>
      </c>
      <c r="G114" t="s">
        <v>10</v>
      </c>
      <c r="H114">
        <f>IF(Table_Sales[[#This Row],[profit]]&lt;0,1,0)</f>
        <v>1</v>
      </c>
      <c r="I114" t="str" cm="1">
        <f t="array" ref="I114">_xlfn.IFS(Table_Sales[[#This Row],[quantity]]&lt;=3,"1-3",Table_Sales[[#This Row],[quantity]]&lt;=7,"2-7",Table_Sales[[#This Row],[quantity]]&lt;=10,"8-10",TRUE,"11 and above")</f>
        <v>2-7</v>
      </c>
      <c r="J114" t="str" cm="1">
        <f t="array" ref="J114">_xlfn.IFS(Table_Sales[[#This Row],[amount]]&lt;1000,"Under 1000",Table_Sales[[#This Row],[amount]]&lt;3000,"1000 - 2999",Table_Sales[[#This Row],[amount]]&lt;5000,"3000 - 4999",TRUE,"5000 &amp; above")</f>
        <v>Under 1000</v>
      </c>
      <c r="K114">
        <f>IF(COUNTIFS(INDEX(Table_Sales[order_id],1):Table_Sales[[#This Row],[order_id]],Table_Sales[[#This Row],[order_id]])=1,1,0)</f>
        <v>1</v>
      </c>
      <c r="L11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114" t="str">
        <v>B-25787</v>
      </c>
    </row>
    <row r="115" spans="1:14" x14ac:dyDescent="0.25">
      <c r="A115" t="s">
        <v>136</v>
      </c>
      <c r="B115" s="1">
        <v>742</v>
      </c>
      <c r="C115" s="1">
        <v>198</v>
      </c>
      <c r="D115">
        <v>2</v>
      </c>
      <c r="E115" t="s">
        <v>12</v>
      </c>
      <c r="F115" t="s">
        <v>16</v>
      </c>
      <c r="G115" t="s">
        <v>10</v>
      </c>
      <c r="H115">
        <f>IF(Table_Sales[[#This Row],[profit]]&lt;0,1,0)</f>
        <v>0</v>
      </c>
      <c r="I115" t="str" cm="1">
        <f t="array" ref="I115">_xlfn.IFS(Table_Sales[[#This Row],[quantity]]&lt;=3,"1-3",Table_Sales[[#This Row],[quantity]]&lt;=7,"2-7",Table_Sales[[#This Row],[quantity]]&lt;=10,"8-10",TRUE,"11 and above")</f>
        <v>1-3</v>
      </c>
      <c r="J115" t="str" cm="1">
        <f t="array" ref="J115">_xlfn.IFS(Table_Sales[[#This Row],[amount]]&lt;1000,"Under 1000",Table_Sales[[#This Row],[amount]]&lt;3000,"1000 - 2999",Table_Sales[[#This Row],[amount]]&lt;5000,"3000 - 4999",TRUE,"5000 &amp; above")</f>
        <v>Under 1000</v>
      </c>
      <c r="K115">
        <f>IF(COUNTIFS(INDEX(Table_Sales[order_id],1):Table_Sales[[#This Row],[order_id]],Table_Sales[[#This Row],[order_id]])=1,1,0)</f>
        <v>1</v>
      </c>
      <c r="L11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115" t="str">
        <v>B-25808</v>
      </c>
    </row>
    <row r="116" spans="1:14" x14ac:dyDescent="0.25">
      <c r="A116" t="s">
        <v>137</v>
      </c>
      <c r="B116" s="1">
        <v>44</v>
      </c>
      <c r="C116" s="1">
        <v>-40</v>
      </c>
      <c r="D116">
        <v>3</v>
      </c>
      <c r="E116" t="s">
        <v>23</v>
      </c>
      <c r="F116" t="s">
        <v>57</v>
      </c>
      <c r="G116" t="s">
        <v>10</v>
      </c>
      <c r="H116">
        <f>IF(Table_Sales[[#This Row],[profit]]&lt;0,1,0)</f>
        <v>1</v>
      </c>
      <c r="I116" t="str" cm="1">
        <f t="array" ref="I116">_xlfn.IFS(Table_Sales[[#This Row],[quantity]]&lt;=3,"1-3",Table_Sales[[#This Row],[quantity]]&lt;=7,"2-7",Table_Sales[[#This Row],[quantity]]&lt;=10,"8-10",TRUE,"11 and above")</f>
        <v>1-3</v>
      </c>
      <c r="J116" t="str" cm="1">
        <f t="array" ref="J116">_xlfn.IFS(Table_Sales[[#This Row],[amount]]&lt;1000,"Under 1000",Table_Sales[[#This Row],[amount]]&lt;3000,"1000 - 2999",Table_Sales[[#This Row],[amount]]&lt;5000,"3000 - 4999",TRUE,"5000 &amp; above")</f>
        <v>Under 1000</v>
      </c>
      <c r="K116">
        <f>IF(COUNTIFS(INDEX(Table_Sales[order_id],1):Table_Sales[[#This Row],[order_id]],Table_Sales[[#This Row],[order_id]])=1,1,0)</f>
        <v>1</v>
      </c>
      <c r="L11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116" t="str">
        <v>B-25885</v>
      </c>
    </row>
    <row r="117" spans="1:14" x14ac:dyDescent="0.25">
      <c r="A117" t="s">
        <v>29</v>
      </c>
      <c r="B117" s="1">
        <v>1061</v>
      </c>
      <c r="C117" s="1">
        <v>-36</v>
      </c>
      <c r="D117">
        <v>8</v>
      </c>
      <c r="E117" t="s">
        <v>12</v>
      </c>
      <c r="F117" t="s">
        <v>16</v>
      </c>
      <c r="G117" t="s">
        <v>14</v>
      </c>
      <c r="H117">
        <f>IF(Table_Sales[[#This Row],[profit]]&lt;0,1,0)</f>
        <v>1</v>
      </c>
      <c r="I117" t="str" cm="1">
        <f t="array" ref="I117">_xlfn.IFS(Table_Sales[[#This Row],[quantity]]&lt;=3,"1-3",Table_Sales[[#This Row],[quantity]]&lt;=7,"2-7",Table_Sales[[#This Row],[quantity]]&lt;=10,"8-10",TRUE,"11 and above")</f>
        <v>8-10</v>
      </c>
      <c r="J117" t="str" cm="1">
        <f t="array" ref="J117">_xlfn.IFS(Table_Sales[[#This Row],[amount]]&lt;1000,"Under 1000",Table_Sales[[#This Row],[amount]]&lt;3000,"1000 - 2999",Table_Sales[[#This Row],[amount]]&lt;5000,"3000 - 4999",TRUE,"5000 &amp; above")</f>
        <v>1000 - 2999</v>
      </c>
      <c r="K117">
        <f>IF(COUNTIFS(INDEX(Table_Sales[order_id],1):Table_Sales[[#This Row],[order_id]],Table_Sales[[#This Row],[order_id]])=1,1,0)</f>
        <v>0</v>
      </c>
      <c r="L11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117" t="str">
        <v>B-25759</v>
      </c>
    </row>
    <row r="118" spans="1:14" x14ac:dyDescent="0.25">
      <c r="A118" t="s">
        <v>138</v>
      </c>
      <c r="B118" s="1">
        <v>19</v>
      </c>
      <c r="C118" s="1">
        <v>-2</v>
      </c>
      <c r="D118">
        <v>2</v>
      </c>
      <c r="E118" t="s">
        <v>23</v>
      </c>
      <c r="F118" t="s">
        <v>63</v>
      </c>
      <c r="G118" t="s">
        <v>82</v>
      </c>
      <c r="H118">
        <f>IF(Table_Sales[[#This Row],[profit]]&lt;0,1,0)</f>
        <v>1</v>
      </c>
      <c r="I118" t="str" cm="1">
        <f t="array" ref="I118">_xlfn.IFS(Table_Sales[[#This Row],[quantity]]&lt;=3,"1-3",Table_Sales[[#This Row],[quantity]]&lt;=7,"2-7",Table_Sales[[#This Row],[quantity]]&lt;=10,"8-10",TRUE,"11 and above")</f>
        <v>1-3</v>
      </c>
      <c r="J118" t="str" cm="1">
        <f t="array" ref="J118">_xlfn.IFS(Table_Sales[[#This Row],[amount]]&lt;1000,"Under 1000",Table_Sales[[#This Row],[amount]]&lt;3000,"1000 - 2999",Table_Sales[[#This Row],[amount]]&lt;5000,"3000 - 4999",TRUE,"5000 &amp; above")</f>
        <v>Under 1000</v>
      </c>
      <c r="K118">
        <f>IF(COUNTIFS(INDEX(Table_Sales[order_id],1):Table_Sales[[#This Row],[order_id]],Table_Sales[[#This Row],[order_id]])=1,1,0)</f>
        <v>1</v>
      </c>
      <c r="L11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118" t="str">
        <v>B-25747</v>
      </c>
    </row>
    <row r="119" spans="1:14" x14ac:dyDescent="0.25">
      <c r="A119" t="s">
        <v>139</v>
      </c>
      <c r="B119" s="1">
        <v>17</v>
      </c>
      <c r="C119" s="1">
        <v>0</v>
      </c>
      <c r="D119">
        <v>1</v>
      </c>
      <c r="E119" t="s">
        <v>23</v>
      </c>
      <c r="F119" t="s">
        <v>30</v>
      </c>
      <c r="G119" t="s">
        <v>10</v>
      </c>
      <c r="H119">
        <f>IF(Table_Sales[[#This Row],[profit]]&lt;0,1,0)</f>
        <v>0</v>
      </c>
      <c r="I119" t="str" cm="1">
        <f t="array" ref="I119">_xlfn.IFS(Table_Sales[[#This Row],[quantity]]&lt;=3,"1-3",Table_Sales[[#This Row],[quantity]]&lt;=7,"2-7",Table_Sales[[#This Row],[quantity]]&lt;=10,"8-10",TRUE,"11 and above")</f>
        <v>1-3</v>
      </c>
      <c r="J119" t="str" cm="1">
        <f t="array" ref="J119">_xlfn.IFS(Table_Sales[[#This Row],[amount]]&lt;1000,"Under 1000",Table_Sales[[#This Row],[amount]]&lt;3000,"1000 - 2999",Table_Sales[[#This Row],[amount]]&lt;5000,"3000 - 4999",TRUE,"5000 &amp; above")</f>
        <v>Under 1000</v>
      </c>
      <c r="K119">
        <f>IF(COUNTIFS(INDEX(Table_Sales[order_id],1):Table_Sales[[#This Row],[order_id]],Table_Sales[[#This Row],[order_id]])=1,1,0)</f>
        <v>1</v>
      </c>
      <c r="L11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119" t="str">
        <v>B-25603</v>
      </c>
    </row>
    <row r="120" spans="1:14" x14ac:dyDescent="0.25">
      <c r="A120" t="s">
        <v>140</v>
      </c>
      <c r="B120" s="1">
        <v>741</v>
      </c>
      <c r="C120" s="1">
        <v>267</v>
      </c>
      <c r="D120">
        <v>5</v>
      </c>
      <c r="E120" t="s">
        <v>12</v>
      </c>
      <c r="F120" t="s">
        <v>16</v>
      </c>
      <c r="G120" t="s">
        <v>10</v>
      </c>
      <c r="H120">
        <f>IF(Table_Sales[[#This Row],[profit]]&lt;0,1,0)</f>
        <v>0</v>
      </c>
      <c r="I120" t="str" cm="1">
        <f t="array" ref="I120">_xlfn.IFS(Table_Sales[[#This Row],[quantity]]&lt;=3,"1-3",Table_Sales[[#This Row],[quantity]]&lt;=7,"2-7",Table_Sales[[#This Row],[quantity]]&lt;=10,"8-10",TRUE,"11 and above")</f>
        <v>2-7</v>
      </c>
      <c r="J120" t="str" cm="1">
        <f t="array" ref="J120">_xlfn.IFS(Table_Sales[[#This Row],[amount]]&lt;1000,"Under 1000",Table_Sales[[#This Row],[amount]]&lt;3000,"1000 - 2999",Table_Sales[[#This Row],[amount]]&lt;5000,"3000 - 4999",TRUE,"5000 &amp; above")</f>
        <v>Under 1000</v>
      </c>
      <c r="K120">
        <f>IF(COUNTIFS(INDEX(Table_Sales[order_id],1):Table_Sales[[#This Row],[order_id]],Table_Sales[[#This Row],[order_id]])=1,1,0)</f>
        <v>1</v>
      </c>
      <c r="L12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120" t="str">
        <v>B-25691</v>
      </c>
    </row>
    <row r="121" spans="1:14" x14ac:dyDescent="0.25">
      <c r="A121" t="s">
        <v>127</v>
      </c>
      <c r="B121" s="1">
        <v>735</v>
      </c>
      <c r="C121" s="1">
        <v>-235</v>
      </c>
      <c r="D121">
        <v>6</v>
      </c>
      <c r="E121" t="s">
        <v>8</v>
      </c>
      <c r="F121" t="s">
        <v>18</v>
      </c>
      <c r="G121" t="s">
        <v>10</v>
      </c>
      <c r="H121">
        <f>IF(Table_Sales[[#This Row],[profit]]&lt;0,1,0)</f>
        <v>1</v>
      </c>
      <c r="I121" t="str" cm="1">
        <f t="array" ref="I121">_xlfn.IFS(Table_Sales[[#This Row],[quantity]]&lt;=3,"1-3",Table_Sales[[#This Row],[quantity]]&lt;=7,"2-7",Table_Sales[[#This Row],[quantity]]&lt;=10,"8-10",TRUE,"11 and above")</f>
        <v>2-7</v>
      </c>
      <c r="J121" t="str" cm="1">
        <f t="array" ref="J121">_xlfn.IFS(Table_Sales[[#This Row],[amount]]&lt;1000,"Under 1000",Table_Sales[[#This Row],[amount]]&lt;3000,"1000 - 2999",Table_Sales[[#This Row],[amount]]&lt;5000,"3000 - 4999",TRUE,"5000 &amp; above")</f>
        <v>Under 1000</v>
      </c>
      <c r="K121">
        <f>IF(COUNTIFS(INDEX(Table_Sales[order_id],1):Table_Sales[[#This Row],[order_id]],Table_Sales[[#This Row],[order_id]])=1,1,0)</f>
        <v>0</v>
      </c>
      <c r="L12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121" t="str">
        <v>B-25607</v>
      </c>
    </row>
    <row r="122" spans="1:14" x14ac:dyDescent="0.25">
      <c r="A122" t="s">
        <v>141</v>
      </c>
      <c r="B122" s="1">
        <v>19</v>
      </c>
      <c r="C122" s="1">
        <v>-1</v>
      </c>
      <c r="D122">
        <v>1</v>
      </c>
      <c r="E122" t="s">
        <v>23</v>
      </c>
      <c r="F122" t="s">
        <v>142</v>
      </c>
      <c r="G122" t="s">
        <v>82</v>
      </c>
      <c r="H122">
        <f>IF(Table_Sales[[#This Row],[profit]]&lt;0,1,0)</f>
        <v>1</v>
      </c>
      <c r="I122" t="str" cm="1">
        <f t="array" ref="I122">_xlfn.IFS(Table_Sales[[#This Row],[quantity]]&lt;=3,"1-3",Table_Sales[[#This Row],[quantity]]&lt;=7,"2-7",Table_Sales[[#This Row],[quantity]]&lt;=10,"8-10",TRUE,"11 and above")</f>
        <v>1-3</v>
      </c>
      <c r="J122" t="str" cm="1">
        <f t="array" ref="J122">_xlfn.IFS(Table_Sales[[#This Row],[amount]]&lt;1000,"Under 1000",Table_Sales[[#This Row],[amount]]&lt;3000,"1000 - 2999",Table_Sales[[#This Row],[amount]]&lt;5000,"3000 - 4999",TRUE,"5000 &amp; above")</f>
        <v>Under 1000</v>
      </c>
      <c r="K122">
        <f>IF(COUNTIFS(INDEX(Table_Sales[order_id],1):Table_Sales[[#This Row],[order_id]],Table_Sales[[#This Row],[order_id]])=1,1,0)</f>
        <v>1</v>
      </c>
      <c r="L12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122" t="str">
        <v>B-25708</v>
      </c>
    </row>
    <row r="123" spans="1:14" x14ac:dyDescent="0.25">
      <c r="A123" t="s">
        <v>143</v>
      </c>
      <c r="B123" s="1">
        <v>1021</v>
      </c>
      <c r="C123" s="1">
        <v>-48</v>
      </c>
      <c r="D123">
        <v>4</v>
      </c>
      <c r="E123" t="s">
        <v>8</v>
      </c>
      <c r="F123" t="s">
        <v>9</v>
      </c>
      <c r="G123" t="s">
        <v>14</v>
      </c>
      <c r="H123">
        <f>IF(Table_Sales[[#This Row],[profit]]&lt;0,1,0)</f>
        <v>1</v>
      </c>
      <c r="I123" t="str" cm="1">
        <f t="array" ref="I123">_xlfn.IFS(Table_Sales[[#This Row],[quantity]]&lt;=3,"1-3",Table_Sales[[#This Row],[quantity]]&lt;=7,"2-7",Table_Sales[[#This Row],[quantity]]&lt;=10,"8-10",TRUE,"11 and above")</f>
        <v>2-7</v>
      </c>
      <c r="J123" t="str" cm="1">
        <f t="array" ref="J123">_xlfn.IFS(Table_Sales[[#This Row],[amount]]&lt;1000,"Under 1000",Table_Sales[[#This Row],[amount]]&lt;3000,"1000 - 2999",Table_Sales[[#This Row],[amount]]&lt;5000,"3000 - 4999",TRUE,"5000 &amp; above")</f>
        <v>1000 - 2999</v>
      </c>
      <c r="K123">
        <f>IF(COUNTIFS(INDEX(Table_Sales[order_id],1):Table_Sales[[#This Row],[order_id]],Table_Sales[[#This Row],[order_id]])=1,1,0)</f>
        <v>1</v>
      </c>
      <c r="L12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123" t="str">
        <v>B-26021</v>
      </c>
    </row>
    <row r="124" spans="1:14" x14ac:dyDescent="0.25">
      <c r="A124" t="s">
        <v>144</v>
      </c>
      <c r="B124" s="1">
        <v>556</v>
      </c>
      <c r="C124" s="1">
        <v>-209</v>
      </c>
      <c r="D124">
        <v>7</v>
      </c>
      <c r="E124" t="s">
        <v>23</v>
      </c>
      <c r="F124" t="s">
        <v>26</v>
      </c>
      <c r="G124" t="s">
        <v>10</v>
      </c>
      <c r="H124">
        <f>IF(Table_Sales[[#This Row],[profit]]&lt;0,1,0)</f>
        <v>1</v>
      </c>
      <c r="I124" t="str" cm="1">
        <f t="array" ref="I124">_xlfn.IFS(Table_Sales[[#This Row],[quantity]]&lt;=3,"1-3",Table_Sales[[#This Row],[quantity]]&lt;=7,"2-7",Table_Sales[[#This Row],[quantity]]&lt;=10,"8-10",TRUE,"11 and above")</f>
        <v>2-7</v>
      </c>
      <c r="J124" t="str" cm="1">
        <f t="array" ref="J124">_xlfn.IFS(Table_Sales[[#This Row],[amount]]&lt;1000,"Under 1000",Table_Sales[[#This Row],[amount]]&lt;3000,"1000 - 2999",Table_Sales[[#This Row],[amount]]&lt;5000,"3000 - 4999",TRUE,"5000 &amp; above")</f>
        <v>Under 1000</v>
      </c>
      <c r="K124">
        <f>IF(COUNTIFS(INDEX(Table_Sales[order_id],1):Table_Sales[[#This Row],[order_id]],Table_Sales[[#This Row],[order_id]])=1,1,0)</f>
        <v>1</v>
      </c>
      <c r="L12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124" t="str">
        <v>B-25831</v>
      </c>
    </row>
    <row r="125" spans="1:14" x14ac:dyDescent="0.25">
      <c r="A125" t="s">
        <v>145</v>
      </c>
      <c r="B125" s="1">
        <v>63</v>
      </c>
      <c r="C125" s="1">
        <v>-17</v>
      </c>
      <c r="D125">
        <v>6</v>
      </c>
      <c r="E125" t="s">
        <v>23</v>
      </c>
      <c r="F125" t="s">
        <v>63</v>
      </c>
      <c r="G125" t="s">
        <v>10</v>
      </c>
      <c r="H125">
        <f>IF(Table_Sales[[#This Row],[profit]]&lt;0,1,0)</f>
        <v>1</v>
      </c>
      <c r="I125" t="str" cm="1">
        <f t="array" ref="I125">_xlfn.IFS(Table_Sales[[#This Row],[quantity]]&lt;=3,"1-3",Table_Sales[[#This Row],[quantity]]&lt;=7,"2-7",Table_Sales[[#This Row],[quantity]]&lt;=10,"8-10",TRUE,"11 and above")</f>
        <v>2-7</v>
      </c>
      <c r="J125" t="str" cm="1">
        <f t="array" ref="J125">_xlfn.IFS(Table_Sales[[#This Row],[amount]]&lt;1000,"Under 1000",Table_Sales[[#This Row],[amount]]&lt;3000,"1000 - 2999",Table_Sales[[#This Row],[amount]]&lt;5000,"3000 - 4999",TRUE,"5000 &amp; above")</f>
        <v>Under 1000</v>
      </c>
      <c r="K125">
        <f>IF(COUNTIFS(INDEX(Table_Sales[order_id],1):Table_Sales[[#This Row],[order_id]],Table_Sales[[#This Row],[order_id]])=1,1,0)</f>
        <v>1</v>
      </c>
      <c r="L12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125" t="str">
        <v>B-25670</v>
      </c>
    </row>
    <row r="126" spans="1:14" x14ac:dyDescent="0.25">
      <c r="A126" t="s">
        <v>146</v>
      </c>
      <c r="B126" s="1">
        <v>734</v>
      </c>
      <c r="C126" s="1">
        <v>248</v>
      </c>
      <c r="D126">
        <v>2</v>
      </c>
      <c r="E126" t="s">
        <v>12</v>
      </c>
      <c r="F126" t="s">
        <v>13</v>
      </c>
      <c r="G126" t="s">
        <v>10</v>
      </c>
      <c r="H126">
        <f>IF(Table_Sales[[#This Row],[profit]]&lt;0,1,0)</f>
        <v>0</v>
      </c>
      <c r="I126" t="str" cm="1">
        <f t="array" ref="I126">_xlfn.IFS(Table_Sales[[#This Row],[quantity]]&lt;=3,"1-3",Table_Sales[[#This Row],[quantity]]&lt;=7,"2-7",Table_Sales[[#This Row],[quantity]]&lt;=10,"8-10",TRUE,"11 and above")</f>
        <v>1-3</v>
      </c>
      <c r="J126" t="str" cm="1">
        <f t="array" ref="J126">_xlfn.IFS(Table_Sales[[#This Row],[amount]]&lt;1000,"Under 1000",Table_Sales[[#This Row],[amount]]&lt;3000,"1000 - 2999",Table_Sales[[#This Row],[amount]]&lt;5000,"3000 - 4999",TRUE,"5000 &amp; above")</f>
        <v>Under 1000</v>
      </c>
      <c r="K126">
        <f>IF(COUNTIFS(INDEX(Table_Sales[order_id],1):Table_Sales[[#This Row],[order_id]],Table_Sales[[#This Row],[order_id]])=1,1,0)</f>
        <v>1</v>
      </c>
      <c r="L12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126" t="str">
        <v>B-26029</v>
      </c>
    </row>
    <row r="127" spans="1:14" x14ac:dyDescent="0.25">
      <c r="A127" t="s">
        <v>52</v>
      </c>
      <c r="B127" s="1">
        <v>933</v>
      </c>
      <c r="C127" s="1">
        <v>166</v>
      </c>
      <c r="D127">
        <v>5</v>
      </c>
      <c r="E127" t="s">
        <v>23</v>
      </c>
      <c r="F127" t="s">
        <v>26</v>
      </c>
      <c r="G127" t="s">
        <v>19</v>
      </c>
      <c r="H127">
        <f>IF(Table_Sales[[#This Row],[profit]]&lt;0,1,0)</f>
        <v>0</v>
      </c>
      <c r="I127" t="str" cm="1">
        <f t="array" ref="I127">_xlfn.IFS(Table_Sales[[#This Row],[quantity]]&lt;=3,"1-3",Table_Sales[[#This Row],[quantity]]&lt;=7,"2-7",Table_Sales[[#This Row],[quantity]]&lt;=10,"8-10",TRUE,"11 and above")</f>
        <v>2-7</v>
      </c>
      <c r="J127" t="str" cm="1">
        <f t="array" ref="J127">_xlfn.IFS(Table_Sales[[#This Row],[amount]]&lt;1000,"Under 1000",Table_Sales[[#This Row],[amount]]&lt;3000,"1000 - 2999",Table_Sales[[#This Row],[amount]]&lt;5000,"3000 - 4999",TRUE,"5000 &amp; above")</f>
        <v>Under 1000</v>
      </c>
      <c r="K127">
        <f>IF(COUNTIFS(INDEX(Table_Sales[order_id],1):Table_Sales[[#This Row],[order_id]],Table_Sales[[#This Row],[order_id]])=1,1,0)</f>
        <v>0</v>
      </c>
      <c r="L12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127" t="str">
        <v>B-25959</v>
      </c>
    </row>
    <row r="128" spans="1:14" x14ac:dyDescent="0.25">
      <c r="A128" t="s">
        <v>147</v>
      </c>
      <c r="B128" s="1">
        <v>20</v>
      </c>
      <c r="C128" s="1">
        <v>-9</v>
      </c>
      <c r="D128">
        <v>6</v>
      </c>
      <c r="E128" t="s">
        <v>23</v>
      </c>
      <c r="F128" t="s">
        <v>30</v>
      </c>
      <c r="G128" t="s">
        <v>82</v>
      </c>
      <c r="H128">
        <f>IF(Table_Sales[[#This Row],[profit]]&lt;0,1,0)</f>
        <v>1</v>
      </c>
      <c r="I128" t="str" cm="1">
        <f t="array" ref="I128">_xlfn.IFS(Table_Sales[[#This Row],[quantity]]&lt;=3,"1-3",Table_Sales[[#This Row],[quantity]]&lt;=7,"2-7",Table_Sales[[#This Row],[quantity]]&lt;=10,"8-10",TRUE,"11 and above")</f>
        <v>2-7</v>
      </c>
      <c r="J128" t="str" cm="1">
        <f t="array" ref="J128">_xlfn.IFS(Table_Sales[[#This Row],[amount]]&lt;1000,"Under 1000",Table_Sales[[#This Row],[amount]]&lt;3000,"1000 - 2999",Table_Sales[[#This Row],[amount]]&lt;5000,"3000 - 4999",TRUE,"5000 &amp; above")</f>
        <v>Under 1000</v>
      </c>
      <c r="K128">
        <f>IF(COUNTIFS(INDEX(Table_Sales[order_id],1):Table_Sales[[#This Row],[order_id]],Table_Sales[[#This Row],[order_id]])=1,1,0)</f>
        <v>1</v>
      </c>
      <c r="L12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128" t="str">
        <v>B-25676</v>
      </c>
    </row>
    <row r="129" spans="1:14" x14ac:dyDescent="0.25">
      <c r="A129" t="s">
        <v>148</v>
      </c>
      <c r="B129" s="1">
        <v>877</v>
      </c>
      <c r="C129" s="1">
        <v>395</v>
      </c>
      <c r="D129">
        <v>2</v>
      </c>
      <c r="E129" t="s">
        <v>12</v>
      </c>
      <c r="F129" t="s">
        <v>16</v>
      </c>
      <c r="G129" t="s">
        <v>19</v>
      </c>
      <c r="H129">
        <f>IF(Table_Sales[[#This Row],[profit]]&lt;0,1,0)</f>
        <v>0</v>
      </c>
      <c r="I129" t="str" cm="1">
        <f t="array" ref="I129">_xlfn.IFS(Table_Sales[[#This Row],[quantity]]&lt;=3,"1-3",Table_Sales[[#This Row],[quantity]]&lt;=7,"2-7",Table_Sales[[#This Row],[quantity]]&lt;=10,"8-10",TRUE,"11 and above")</f>
        <v>1-3</v>
      </c>
      <c r="J129" t="str" cm="1">
        <f t="array" ref="J129">_xlfn.IFS(Table_Sales[[#This Row],[amount]]&lt;1000,"Under 1000",Table_Sales[[#This Row],[amount]]&lt;3000,"1000 - 2999",Table_Sales[[#This Row],[amount]]&lt;5000,"3000 - 4999",TRUE,"5000 &amp; above")</f>
        <v>Under 1000</v>
      </c>
      <c r="K129">
        <f>IF(COUNTIFS(INDEX(Table_Sales[order_id],1):Table_Sales[[#This Row],[order_id]],Table_Sales[[#This Row],[order_id]])=1,1,0)</f>
        <v>1</v>
      </c>
      <c r="L12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129" t="str">
        <v>B-25888</v>
      </c>
    </row>
    <row r="130" spans="1:14" x14ac:dyDescent="0.25">
      <c r="A130" t="s">
        <v>140</v>
      </c>
      <c r="B130" s="1">
        <v>719</v>
      </c>
      <c r="C130" s="1">
        <v>303</v>
      </c>
      <c r="D130">
        <v>6</v>
      </c>
      <c r="E130" t="s">
        <v>12</v>
      </c>
      <c r="F130" t="s">
        <v>13</v>
      </c>
      <c r="G130" t="s">
        <v>10</v>
      </c>
      <c r="H130">
        <f>IF(Table_Sales[[#This Row],[profit]]&lt;0,1,0)</f>
        <v>0</v>
      </c>
      <c r="I130" t="str" cm="1">
        <f t="array" ref="I130">_xlfn.IFS(Table_Sales[[#This Row],[quantity]]&lt;=3,"1-3",Table_Sales[[#This Row],[quantity]]&lt;=7,"2-7",Table_Sales[[#This Row],[quantity]]&lt;=10,"8-10",TRUE,"11 and above")</f>
        <v>2-7</v>
      </c>
      <c r="J130" t="str" cm="1">
        <f t="array" ref="J130">_xlfn.IFS(Table_Sales[[#This Row],[amount]]&lt;1000,"Under 1000",Table_Sales[[#This Row],[amount]]&lt;3000,"1000 - 2999",Table_Sales[[#This Row],[amount]]&lt;5000,"3000 - 4999",TRUE,"5000 &amp; above")</f>
        <v>Under 1000</v>
      </c>
      <c r="K130">
        <f>IF(COUNTIFS(INDEX(Table_Sales[order_id],1):Table_Sales[[#This Row],[order_id]],Table_Sales[[#This Row],[order_id]])=1,1,0)</f>
        <v>0</v>
      </c>
      <c r="L13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130" t="str">
        <v>B-25911</v>
      </c>
    </row>
    <row r="131" spans="1:14" x14ac:dyDescent="0.25">
      <c r="A131" t="s">
        <v>149</v>
      </c>
      <c r="B131" s="1">
        <v>12</v>
      </c>
      <c r="C131" s="1">
        <v>1</v>
      </c>
      <c r="D131">
        <v>2</v>
      </c>
      <c r="E131" t="s">
        <v>23</v>
      </c>
      <c r="F131" t="s">
        <v>30</v>
      </c>
      <c r="G131" t="s">
        <v>10</v>
      </c>
      <c r="H131">
        <f>IF(Table_Sales[[#This Row],[profit]]&lt;0,1,0)</f>
        <v>0</v>
      </c>
      <c r="I131" t="str" cm="1">
        <f t="array" ref="I131">_xlfn.IFS(Table_Sales[[#This Row],[quantity]]&lt;=3,"1-3",Table_Sales[[#This Row],[quantity]]&lt;=7,"2-7",Table_Sales[[#This Row],[quantity]]&lt;=10,"8-10",TRUE,"11 and above")</f>
        <v>1-3</v>
      </c>
      <c r="J131" t="str" cm="1">
        <f t="array" ref="J131">_xlfn.IFS(Table_Sales[[#This Row],[amount]]&lt;1000,"Under 1000",Table_Sales[[#This Row],[amount]]&lt;3000,"1000 - 2999",Table_Sales[[#This Row],[amount]]&lt;5000,"3000 - 4999",TRUE,"5000 &amp; above")</f>
        <v>Under 1000</v>
      </c>
      <c r="K131">
        <f>IF(COUNTIFS(INDEX(Table_Sales[order_id],1):Table_Sales[[#This Row],[order_id]],Table_Sales[[#This Row],[order_id]])=1,1,0)</f>
        <v>1</v>
      </c>
      <c r="L13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131" t="str">
        <v>B-25662</v>
      </c>
    </row>
    <row r="132" spans="1:14" x14ac:dyDescent="0.25">
      <c r="A132" t="s">
        <v>150</v>
      </c>
      <c r="B132" s="1">
        <v>714</v>
      </c>
      <c r="C132" s="1">
        <v>56</v>
      </c>
      <c r="D132">
        <v>4</v>
      </c>
      <c r="E132" t="s">
        <v>23</v>
      </c>
      <c r="F132" t="s">
        <v>26</v>
      </c>
      <c r="G132" t="s">
        <v>10</v>
      </c>
      <c r="H132">
        <f>IF(Table_Sales[[#This Row],[profit]]&lt;0,1,0)</f>
        <v>0</v>
      </c>
      <c r="I132" t="str" cm="1">
        <f t="array" ref="I132">_xlfn.IFS(Table_Sales[[#This Row],[quantity]]&lt;=3,"1-3",Table_Sales[[#This Row],[quantity]]&lt;=7,"2-7",Table_Sales[[#This Row],[quantity]]&lt;=10,"8-10",TRUE,"11 and above")</f>
        <v>2-7</v>
      </c>
      <c r="J132" t="str" cm="1">
        <f t="array" ref="J132">_xlfn.IFS(Table_Sales[[#This Row],[amount]]&lt;1000,"Under 1000",Table_Sales[[#This Row],[amount]]&lt;3000,"1000 - 2999",Table_Sales[[#This Row],[amount]]&lt;5000,"3000 - 4999",TRUE,"5000 &amp; above")</f>
        <v>Under 1000</v>
      </c>
      <c r="K132">
        <f>IF(COUNTIFS(INDEX(Table_Sales[order_id],1):Table_Sales[[#This Row],[order_id]],Table_Sales[[#This Row],[order_id]])=1,1,0)</f>
        <v>1</v>
      </c>
      <c r="L13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132" t="str">
        <v>B-25847</v>
      </c>
    </row>
    <row r="133" spans="1:14" x14ac:dyDescent="0.25">
      <c r="A133" t="s">
        <v>151</v>
      </c>
      <c r="B133" s="1">
        <v>50</v>
      </c>
      <c r="C133" s="1">
        <v>-15</v>
      </c>
      <c r="D133">
        <v>4</v>
      </c>
      <c r="E133" t="s">
        <v>23</v>
      </c>
      <c r="F133" t="s">
        <v>63</v>
      </c>
      <c r="G133" t="s">
        <v>10</v>
      </c>
      <c r="H133">
        <f>IF(Table_Sales[[#This Row],[profit]]&lt;0,1,0)</f>
        <v>1</v>
      </c>
      <c r="I133" t="str" cm="1">
        <f t="array" ref="I133">_xlfn.IFS(Table_Sales[[#This Row],[quantity]]&lt;=3,"1-3",Table_Sales[[#This Row],[quantity]]&lt;=7,"2-7",Table_Sales[[#This Row],[quantity]]&lt;=10,"8-10",TRUE,"11 and above")</f>
        <v>2-7</v>
      </c>
      <c r="J133" t="str" cm="1">
        <f t="array" ref="J133">_xlfn.IFS(Table_Sales[[#This Row],[amount]]&lt;1000,"Under 1000",Table_Sales[[#This Row],[amount]]&lt;3000,"1000 - 2999",Table_Sales[[#This Row],[amount]]&lt;5000,"3000 - 4999",TRUE,"5000 &amp; above")</f>
        <v>Under 1000</v>
      </c>
      <c r="K133">
        <f>IF(COUNTIFS(INDEX(Table_Sales[order_id],1):Table_Sales[[#This Row],[order_id]],Table_Sales[[#This Row],[order_id]])=1,1,0)</f>
        <v>1</v>
      </c>
      <c r="L13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133" t="str">
        <v>B-25796</v>
      </c>
    </row>
    <row r="134" spans="1:14" x14ac:dyDescent="0.25">
      <c r="A134" t="s">
        <v>152</v>
      </c>
      <c r="B134" s="1">
        <v>709</v>
      </c>
      <c r="C134" s="1">
        <v>-100</v>
      </c>
      <c r="D134">
        <v>5</v>
      </c>
      <c r="E134" t="s">
        <v>8</v>
      </c>
      <c r="F134" t="s">
        <v>21</v>
      </c>
      <c r="G134" t="s">
        <v>10</v>
      </c>
      <c r="H134">
        <f>IF(Table_Sales[[#This Row],[profit]]&lt;0,1,0)</f>
        <v>1</v>
      </c>
      <c r="I134" t="str" cm="1">
        <f t="array" ref="I134">_xlfn.IFS(Table_Sales[[#This Row],[quantity]]&lt;=3,"1-3",Table_Sales[[#This Row],[quantity]]&lt;=7,"2-7",Table_Sales[[#This Row],[quantity]]&lt;=10,"8-10",TRUE,"11 and above")</f>
        <v>2-7</v>
      </c>
      <c r="J134" t="str" cm="1">
        <f t="array" ref="J134">_xlfn.IFS(Table_Sales[[#This Row],[amount]]&lt;1000,"Under 1000",Table_Sales[[#This Row],[amount]]&lt;3000,"1000 - 2999",Table_Sales[[#This Row],[amount]]&lt;5000,"3000 - 4999",TRUE,"5000 &amp; above")</f>
        <v>Under 1000</v>
      </c>
      <c r="K134">
        <f>IF(COUNTIFS(INDEX(Table_Sales[order_id],1):Table_Sales[[#This Row],[order_id]],Table_Sales[[#This Row],[order_id]])=1,1,0)</f>
        <v>1</v>
      </c>
      <c r="L13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134" t="str">
        <v>B-25993</v>
      </c>
    </row>
    <row r="135" spans="1:14" x14ac:dyDescent="0.25">
      <c r="A135" t="s">
        <v>153</v>
      </c>
      <c r="B135" s="1">
        <v>21</v>
      </c>
      <c r="C135" s="1">
        <v>-12</v>
      </c>
      <c r="D135">
        <v>3</v>
      </c>
      <c r="E135" t="s">
        <v>23</v>
      </c>
      <c r="F135" t="s">
        <v>30</v>
      </c>
      <c r="G135" t="s">
        <v>82</v>
      </c>
      <c r="H135">
        <f>IF(Table_Sales[[#This Row],[profit]]&lt;0,1,0)</f>
        <v>1</v>
      </c>
      <c r="I135" t="str" cm="1">
        <f t="array" ref="I135">_xlfn.IFS(Table_Sales[[#This Row],[quantity]]&lt;=3,"1-3",Table_Sales[[#This Row],[quantity]]&lt;=7,"2-7",Table_Sales[[#This Row],[quantity]]&lt;=10,"8-10",TRUE,"11 and above")</f>
        <v>1-3</v>
      </c>
      <c r="J135" t="str" cm="1">
        <f t="array" ref="J135">_xlfn.IFS(Table_Sales[[#This Row],[amount]]&lt;1000,"Under 1000",Table_Sales[[#This Row],[amount]]&lt;3000,"1000 - 2999",Table_Sales[[#This Row],[amount]]&lt;5000,"3000 - 4999",TRUE,"5000 &amp; above")</f>
        <v>Under 1000</v>
      </c>
      <c r="K135">
        <f>IF(COUNTIFS(INDEX(Table_Sales[order_id],1):Table_Sales[[#This Row],[order_id]],Table_Sales[[#This Row],[order_id]])=1,1,0)</f>
        <v>1</v>
      </c>
      <c r="L13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135" t="str">
        <v>B-25930</v>
      </c>
    </row>
    <row r="136" spans="1:14" x14ac:dyDescent="0.25">
      <c r="A136" t="s">
        <v>154</v>
      </c>
      <c r="B136" s="1">
        <v>693</v>
      </c>
      <c r="C136" s="1">
        <v>254</v>
      </c>
      <c r="D136">
        <v>6</v>
      </c>
      <c r="E136" t="s">
        <v>23</v>
      </c>
      <c r="F136" t="s">
        <v>26</v>
      </c>
      <c r="G136" t="s">
        <v>10</v>
      </c>
      <c r="H136">
        <f>IF(Table_Sales[[#This Row],[profit]]&lt;0,1,0)</f>
        <v>0</v>
      </c>
      <c r="I136" t="str" cm="1">
        <f t="array" ref="I136">_xlfn.IFS(Table_Sales[[#This Row],[quantity]]&lt;=3,"1-3",Table_Sales[[#This Row],[quantity]]&lt;=7,"2-7",Table_Sales[[#This Row],[quantity]]&lt;=10,"8-10",TRUE,"11 and above")</f>
        <v>2-7</v>
      </c>
      <c r="J136" t="str" cm="1">
        <f t="array" ref="J136">_xlfn.IFS(Table_Sales[[#This Row],[amount]]&lt;1000,"Under 1000",Table_Sales[[#This Row],[amount]]&lt;3000,"1000 - 2999",Table_Sales[[#This Row],[amount]]&lt;5000,"3000 - 4999",TRUE,"5000 &amp; above")</f>
        <v>Under 1000</v>
      </c>
      <c r="K136">
        <f>IF(COUNTIFS(INDEX(Table_Sales[order_id],1):Table_Sales[[#This Row],[order_id]],Table_Sales[[#This Row],[order_id]])=1,1,0)</f>
        <v>1</v>
      </c>
      <c r="L13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136" t="str">
        <v>B-25785</v>
      </c>
    </row>
    <row r="137" spans="1:14" x14ac:dyDescent="0.25">
      <c r="A137" t="s">
        <v>111</v>
      </c>
      <c r="B137" s="1">
        <v>24</v>
      </c>
      <c r="C137" s="1">
        <v>1</v>
      </c>
      <c r="D137">
        <v>4</v>
      </c>
      <c r="E137" t="s">
        <v>23</v>
      </c>
      <c r="F137" t="s">
        <v>30</v>
      </c>
      <c r="G137" t="s">
        <v>10</v>
      </c>
      <c r="H137">
        <f>IF(Table_Sales[[#This Row],[profit]]&lt;0,1,0)</f>
        <v>0</v>
      </c>
      <c r="I137" t="str" cm="1">
        <f t="array" ref="I137">_xlfn.IFS(Table_Sales[[#This Row],[quantity]]&lt;=3,"1-3",Table_Sales[[#This Row],[quantity]]&lt;=7,"2-7",Table_Sales[[#This Row],[quantity]]&lt;=10,"8-10",TRUE,"11 and above")</f>
        <v>2-7</v>
      </c>
      <c r="J137" t="str" cm="1">
        <f t="array" ref="J137">_xlfn.IFS(Table_Sales[[#This Row],[amount]]&lt;1000,"Under 1000",Table_Sales[[#This Row],[amount]]&lt;3000,"1000 - 2999",Table_Sales[[#This Row],[amount]]&lt;5000,"3000 - 4999",TRUE,"5000 &amp; above")</f>
        <v>Under 1000</v>
      </c>
      <c r="K137">
        <f>IF(COUNTIFS(INDEX(Table_Sales[order_id],1):Table_Sales[[#This Row],[order_id]],Table_Sales[[#This Row],[order_id]])=1,1,0)</f>
        <v>0</v>
      </c>
      <c r="L13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137" t="str">
        <v>B-26053</v>
      </c>
    </row>
    <row r="138" spans="1:14" x14ac:dyDescent="0.25">
      <c r="A138" t="s">
        <v>155</v>
      </c>
      <c r="B138" s="1">
        <v>24</v>
      </c>
      <c r="C138" s="1">
        <v>1</v>
      </c>
      <c r="D138">
        <v>2</v>
      </c>
      <c r="E138" t="s">
        <v>23</v>
      </c>
      <c r="F138" t="s">
        <v>30</v>
      </c>
      <c r="G138" t="s">
        <v>28</v>
      </c>
      <c r="H138">
        <f>IF(Table_Sales[[#This Row],[profit]]&lt;0,1,0)</f>
        <v>0</v>
      </c>
      <c r="I138" t="str" cm="1">
        <f t="array" ref="I138">_xlfn.IFS(Table_Sales[[#This Row],[quantity]]&lt;=3,"1-3",Table_Sales[[#This Row],[quantity]]&lt;=7,"2-7",Table_Sales[[#This Row],[quantity]]&lt;=10,"8-10",TRUE,"11 and above")</f>
        <v>1-3</v>
      </c>
      <c r="J138" t="str" cm="1">
        <f t="array" ref="J138">_xlfn.IFS(Table_Sales[[#This Row],[amount]]&lt;1000,"Under 1000",Table_Sales[[#This Row],[amount]]&lt;3000,"1000 - 2999",Table_Sales[[#This Row],[amount]]&lt;5000,"3000 - 4999",TRUE,"5000 &amp; above")</f>
        <v>Under 1000</v>
      </c>
      <c r="K138">
        <f>IF(COUNTIFS(INDEX(Table_Sales[order_id],1):Table_Sales[[#This Row],[order_id]],Table_Sales[[#This Row],[order_id]])=1,1,0)</f>
        <v>1</v>
      </c>
      <c r="L13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138" t="str">
        <v>B-26019</v>
      </c>
    </row>
    <row r="139" spans="1:14" x14ac:dyDescent="0.25">
      <c r="A139" t="s">
        <v>113</v>
      </c>
      <c r="B139" s="1">
        <v>24</v>
      </c>
      <c r="C139" s="1">
        <v>1</v>
      </c>
      <c r="D139">
        <v>2</v>
      </c>
      <c r="E139" t="s">
        <v>23</v>
      </c>
      <c r="F139" t="s">
        <v>30</v>
      </c>
      <c r="G139" t="s">
        <v>10</v>
      </c>
      <c r="H139">
        <f>IF(Table_Sales[[#This Row],[profit]]&lt;0,1,0)</f>
        <v>0</v>
      </c>
      <c r="I139" t="str" cm="1">
        <f t="array" ref="I139">_xlfn.IFS(Table_Sales[[#This Row],[quantity]]&lt;=3,"1-3",Table_Sales[[#This Row],[quantity]]&lt;=7,"2-7",Table_Sales[[#This Row],[quantity]]&lt;=10,"8-10",TRUE,"11 and above")</f>
        <v>1-3</v>
      </c>
      <c r="J139" t="str" cm="1">
        <f t="array" ref="J139">_xlfn.IFS(Table_Sales[[#This Row],[amount]]&lt;1000,"Under 1000",Table_Sales[[#This Row],[amount]]&lt;3000,"1000 - 2999",Table_Sales[[#This Row],[amount]]&lt;5000,"3000 - 4999",TRUE,"5000 &amp; above")</f>
        <v>Under 1000</v>
      </c>
      <c r="K139">
        <f>IF(COUNTIFS(INDEX(Table_Sales[order_id],1):Table_Sales[[#This Row],[order_id]],Table_Sales[[#This Row],[order_id]])=1,1,0)</f>
        <v>0</v>
      </c>
      <c r="L13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139" t="str">
        <v>B-26070</v>
      </c>
    </row>
    <row r="140" spans="1:14" x14ac:dyDescent="0.25">
      <c r="A140" t="s">
        <v>156</v>
      </c>
      <c r="B140" s="1">
        <v>21</v>
      </c>
      <c r="C140" s="1">
        <v>10</v>
      </c>
      <c r="D140">
        <v>1</v>
      </c>
      <c r="E140" t="s">
        <v>23</v>
      </c>
      <c r="F140" t="s">
        <v>81</v>
      </c>
      <c r="G140" t="s">
        <v>82</v>
      </c>
      <c r="H140">
        <f>IF(Table_Sales[[#This Row],[profit]]&lt;0,1,0)</f>
        <v>0</v>
      </c>
      <c r="I140" t="str" cm="1">
        <f t="array" ref="I140">_xlfn.IFS(Table_Sales[[#This Row],[quantity]]&lt;=3,"1-3",Table_Sales[[#This Row],[quantity]]&lt;=7,"2-7",Table_Sales[[#This Row],[quantity]]&lt;=10,"8-10",TRUE,"11 and above")</f>
        <v>1-3</v>
      </c>
      <c r="J140" t="str" cm="1">
        <f t="array" ref="J140">_xlfn.IFS(Table_Sales[[#This Row],[amount]]&lt;1000,"Under 1000",Table_Sales[[#This Row],[amount]]&lt;3000,"1000 - 2999",Table_Sales[[#This Row],[amount]]&lt;5000,"3000 - 4999",TRUE,"5000 &amp; above")</f>
        <v>Under 1000</v>
      </c>
      <c r="K140">
        <f>IF(COUNTIFS(INDEX(Table_Sales[order_id],1):Table_Sales[[#This Row],[order_id]],Table_Sales[[#This Row],[order_id]])=1,1,0)</f>
        <v>1</v>
      </c>
      <c r="L14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140" t="str">
        <v>B-25870</v>
      </c>
    </row>
    <row r="141" spans="1:14" x14ac:dyDescent="0.25">
      <c r="A141" t="s">
        <v>157</v>
      </c>
      <c r="B141" s="1">
        <v>681</v>
      </c>
      <c r="C141" s="1">
        <v>259</v>
      </c>
      <c r="D141">
        <v>4</v>
      </c>
      <c r="E141" t="s">
        <v>12</v>
      </c>
      <c r="F141" t="s">
        <v>13</v>
      </c>
      <c r="G141" t="s">
        <v>10</v>
      </c>
      <c r="H141">
        <f>IF(Table_Sales[[#This Row],[profit]]&lt;0,1,0)</f>
        <v>0</v>
      </c>
      <c r="I141" t="str" cm="1">
        <f t="array" ref="I141">_xlfn.IFS(Table_Sales[[#This Row],[quantity]]&lt;=3,"1-3",Table_Sales[[#This Row],[quantity]]&lt;=7,"2-7",Table_Sales[[#This Row],[quantity]]&lt;=10,"8-10",TRUE,"11 and above")</f>
        <v>2-7</v>
      </c>
      <c r="J141" t="str" cm="1">
        <f t="array" ref="J141">_xlfn.IFS(Table_Sales[[#This Row],[amount]]&lt;1000,"Under 1000",Table_Sales[[#This Row],[amount]]&lt;3000,"1000 - 2999",Table_Sales[[#This Row],[amount]]&lt;5000,"3000 - 4999",TRUE,"5000 &amp; above")</f>
        <v>Under 1000</v>
      </c>
      <c r="K141">
        <f>IF(COUNTIFS(INDEX(Table_Sales[order_id],1):Table_Sales[[#This Row],[order_id]],Table_Sales[[#This Row],[order_id]])=1,1,0)</f>
        <v>1</v>
      </c>
      <c r="L14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141" t="str">
        <v>B-25855</v>
      </c>
    </row>
    <row r="142" spans="1:14" x14ac:dyDescent="0.25">
      <c r="A142" t="s">
        <v>158</v>
      </c>
      <c r="B142" s="1">
        <v>674</v>
      </c>
      <c r="C142" s="1">
        <v>-187</v>
      </c>
      <c r="D142">
        <v>2</v>
      </c>
      <c r="E142" t="s">
        <v>12</v>
      </c>
      <c r="F142" t="s">
        <v>45</v>
      </c>
      <c r="G142" t="s">
        <v>10</v>
      </c>
      <c r="H142">
        <f>IF(Table_Sales[[#This Row],[profit]]&lt;0,1,0)</f>
        <v>1</v>
      </c>
      <c r="I142" t="str" cm="1">
        <f t="array" ref="I142">_xlfn.IFS(Table_Sales[[#This Row],[quantity]]&lt;=3,"1-3",Table_Sales[[#This Row],[quantity]]&lt;=7,"2-7",Table_Sales[[#This Row],[quantity]]&lt;=10,"8-10",TRUE,"11 and above")</f>
        <v>1-3</v>
      </c>
      <c r="J142" t="str" cm="1">
        <f t="array" ref="J142">_xlfn.IFS(Table_Sales[[#This Row],[amount]]&lt;1000,"Under 1000",Table_Sales[[#This Row],[amount]]&lt;3000,"1000 - 2999",Table_Sales[[#This Row],[amount]]&lt;5000,"3000 - 4999",TRUE,"5000 &amp; above")</f>
        <v>Under 1000</v>
      </c>
      <c r="K142">
        <f>IF(COUNTIFS(INDEX(Table_Sales[order_id],1):Table_Sales[[#This Row],[order_id]],Table_Sales[[#This Row],[order_id]])=1,1,0)</f>
        <v>1</v>
      </c>
      <c r="L14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142" t="str">
        <v>B-25803</v>
      </c>
    </row>
    <row r="143" spans="1:14" x14ac:dyDescent="0.25">
      <c r="A143" t="s">
        <v>61</v>
      </c>
      <c r="B143" s="1">
        <v>671</v>
      </c>
      <c r="C143" s="1">
        <v>-309</v>
      </c>
      <c r="D143">
        <v>5</v>
      </c>
      <c r="E143" t="s">
        <v>8</v>
      </c>
      <c r="F143" t="s">
        <v>9</v>
      </c>
      <c r="G143" t="s">
        <v>10</v>
      </c>
      <c r="H143">
        <f>IF(Table_Sales[[#This Row],[profit]]&lt;0,1,0)</f>
        <v>1</v>
      </c>
      <c r="I143" t="str" cm="1">
        <f t="array" ref="I143">_xlfn.IFS(Table_Sales[[#This Row],[quantity]]&lt;=3,"1-3",Table_Sales[[#This Row],[quantity]]&lt;=7,"2-7",Table_Sales[[#This Row],[quantity]]&lt;=10,"8-10",TRUE,"11 and above")</f>
        <v>2-7</v>
      </c>
      <c r="J143" t="str" cm="1">
        <f t="array" ref="J143">_xlfn.IFS(Table_Sales[[#This Row],[amount]]&lt;1000,"Under 1000",Table_Sales[[#This Row],[amount]]&lt;3000,"1000 - 2999",Table_Sales[[#This Row],[amount]]&lt;5000,"3000 - 4999",TRUE,"5000 &amp; above")</f>
        <v>Under 1000</v>
      </c>
      <c r="K143">
        <f>IF(COUNTIFS(INDEX(Table_Sales[order_id],1):Table_Sales[[#This Row],[order_id]],Table_Sales[[#This Row],[order_id]])=1,1,0)</f>
        <v>0</v>
      </c>
      <c r="L14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143" t="str">
        <v>B-25996</v>
      </c>
    </row>
    <row r="144" spans="1:14" x14ac:dyDescent="0.25">
      <c r="A144" t="s">
        <v>159</v>
      </c>
      <c r="B144" s="1">
        <v>646</v>
      </c>
      <c r="C144" s="1">
        <v>-213</v>
      </c>
      <c r="D144">
        <v>3</v>
      </c>
      <c r="E144" t="s">
        <v>8</v>
      </c>
      <c r="F144" t="s">
        <v>9</v>
      </c>
      <c r="G144" t="s">
        <v>10</v>
      </c>
      <c r="H144">
        <f>IF(Table_Sales[[#This Row],[profit]]&lt;0,1,0)</f>
        <v>1</v>
      </c>
      <c r="I144" t="str" cm="1">
        <f t="array" ref="I144">_xlfn.IFS(Table_Sales[[#This Row],[quantity]]&lt;=3,"1-3",Table_Sales[[#This Row],[quantity]]&lt;=7,"2-7",Table_Sales[[#This Row],[quantity]]&lt;=10,"8-10",TRUE,"11 and above")</f>
        <v>1-3</v>
      </c>
      <c r="J144" t="str" cm="1">
        <f t="array" ref="J144">_xlfn.IFS(Table_Sales[[#This Row],[amount]]&lt;1000,"Under 1000",Table_Sales[[#This Row],[amount]]&lt;3000,"1000 - 2999",Table_Sales[[#This Row],[amount]]&lt;5000,"3000 - 4999",TRUE,"5000 &amp; above")</f>
        <v>Under 1000</v>
      </c>
      <c r="K144">
        <f>IF(COUNTIFS(INDEX(Table_Sales[order_id],1):Table_Sales[[#This Row],[order_id]],Table_Sales[[#This Row],[order_id]])=1,1,0)</f>
        <v>1</v>
      </c>
      <c r="L14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144" t="str">
        <v>B-26078</v>
      </c>
    </row>
    <row r="145" spans="1:14" x14ac:dyDescent="0.25">
      <c r="A145" t="s">
        <v>160</v>
      </c>
      <c r="B145" s="1">
        <v>40</v>
      </c>
      <c r="C145" s="1">
        <v>15</v>
      </c>
      <c r="D145">
        <v>1</v>
      </c>
      <c r="E145" t="s">
        <v>23</v>
      </c>
      <c r="F145" t="s">
        <v>32</v>
      </c>
      <c r="G145" t="s">
        <v>10</v>
      </c>
      <c r="H145">
        <f>IF(Table_Sales[[#This Row],[profit]]&lt;0,1,0)</f>
        <v>0</v>
      </c>
      <c r="I145" t="str" cm="1">
        <f t="array" ref="I145">_xlfn.IFS(Table_Sales[[#This Row],[quantity]]&lt;=3,"1-3",Table_Sales[[#This Row],[quantity]]&lt;=7,"2-7",Table_Sales[[#This Row],[quantity]]&lt;=10,"8-10",TRUE,"11 and above")</f>
        <v>1-3</v>
      </c>
      <c r="J145" t="str" cm="1">
        <f t="array" ref="J145">_xlfn.IFS(Table_Sales[[#This Row],[amount]]&lt;1000,"Under 1000",Table_Sales[[#This Row],[amount]]&lt;3000,"1000 - 2999",Table_Sales[[#This Row],[amount]]&lt;5000,"3000 - 4999",TRUE,"5000 &amp; above")</f>
        <v>Under 1000</v>
      </c>
      <c r="K145">
        <f>IF(COUNTIFS(INDEX(Table_Sales[order_id],1):Table_Sales[[#This Row],[order_id]],Table_Sales[[#This Row],[order_id]])=1,1,0)</f>
        <v>1</v>
      </c>
      <c r="L14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145" t="str">
        <v>B-25682</v>
      </c>
    </row>
    <row r="146" spans="1:14" x14ac:dyDescent="0.25">
      <c r="A146" t="s">
        <v>161</v>
      </c>
      <c r="B146" s="1">
        <v>24</v>
      </c>
      <c r="C146" s="1">
        <v>-2</v>
      </c>
      <c r="D146">
        <v>2</v>
      </c>
      <c r="E146" t="s">
        <v>23</v>
      </c>
      <c r="F146" t="s">
        <v>81</v>
      </c>
      <c r="G146" t="s">
        <v>10</v>
      </c>
      <c r="H146">
        <f>IF(Table_Sales[[#This Row],[profit]]&lt;0,1,0)</f>
        <v>1</v>
      </c>
      <c r="I146" t="str" cm="1">
        <f t="array" ref="I146">_xlfn.IFS(Table_Sales[[#This Row],[quantity]]&lt;=3,"1-3",Table_Sales[[#This Row],[quantity]]&lt;=7,"2-7",Table_Sales[[#This Row],[quantity]]&lt;=10,"8-10",TRUE,"11 and above")</f>
        <v>1-3</v>
      </c>
      <c r="J146" t="str" cm="1">
        <f t="array" ref="J146">_xlfn.IFS(Table_Sales[[#This Row],[amount]]&lt;1000,"Under 1000",Table_Sales[[#This Row],[amount]]&lt;3000,"1000 - 2999",Table_Sales[[#This Row],[amount]]&lt;5000,"3000 - 4999",TRUE,"5000 &amp; above")</f>
        <v>Under 1000</v>
      </c>
      <c r="K146">
        <f>IF(COUNTIFS(INDEX(Table_Sales[order_id],1):Table_Sales[[#This Row],[order_id]],Table_Sales[[#This Row],[order_id]])=1,1,0)</f>
        <v>1</v>
      </c>
      <c r="L14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146" t="str">
        <v>B-25749</v>
      </c>
    </row>
    <row r="147" spans="1:14" x14ac:dyDescent="0.25">
      <c r="A147" t="s">
        <v>46</v>
      </c>
      <c r="B147" s="1">
        <v>644</v>
      </c>
      <c r="C147" s="1">
        <v>167</v>
      </c>
      <c r="D147">
        <v>2</v>
      </c>
      <c r="E147" t="s">
        <v>8</v>
      </c>
      <c r="F147" t="s">
        <v>18</v>
      </c>
      <c r="G147" t="s">
        <v>10</v>
      </c>
      <c r="H147">
        <f>IF(Table_Sales[[#This Row],[profit]]&lt;0,1,0)</f>
        <v>0</v>
      </c>
      <c r="I147" t="str" cm="1">
        <f t="array" ref="I147">_xlfn.IFS(Table_Sales[[#This Row],[quantity]]&lt;=3,"1-3",Table_Sales[[#This Row],[quantity]]&lt;=7,"2-7",Table_Sales[[#This Row],[quantity]]&lt;=10,"8-10",TRUE,"11 and above")</f>
        <v>1-3</v>
      </c>
      <c r="J147" t="str" cm="1">
        <f t="array" ref="J147">_xlfn.IFS(Table_Sales[[#This Row],[amount]]&lt;1000,"Under 1000",Table_Sales[[#This Row],[amount]]&lt;3000,"1000 - 2999",Table_Sales[[#This Row],[amount]]&lt;5000,"3000 - 4999",TRUE,"5000 &amp; above")</f>
        <v>Under 1000</v>
      </c>
      <c r="K147">
        <f>IF(COUNTIFS(INDEX(Table_Sales[order_id],1):Table_Sales[[#This Row],[order_id]],Table_Sales[[#This Row],[order_id]])=1,1,0)</f>
        <v>0</v>
      </c>
      <c r="L14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147" t="str">
        <v>B-25962</v>
      </c>
    </row>
    <row r="148" spans="1:14" x14ac:dyDescent="0.25">
      <c r="A148" t="s">
        <v>162</v>
      </c>
      <c r="B148" s="1">
        <v>643</v>
      </c>
      <c r="C148" s="1">
        <v>225</v>
      </c>
      <c r="D148">
        <v>2</v>
      </c>
      <c r="E148" t="s">
        <v>8</v>
      </c>
      <c r="F148" t="s">
        <v>18</v>
      </c>
      <c r="G148" t="s">
        <v>10</v>
      </c>
      <c r="H148">
        <f>IF(Table_Sales[[#This Row],[profit]]&lt;0,1,0)</f>
        <v>0</v>
      </c>
      <c r="I148" t="str" cm="1">
        <f t="array" ref="I148">_xlfn.IFS(Table_Sales[[#This Row],[quantity]]&lt;=3,"1-3",Table_Sales[[#This Row],[quantity]]&lt;=7,"2-7",Table_Sales[[#This Row],[quantity]]&lt;=10,"8-10",TRUE,"11 and above")</f>
        <v>1-3</v>
      </c>
      <c r="J148" t="str" cm="1">
        <f t="array" ref="J148">_xlfn.IFS(Table_Sales[[#This Row],[amount]]&lt;1000,"Under 1000",Table_Sales[[#This Row],[amount]]&lt;3000,"1000 - 2999",Table_Sales[[#This Row],[amount]]&lt;5000,"3000 - 4999",TRUE,"5000 &amp; above")</f>
        <v>Under 1000</v>
      </c>
      <c r="K148">
        <f>IF(COUNTIFS(INDEX(Table_Sales[order_id],1):Table_Sales[[#This Row],[order_id]],Table_Sales[[#This Row],[order_id]])=1,1,0)</f>
        <v>1</v>
      </c>
      <c r="L14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148" t="str">
        <v>B-25899</v>
      </c>
    </row>
    <row r="149" spans="1:14" x14ac:dyDescent="0.25">
      <c r="A149" t="s">
        <v>163</v>
      </c>
      <c r="B149" s="1">
        <v>632</v>
      </c>
      <c r="C149" s="1">
        <v>-316</v>
      </c>
      <c r="D149">
        <v>6</v>
      </c>
      <c r="E149" t="s">
        <v>23</v>
      </c>
      <c r="F149" t="s">
        <v>26</v>
      </c>
      <c r="G149" t="s">
        <v>10</v>
      </c>
      <c r="H149">
        <f>IF(Table_Sales[[#This Row],[profit]]&lt;0,1,0)</f>
        <v>1</v>
      </c>
      <c r="I149" t="str" cm="1">
        <f t="array" ref="I149">_xlfn.IFS(Table_Sales[[#This Row],[quantity]]&lt;=3,"1-3",Table_Sales[[#This Row],[quantity]]&lt;=7,"2-7",Table_Sales[[#This Row],[quantity]]&lt;=10,"8-10",TRUE,"11 and above")</f>
        <v>2-7</v>
      </c>
      <c r="J149" t="str" cm="1">
        <f t="array" ref="J149">_xlfn.IFS(Table_Sales[[#This Row],[amount]]&lt;1000,"Under 1000",Table_Sales[[#This Row],[amount]]&lt;3000,"1000 - 2999",Table_Sales[[#This Row],[amount]]&lt;5000,"3000 - 4999",TRUE,"5000 &amp; above")</f>
        <v>Under 1000</v>
      </c>
      <c r="K149">
        <f>IF(COUNTIFS(INDEX(Table_Sales[order_id],1):Table_Sales[[#This Row],[order_id]],Table_Sales[[#This Row],[order_id]])=1,1,0)</f>
        <v>1</v>
      </c>
      <c r="L14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149" t="str">
        <v>B-25951</v>
      </c>
    </row>
    <row r="150" spans="1:14" x14ac:dyDescent="0.25">
      <c r="A150" t="s">
        <v>112</v>
      </c>
      <c r="B150" s="1">
        <v>632</v>
      </c>
      <c r="C150" s="1">
        <v>316</v>
      </c>
      <c r="D150">
        <v>6</v>
      </c>
      <c r="E150" t="s">
        <v>23</v>
      </c>
      <c r="F150" t="s">
        <v>26</v>
      </c>
      <c r="G150" t="s">
        <v>10</v>
      </c>
      <c r="H150">
        <f>IF(Table_Sales[[#This Row],[profit]]&lt;0,1,0)</f>
        <v>0</v>
      </c>
      <c r="I150" t="str" cm="1">
        <f t="array" ref="I150">_xlfn.IFS(Table_Sales[[#This Row],[quantity]]&lt;=3,"1-3",Table_Sales[[#This Row],[quantity]]&lt;=7,"2-7",Table_Sales[[#This Row],[quantity]]&lt;=10,"8-10",TRUE,"11 and above")</f>
        <v>2-7</v>
      </c>
      <c r="J150" t="str" cm="1">
        <f t="array" ref="J150">_xlfn.IFS(Table_Sales[[#This Row],[amount]]&lt;1000,"Under 1000",Table_Sales[[#This Row],[amount]]&lt;3000,"1000 - 2999",Table_Sales[[#This Row],[amount]]&lt;5000,"3000 - 4999",TRUE,"5000 &amp; above")</f>
        <v>Under 1000</v>
      </c>
      <c r="K150">
        <f>IF(COUNTIFS(INDEX(Table_Sales[order_id],1):Table_Sales[[#This Row],[order_id]],Table_Sales[[#This Row],[order_id]])=1,1,0)</f>
        <v>0</v>
      </c>
      <c r="L15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150" t="str">
        <v>B-25828</v>
      </c>
    </row>
    <row r="151" spans="1:14" x14ac:dyDescent="0.25">
      <c r="A151" t="s">
        <v>164</v>
      </c>
      <c r="B151" s="1">
        <v>610</v>
      </c>
      <c r="C151" s="1">
        <v>208</v>
      </c>
      <c r="D151">
        <v>3</v>
      </c>
      <c r="E151" t="s">
        <v>8</v>
      </c>
      <c r="F151" t="s">
        <v>18</v>
      </c>
      <c r="G151" t="s">
        <v>10</v>
      </c>
      <c r="H151">
        <f>IF(Table_Sales[[#This Row],[profit]]&lt;0,1,0)</f>
        <v>0</v>
      </c>
      <c r="I151" t="str" cm="1">
        <f t="array" ref="I151">_xlfn.IFS(Table_Sales[[#This Row],[quantity]]&lt;=3,"1-3",Table_Sales[[#This Row],[quantity]]&lt;=7,"2-7",Table_Sales[[#This Row],[quantity]]&lt;=10,"8-10",TRUE,"11 and above")</f>
        <v>1-3</v>
      </c>
      <c r="J151" t="str" cm="1">
        <f t="array" ref="J151">_xlfn.IFS(Table_Sales[[#This Row],[amount]]&lt;1000,"Under 1000",Table_Sales[[#This Row],[amount]]&lt;3000,"1000 - 2999",Table_Sales[[#This Row],[amount]]&lt;5000,"3000 - 4999",TRUE,"5000 &amp; above")</f>
        <v>Under 1000</v>
      </c>
      <c r="K151">
        <f>IF(COUNTIFS(INDEX(Table_Sales[order_id],1):Table_Sales[[#This Row],[order_id]],Table_Sales[[#This Row],[order_id]])=1,1,0)</f>
        <v>1</v>
      </c>
      <c r="L15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151" t="str">
        <v>B-25658</v>
      </c>
    </row>
    <row r="152" spans="1:14" x14ac:dyDescent="0.25">
      <c r="A152" t="s">
        <v>122</v>
      </c>
      <c r="B152" s="1">
        <v>78</v>
      </c>
      <c r="C152" s="1">
        <v>-28</v>
      </c>
      <c r="D152">
        <v>6</v>
      </c>
      <c r="E152" t="s">
        <v>23</v>
      </c>
      <c r="F152" t="s">
        <v>32</v>
      </c>
      <c r="G152" t="s">
        <v>28</v>
      </c>
      <c r="H152">
        <f>IF(Table_Sales[[#This Row],[profit]]&lt;0,1,0)</f>
        <v>1</v>
      </c>
      <c r="I152" t="str" cm="1">
        <f t="array" ref="I152">_xlfn.IFS(Table_Sales[[#This Row],[quantity]]&lt;=3,"1-3",Table_Sales[[#This Row],[quantity]]&lt;=7,"2-7",Table_Sales[[#This Row],[quantity]]&lt;=10,"8-10",TRUE,"11 and above")</f>
        <v>2-7</v>
      </c>
      <c r="J152" t="str" cm="1">
        <f t="array" ref="J152">_xlfn.IFS(Table_Sales[[#This Row],[amount]]&lt;1000,"Under 1000",Table_Sales[[#This Row],[amount]]&lt;3000,"1000 - 2999",Table_Sales[[#This Row],[amount]]&lt;5000,"3000 - 4999",TRUE,"5000 &amp; above")</f>
        <v>Under 1000</v>
      </c>
      <c r="K152">
        <f>IF(COUNTIFS(INDEX(Table_Sales[order_id],1):Table_Sales[[#This Row],[order_id]],Table_Sales[[#This Row],[order_id]])=1,1,0)</f>
        <v>0</v>
      </c>
      <c r="L15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152" t="str">
        <v>B-25698</v>
      </c>
    </row>
    <row r="153" spans="1:14" x14ac:dyDescent="0.25">
      <c r="A153" t="s">
        <v>165</v>
      </c>
      <c r="B153" s="1">
        <v>595</v>
      </c>
      <c r="C153" s="1">
        <v>119</v>
      </c>
      <c r="D153">
        <v>4</v>
      </c>
      <c r="E153" t="s">
        <v>12</v>
      </c>
      <c r="F153" t="s">
        <v>16</v>
      </c>
      <c r="G153" t="s">
        <v>10</v>
      </c>
      <c r="H153">
        <f>IF(Table_Sales[[#This Row],[profit]]&lt;0,1,0)</f>
        <v>0</v>
      </c>
      <c r="I153" t="str" cm="1">
        <f t="array" ref="I153">_xlfn.IFS(Table_Sales[[#This Row],[quantity]]&lt;=3,"1-3",Table_Sales[[#This Row],[quantity]]&lt;=7,"2-7",Table_Sales[[#This Row],[quantity]]&lt;=10,"8-10",TRUE,"11 and above")</f>
        <v>2-7</v>
      </c>
      <c r="J153" t="str" cm="1">
        <f t="array" ref="J153">_xlfn.IFS(Table_Sales[[#This Row],[amount]]&lt;1000,"Under 1000",Table_Sales[[#This Row],[amount]]&lt;3000,"1000 - 2999",Table_Sales[[#This Row],[amount]]&lt;5000,"3000 - 4999",TRUE,"5000 &amp; above")</f>
        <v>Under 1000</v>
      </c>
      <c r="K153">
        <f>IF(COUNTIFS(INDEX(Table_Sales[order_id],1):Table_Sales[[#This Row],[order_id]],Table_Sales[[#This Row],[order_id]])=1,1,0)</f>
        <v>1</v>
      </c>
      <c r="L15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153" t="str">
        <v>B-25832</v>
      </c>
    </row>
    <row r="154" spans="1:14" x14ac:dyDescent="0.25">
      <c r="A154" t="s">
        <v>166</v>
      </c>
      <c r="B154" s="1">
        <v>595</v>
      </c>
      <c r="C154" s="1">
        <v>292</v>
      </c>
      <c r="D154">
        <v>3</v>
      </c>
      <c r="E154" t="s">
        <v>23</v>
      </c>
      <c r="F154" t="s">
        <v>26</v>
      </c>
      <c r="G154" t="s">
        <v>10</v>
      </c>
      <c r="H154">
        <f>IF(Table_Sales[[#This Row],[profit]]&lt;0,1,0)</f>
        <v>0</v>
      </c>
      <c r="I154" t="str" cm="1">
        <f t="array" ref="I154">_xlfn.IFS(Table_Sales[[#This Row],[quantity]]&lt;=3,"1-3",Table_Sales[[#This Row],[quantity]]&lt;=7,"2-7",Table_Sales[[#This Row],[quantity]]&lt;=10,"8-10",TRUE,"11 and above")</f>
        <v>1-3</v>
      </c>
      <c r="J154" t="str" cm="1">
        <f t="array" ref="J154">_xlfn.IFS(Table_Sales[[#This Row],[amount]]&lt;1000,"Under 1000",Table_Sales[[#This Row],[amount]]&lt;3000,"1000 - 2999",Table_Sales[[#This Row],[amount]]&lt;5000,"3000 - 4999",TRUE,"5000 &amp; above")</f>
        <v>Under 1000</v>
      </c>
      <c r="K154">
        <f>IF(COUNTIFS(INDEX(Table_Sales[order_id],1):Table_Sales[[#This Row],[order_id]],Table_Sales[[#This Row],[order_id]])=1,1,0)</f>
        <v>1</v>
      </c>
      <c r="L15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154" t="str">
        <v>B-25886</v>
      </c>
    </row>
    <row r="155" spans="1:14" x14ac:dyDescent="0.25">
      <c r="A155" t="s">
        <v>17</v>
      </c>
      <c r="B155" s="1">
        <v>852</v>
      </c>
      <c r="C155" s="1">
        <v>51</v>
      </c>
      <c r="D155">
        <v>5</v>
      </c>
      <c r="E155" t="s">
        <v>12</v>
      </c>
      <c r="F155" t="s">
        <v>16</v>
      </c>
      <c r="G155" t="s">
        <v>19</v>
      </c>
      <c r="H155">
        <f>IF(Table_Sales[[#This Row],[profit]]&lt;0,1,0)</f>
        <v>0</v>
      </c>
      <c r="I155" t="str" cm="1">
        <f t="array" ref="I155">_xlfn.IFS(Table_Sales[[#This Row],[quantity]]&lt;=3,"1-3",Table_Sales[[#This Row],[quantity]]&lt;=7,"2-7",Table_Sales[[#This Row],[quantity]]&lt;=10,"8-10",TRUE,"11 and above")</f>
        <v>2-7</v>
      </c>
      <c r="J155" t="str" cm="1">
        <f t="array" ref="J155">_xlfn.IFS(Table_Sales[[#This Row],[amount]]&lt;1000,"Under 1000",Table_Sales[[#This Row],[amount]]&lt;3000,"1000 - 2999",Table_Sales[[#This Row],[amount]]&lt;5000,"3000 - 4999",TRUE,"5000 &amp; above")</f>
        <v>Under 1000</v>
      </c>
      <c r="K155">
        <f>IF(COUNTIFS(INDEX(Table_Sales[order_id],1):Table_Sales[[#This Row],[order_id]],Table_Sales[[#This Row],[order_id]])=1,1,0)</f>
        <v>0</v>
      </c>
      <c r="L15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155" t="str">
        <v>B-25897</v>
      </c>
    </row>
    <row r="156" spans="1:14" x14ac:dyDescent="0.25">
      <c r="A156" t="s">
        <v>167</v>
      </c>
      <c r="B156" s="1">
        <v>594</v>
      </c>
      <c r="C156" s="1">
        <v>89</v>
      </c>
      <c r="D156">
        <v>3</v>
      </c>
      <c r="E156" t="s">
        <v>12</v>
      </c>
      <c r="F156" t="s">
        <v>16</v>
      </c>
      <c r="G156" t="s">
        <v>10</v>
      </c>
      <c r="H156">
        <f>IF(Table_Sales[[#This Row],[profit]]&lt;0,1,0)</f>
        <v>0</v>
      </c>
      <c r="I156" t="str" cm="1">
        <f t="array" ref="I156">_xlfn.IFS(Table_Sales[[#This Row],[quantity]]&lt;=3,"1-3",Table_Sales[[#This Row],[quantity]]&lt;=7,"2-7",Table_Sales[[#This Row],[quantity]]&lt;=10,"8-10",TRUE,"11 and above")</f>
        <v>1-3</v>
      </c>
      <c r="J156" t="str" cm="1">
        <f t="array" ref="J156">_xlfn.IFS(Table_Sales[[#This Row],[amount]]&lt;1000,"Under 1000",Table_Sales[[#This Row],[amount]]&lt;3000,"1000 - 2999",Table_Sales[[#This Row],[amount]]&lt;5000,"3000 - 4999",TRUE,"5000 &amp; above")</f>
        <v>Under 1000</v>
      </c>
      <c r="K156">
        <f>IF(COUNTIFS(INDEX(Table_Sales[order_id],1):Table_Sales[[#This Row],[order_id]],Table_Sales[[#This Row],[order_id]])=1,1,0)</f>
        <v>1</v>
      </c>
      <c r="L15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156" t="str">
        <v>B-25873</v>
      </c>
    </row>
    <row r="157" spans="1:14" x14ac:dyDescent="0.25">
      <c r="A157" t="s">
        <v>168</v>
      </c>
      <c r="B157" s="1">
        <v>585</v>
      </c>
      <c r="C157" s="1">
        <v>175</v>
      </c>
      <c r="D157">
        <v>13</v>
      </c>
      <c r="E157" t="s">
        <v>23</v>
      </c>
      <c r="F157" t="s">
        <v>81</v>
      </c>
      <c r="G157" t="s">
        <v>10</v>
      </c>
      <c r="H157">
        <f>IF(Table_Sales[[#This Row],[profit]]&lt;0,1,0)</f>
        <v>0</v>
      </c>
      <c r="I157" t="str" cm="1">
        <f t="array" ref="I157">_xlfn.IFS(Table_Sales[[#This Row],[quantity]]&lt;=3,"1-3",Table_Sales[[#This Row],[quantity]]&lt;=7,"2-7",Table_Sales[[#This Row],[quantity]]&lt;=10,"8-10",TRUE,"11 and above")</f>
        <v>11 and above</v>
      </c>
      <c r="J157" t="str" cm="1">
        <f t="array" ref="J157">_xlfn.IFS(Table_Sales[[#This Row],[amount]]&lt;1000,"Under 1000",Table_Sales[[#This Row],[amount]]&lt;3000,"1000 - 2999",Table_Sales[[#This Row],[amount]]&lt;5000,"3000 - 4999",TRUE,"5000 &amp; above")</f>
        <v>Under 1000</v>
      </c>
      <c r="K157">
        <f>IF(COUNTIFS(INDEX(Table_Sales[order_id],1):Table_Sales[[#This Row],[order_id]],Table_Sales[[#This Row],[order_id]])=1,1,0)</f>
        <v>1</v>
      </c>
      <c r="L15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157" t="str">
        <v>B-25858</v>
      </c>
    </row>
    <row r="158" spans="1:14" x14ac:dyDescent="0.25">
      <c r="A158" t="s">
        <v>169</v>
      </c>
      <c r="B158" s="1">
        <v>582</v>
      </c>
      <c r="C158" s="1">
        <v>262</v>
      </c>
      <c r="D158">
        <v>5</v>
      </c>
      <c r="E158" t="s">
        <v>12</v>
      </c>
      <c r="F158" t="s">
        <v>131</v>
      </c>
      <c r="G158" t="s">
        <v>10</v>
      </c>
      <c r="H158">
        <f>IF(Table_Sales[[#This Row],[profit]]&lt;0,1,0)</f>
        <v>0</v>
      </c>
      <c r="I158" t="str" cm="1">
        <f t="array" ref="I158">_xlfn.IFS(Table_Sales[[#This Row],[quantity]]&lt;=3,"1-3",Table_Sales[[#This Row],[quantity]]&lt;=7,"2-7",Table_Sales[[#This Row],[quantity]]&lt;=10,"8-10",TRUE,"11 and above")</f>
        <v>2-7</v>
      </c>
      <c r="J158" t="str" cm="1">
        <f t="array" ref="J158">_xlfn.IFS(Table_Sales[[#This Row],[amount]]&lt;1000,"Under 1000",Table_Sales[[#This Row],[amount]]&lt;3000,"1000 - 2999",Table_Sales[[#This Row],[amount]]&lt;5000,"3000 - 4999",TRUE,"5000 &amp; above")</f>
        <v>Under 1000</v>
      </c>
      <c r="K158">
        <f>IF(COUNTIFS(INDEX(Table_Sales[order_id],1):Table_Sales[[#This Row],[order_id]],Table_Sales[[#This Row],[order_id]])=1,1,0)</f>
        <v>1</v>
      </c>
      <c r="L15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158" t="str">
        <v>B-25867</v>
      </c>
    </row>
    <row r="159" spans="1:14" x14ac:dyDescent="0.25">
      <c r="A159" t="s">
        <v>170</v>
      </c>
      <c r="B159" s="1">
        <v>845</v>
      </c>
      <c r="C159" s="1">
        <v>84</v>
      </c>
      <c r="D159">
        <v>7</v>
      </c>
      <c r="E159" t="s">
        <v>23</v>
      </c>
      <c r="F159" t="s">
        <v>26</v>
      </c>
      <c r="G159" t="s">
        <v>19</v>
      </c>
      <c r="H159">
        <f>IF(Table_Sales[[#This Row],[profit]]&lt;0,1,0)</f>
        <v>0</v>
      </c>
      <c r="I159" t="str" cm="1">
        <f t="array" ref="I159">_xlfn.IFS(Table_Sales[[#This Row],[quantity]]&lt;=3,"1-3",Table_Sales[[#This Row],[quantity]]&lt;=7,"2-7",Table_Sales[[#This Row],[quantity]]&lt;=10,"8-10",TRUE,"11 and above")</f>
        <v>2-7</v>
      </c>
      <c r="J159" t="str" cm="1">
        <f t="array" ref="J159">_xlfn.IFS(Table_Sales[[#This Row],[amount]]&lt;1000,"Under 1000",Table_Sales[[#This Row],[amount]]&lt;3000,"1000 - 2999",Table_Sales[[#This Row],[amount]]&lt;5000,"3000 - 4999",TRUE,"5000 &amp; above")</f>
        <v>Under 1000</v>
      </c>
      <c r="K159">
        <f>IF(COUNTIFS(INDEX(Table_Sales[order_id],1):Table_Sales[[#This Row],[order_id]],Table_Sales[[#This Row],[order_id]])=1,1,0)</f>
        <v>1</v>
      </c>
      <c r="L15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159" t="str">
        <v>B-25633</v>
      </c>
    </row>
    <row r="160" spans="1:14" x14ac:dyDescent="0.25">
      <c r="A160" t="s">
        <v>171</v>
      </c>
      <c r="B160" s="1">
        <v>829</v>
      </c>
      <c r="C160" s="1">
        <v>19</v>
      </c>
      <c r="D160">
        <v>4</v>
      </c>
      <c r="E160" t="s">
        <v>8</v>
      </c>
      <c r="F160" t="s">
        <v>18</v>
      </c>
      <c r="G160" t="s">
        <v>19</v>
      </c>
      <c r="H160">
        <f>IF(Table_Sales[[#This Row],[profit]]&lt;0,1,0)</f>
        <v>0</v>
      </c>
      <c r="I160" t="str" cm="1">
        <f t="array" ref="I160">_xlfn.IFS(Table_Sales[[#This Row],[quantity]]&lt;=3,"1-3",Table_Sales[[#This Row],[quantity]]&lt;=7,"2-7",Table_Sales[[#This Row],[quantity]]&lt;=10,"8-10",TRUE,"11 and above")</f>
        <v>2-7</v>
      </c>
      <c r="J160" t="str" cm="1">
        <f t="array" ref="J160">_xlfn.IFS(Table_Sales[[#This Row],[amount]]&lt;1000,"Under 1000",Table_Sales[[#This Row],[amount]]&lt;3000,"1000 - 2999",Table_Sales[[#This Row],[amount]]&lt;5000,"3000 - 4999",TRUE,"5000 &amp; above")</f>
        <v>Under 1000</v>
      </c>
      <c r="K160">
        <f>IF(COUNTIFS(INDEX(Table_Sales[order_id],1):Table_Sales[[#This Row],[order_id]],Table_Sales[[#This Row],[order_id]])=1,1,0)</f>
        <v>1</v>
      </c>
      <c r="L16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160" t="str">
        <v>B-25609</v>
      </c>
    </row>
    <row r="161" spans="1:14" x14ac:dyDescent="0.25">
      <c r="A161" t="s">
        <v>20</v>
      </c>
      <c r="B161" s="1">
        <v>561</v>
      </c>
      <c r="C161" s="1">
        <v>212</v>
      </c>
      <c r="D161">
        <v>3</v>
      </c>
      <c r="E161" t="s">
        <v>23</v>
      </c>
      <c r="F161" t="s">
        <v>26</v>
      </c>
      <c r="G161" t="s">
        <v>10</v>
      </c>
      <c r="H161">
        <f>IF(Table_Sales[[#This Row],[profit]]&lt;0,1,0)</f>
        <v>0</v>
      </c>
      <c r="I161" t="str" cm="1">
        <f t="array" ref="I161">_xlfn.IFS(Table_Sales[[#This Row],[quantity]]&lt;=3,"1-3",Table_Sales[[#This Row],[quantity]]&lt;=7,"2-7",Table_Sales[[#This Row],[quantity]]&lt;=10,"8-10",TRUE,"11 and above")</f>
        <v>1-3</v>
      </c>
      <c r="J161" t="str" cm="1">
        <f t="array" ref="J161">_xlfn.IFS(Table_Sales[[#This Row],[amount]]&lt;1000,"Under 1000",Table_Sales[[#This Row],[amount]]&lt;3000,"1000 - 2999",Table_Sales[[#This Row],[amount]]&lt;5000,"3000 - 4999",TRUE,"5000 &amp; above")</f>
        <v>Under 1000</v>
      </c>
      <c r="K161">
        <f>IF(COUNTIFS(INDEX(Table_Sales[order_id],1):Table_Sales[[#This Row],[order_id]],Table_Sales[[#This Row],[order_id]])=1,1,0)</f>
        <v>0</v>
      </c>
      <c r="L16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161" t="str">
        <v>B-25896</v>
      </c>
    </row>
    <row r="162" spans="1:14" x14ac:dyDescent="0.25">
      <c r="A162" t="s">
        <v>103</v>
      </c>
      <c r="B162" s="1">
        <v>771</v>
      </c>
      <c r="C162" s="1">
        <v>-424</v>
      </c>
      <c r="D162">
        <v>2</v>
      </c>
      <c r="E162" t="s">
        <v>8</v>
      </c>
      <c r="F162" t="s">
        <v>21</v>
      </c>
      <c r="G162" t="s">
        <v>19</v>
      </c>
      <c r="H162">
        <f>IF(Table_Sales[[#This Row],[profit]]&lt;0,1,0)</f>
        <v>1</v>
      </c>
      <c r="I162" t="str" cm="1">
        <f t="array" ref="I162">_xlfn.IFS(Table_Sales[[#This Row],[quantity]]&lt;=3,"1-3",Table_Sales[[#This Row],[quantity]]&lt;=7,"2-7",Table_Sales[[#This Row],[quantity]]&lt;=10,"8-10",TRUE,"11 and above")</f>
        <v>1-3</v>
      </c>
      <c r="J162" t="str" cm="1">
        <f t="array" ref="J162">_xlfn.IFS(Table_Sales[[#This Row],[amount]]&lt;1000,"Under 1000",Table_Sales[[#This Row],[amount]]&lt;3000,"1000 - 2999",Table_Sales[[#This Row],[amount]]&lt;5000,"3000 - 4999",TRUE,"5000 &amp; above")</f>
        <v>Under 1000</v>
      </c>
      <c r="K162">
        <f>IF(COUNTIFS(INDEX(Table_Sales[order_id],1):Table_Sales[[#This Row],[order_id]],Table_Sales[[#This Row],[order_id]])=1,1,0)</f>
        <v>0</v>
      </c>
      <c r="L16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162" t="str">
        <v>B-26000</v>
      </c>
    </row>
    <row r="163" spans="1:14" x14ac:dyDescent="0.25">
      <c r="A163" t="s">
        <v>172</v>
      </c>
      <c r="B163" s="1">
        <v>765</v>
      </c>
      <c r="C163" s="1">
        <v>8</v>
      </c>
      <c r="D163">
        <v>6</v>
      </c>
      <c r="E163" t="s">
        <v>23</v>
      </c>
      <c r="F163" t="s">
        <v>26</v>
      </c>
      <c r="G163" t="s">
        <v>14</v>
      </c>
      <c r="H163">
        <f>IF(Table_Sales[[#This Row],[profit]]&lt;0,1,0)</f>
        <v>0</v>
      </c>
      <c r="I163" t="str" cm="1">
        <f t="array" ref="I163">_xlfn.IFS(Table_Sales[[#This Row],[quantity]]&lt;=3,"1-3",Table_Sales[[#This Row],[quantity]]&lt;=7,"2-7",Table_Sales[[#This Row],[quantity]]&lt;=10,"8-10",TRUE,"11 and above")</f>
        <v>2-7</v>
      </c>
      <c r="J163" t="str" cm="1">
        <f t="array" ref="J163">_xlfn.IFS(Table_Sales[[#This Row],[amount]]&lt;1000,"Under 1000",Table_Sales[[#This Row],[amount]]&lt;3000,"1000 - 2999",Table_Sales[[#This Row],[amount]]&lt;5000,"3000 - 4999",TRUE,"5000 &amp; above")</f>
        <v>Under 1000</v>
      </c>
      <c r="K163">
        <f>IF(COUNTIFS(INDEX(Table_Sales[order_id],1):Table_Sales[[#This Row],[order_id]],Table_Sales[[#This Row],[order_id]])=1,1,0)</f>
        <v>1</v>
      </c>
      <c r="L16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163" t="str">
        <v>B-25940</v>
      </c>
    </row>
    <row r="164" spans="1:14" x14ac:dyDescent="0.25">
      <c r="A164" t="s">
        <v>173</v>
      </c>
      <c r="B164" s="1">
        <v>31</v>
      </c>
      <c r="C164" s="1">
        <v>2</v>
      </c>
      <c r="D164">
        <v>2</v>
      </c>
      <c r="E164" t="s">
        <v>23</v>
      </c>
      <c r="F164" t="s">
        <v>30</v>
      </c>
      <c r="G164" t="s">
        <v>10</v>
      </c>
      <c r="H164">
        <f>IF(Table_Sales[[#This Row],[profit]]&lt;0,1,0)</f>
        <v>0</v>
      </c>
      <c r="I164" t="str" cm="1">
        <f t="array" ref="I164">_xlfn.IFS(Table_Sales[[#This Row],[quantity]]&lt;=3,"1-3",Table_Sales[[#This Row],[quantity]]&lt;=7,"2-7",Table_Sales[[#This Row],[quantity]]&lt;=10,"8-10",TRUE,"11 and above")</f>
        <v>1-3</v>
      </c>
      <c r="J164" t="str" cm="1">
        <f t="array" ref="J164">_xlfn.IFS(Table_Sales[[#This Row],[amount]]&lt;1000,"Under 1000",Table_Sales[[#This Row],[amount]]&lt;3000,"1000 - 2999",Table_Sales[[#This Row],[amount]]&lt;5000,"3000 - 4999",TRUE,"5000 &amp; above")</f>
        <v>Under 1000</v>
      </c>
      <c r="K164">
        <f>IF(COUNTIFS(INDEX(Table_Sales[order_id],1):Table_Sales[[#This Row],[order_id]],Table_Sales[[#This Row],[order_id]])=1,1,0)</f>
        <v>1</v>
      </c>
      <c r="L16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164" t="str">
        <v>B-26087</v>
      </c>
    </row>
    <row r="165" spans="1:14" x14ac:dyDescent="0.25">
      <c r="A165" t="s">
        <v>174</v>
      </c>
      <c r="B165" s="1">
        <v>557</v>
      </c>
      <c r="C165" s="1">
        <v>-111</v>
      </c>
      <c r="D165">
        <v>2</v>
      </c>
      <c r="E165" t="s">
        <v>8</v>
      </c>
      <c r="F165" t="s">
        <v>9</v>
      </c>
      <c r="G165" t="s">
        <v>10</v>
      </c>
      <c r="H165">
        <f>IF(Table_Sales[[#This Row],[profit]]&lt;0,1,0)</f>
        <v>1</v>
      </c>
      <c r="I165" t="str" cm="1">
        <f t="array" ref="I165">_xlfn.IFS(Table_Sales[[#This Row],[quantity]]&lt;=3,"1-3",Table_Sales[[#This Row],[quantity]]&lt;=7,"2-7",Table_Sales[[#This Row],[quantity]]&lt;=10,"8-10",TRUE,"11 and above")</f>
        <v>1-3</v>
      </c>
      <c r="J165" t="str" cm="1">
        <f t="array" ref="J165">_xlfn.IFS(Table_Sales[[#This Row],[amount]]&lt;1000,"Under 1000",Table_Sales[[#This Row],[amount]]&lt;3000,"1000 - 2999",Table_Sales[[#This Row],[amount]]&lt;5000,"3000 - 4999",TRUE,"5000 &amp; above")</f>
        <v>Under 1000</v>
      </c>
      <c r="K165">
        <f>IF(COUNTIFS(INDEX(Table_Sales[order_id],1):Table_Sales[[#This Row],[order_id]],Table_Sales[[#This Row],[order_id]])=1,1,0)</f>
        <v>1</v>
      </c>
      <c r="L16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165" t="str">
        <v>B-25980</v>
      </c>
    </row>
    <row r="166" spans="1:14" x14ac:dyDescent="0.25">
      <c r="A166" t="s">
        <v>172</v>
      </c>
      <c r="B166" s="1">
        <v>757</v>
      </c>
      <c r="C166" s="1">
        <v>371</v>
      </c>
      <c r="D166">
        <v>2</v>
      </c>
      <c r="E166" t="s">
        <v>8</v>
      </c>
      <c r="F166" t="s">
        <v>18</v>
      </c>
      <c r="G166" t="s">
        <v>19</v>
      </c>
      <c r="H166">
        <f>IF(Table_Sales[[#This Row],[profit]]&lt;0,1,0)</f>
        <v>0</v>
      </c>
      <c r="I166" t="str" cm="1">
        <f t="array" ref="I166">_xlfn.IFS(Table_Sales[[#This Row],[quantity]]&lt;=3,"1-3",Table_Sales[[#This Row],[quantity]]&lt;=7,"2-7",Table_Sales[[#This Row],[quantity]]&lt;=10,"8-10",TRUE,"11 and above")</f>
        <v>1-3</v>
      </c>
      <c r="J166" t="str" cm="1">
        <f t="array" ref="J166">_xlfn.IFS(Table_Sales[[#This Row],[amount]]&lt;1000,"Under 1000",Table_Sales[[#This Row],[amount]]&lt;3000,"1000 - 2999",Table_Sales[[#This Row],[amount]]&lt;5000,"3000 - 4999",TRUE,"5000 &amp; above")</f>
        <v>Under 1000</v>
      </c>
      <c r="K166">
        <f>IF(COUNTIFS(INDEX(Table_Sales[order_id],1):Table_Sales[[#This Row],[order_id]],Table_Sales[[#This Row],[order_id]])=1,1,0)</f>
        <v>0</v>
      </c>
      <c r="L16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166" t="str">
        <v>B-25877</v>
      </c>
    </row>
    <row r="167" spans="1:14" x14ac:dyDescent="0.25">
      <c r="A167" t="s">
        <v>175</v>
      </c>
      <c r="B167" s="1">
        <v>545</v>
      </c>
      <c r="C167" s="1">
        <v>-73</v>
      </c>
      <c r="D167">
        <v>11</v>
      </c>
      <c r="E167" t="s">
        <v>8</v>
      </c>
      <c r="F167" t="s">
        <v>21</v>
      </c>
      <c r="G167" t="s">
        <v>10</v>
      </c>
      <c r="H167">
        <f>IF(Table_Sales[[#This Row],[profit]]&lt;0,1,0)</f>
        <v>1</v>
      </c>
      <c r="I167" t="str" cm="1">
        <f t="array" ref="I167">_xlfn.IFS(Table_Sales[[#This Row],[quantity]]&lt;=3,"1-3",Table_Sales[[#This Row],[quantity]]&lt;=7,"2-7",Table_Sales[[#This Row],[quantity]]&lt;=10,"8-10",TRUE,"11 and above")</f>
        <v>11 and above</v>
      </c>
      <c r="J167" t="str" cm="1">
        <f t="array" ref="J167">_xlfn.IFS(Table_Sales[[#This Row],[amount]]&lt;1000,"Under 1000",Table_Sales[[#This Row],[amount]]&lt;3000,"1000 - 2999",Table_Sales[[#This Row],[amount]]&lt;5000,"3000 - 4999",TRUE,"5000 &amp; above")</f>
        <v>Under 1000</v>
      </c>
      <c r="K167">
        <f>IF(COUNTIFS(INDEX(Table_Sales[order_id],1):Table_Sales[[#This Row],[order_id]],Table_Sales[[#This Row],[order_id]])=1,1,0)</f>
        <v>1</v>
      </c>
      <c r="L16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167" t="str">
        <v>B-25905</v>
      </c>
    </row>
    <row r="168" spans="1:14" x14ac:dyDescent="0.25">
      <c r="A168" t="s">
        <v>176</v>
      </c>
      <c r="B168" s="1">
        <v>1052</v>
      </c>
      <c r="C168" s="1">
        <v>-82</v>
      </c>
      <c r="D168">
        <v>3</v>
      </c>
      <c r="E168" t="s">
        <v>12</v>
      </c>
      <c r="F168" t="s">
        <v>16</v>
      </c>
      <c r="G168" t="s">
        <v>28</v>
      </c>
      <c r="H168">
        <f>IF(Table_Sales[[#This Row],[profit]]&lt;0,1,0)</f>
        <v>1</v>
      </c>
      <c r="I168" t="str" cm="1">
        <f t="array" ref="I168">_xlfn.IFS(Table_Sales[[#This Row],[quantity]]&lt;=3,"1-3",Table_Sales[[#This Row],[quantity]]&lt;=7,"2-7",Table_Sales[[#This Row],[quantity]]&lt;=10,"8-10",TRUE,"11 and above")</f>
        <v>1-3</v>
      </c>
      <c r="J168" t="str" cm="1">
        <f t="array" ref="J168">_xlfn.IFS(Table_Sales[[#This Row],[amount]]&lt;1000,"Under 1000",Table_Sales[[#This Row],[amount]]&lt;3000,"1000 - 2999",Table_Sales[[#This Row],[amount]]&lt;5000,"3000 - 4999",TRUE,"5000 &amp; above")</f>
        <v>1000 - 2999</v>
      </c>
      <c r="K168">
        <f>IF(COUNTIFS(INDEX(Table_Sales[order_id],1):Table_Sales[[#This Row],[order_id]],Table_Sales[[#This Row],[order_id]])=1,1,0)</f>
        <v>1</v>
      </c>
      <c r="L16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168" t="str">
        <v>B-25818</v>
      </c>
    </row>
    <row r="169" spans="1:14" x14ac:dyDescent="0.25">
      <c r="A169" t="s">
        <v>177</v>
      </c>
      <c r="B169" s="1">
        <v>544</v>
      </c>
      <c r="C169" s="1">
        <v>-152</v>
      </c>
      <c r="D169">
        <v>3</v>
      </c>
      <c r="E169" t="s">
        <v>12</v>
      </c>
      <c r="F169" t="s">
        <v>16</v>
      </c>
      <c r="G169" t="s">
        <v>10</v>
      </c>
      <c r="H169">
        <f>IF(Table_Sales[[#This Row],[profit]]&lt;0,1,0)</f>
        <v>1</v>
      </c>
      <c r="I169" t="str" cm="1">
        <f t="array" ref="I169">_xlfn.IFS(Table_Sales[[#This Row],[quantity]]&lt;=3,"1-3",Table_Sales[[#This Row],[quantity]]&lt;=7,"2-7",Table_Sales[[#This Row],[quantity]]&lt;=10,"8-10",TRUE,"11 and above")</f>
        <v>1-3</v>
      </c>
      <c r="J169" t="str" cm="1">
        <f t="array" ref="J169">_xlfn.IFS(Table_Sales[[#This Row],[amount]]&lt;1000,"Under 1000",Table_Sales[[#This Row],[amount]]&lt;3000,"1000 - 2999",Table_Sales[[#This Row],[amount]]&lt;5000,"3000 - 4999",TRUE,"5000 &amp; above")</f>
        <v>Under 1000</v>
      </c>
      <c r="K169">
        <f>IF(COUNTIFS(INDEX(Table_Sales[order_id],1):Table_Sales[[#This Row],[order_id]],Table_Sales[[#This Row],[order_id]])=1,1,0)</f>
        <v>1</v>
      </c>
      <c r="L16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169" t="str">
        <v>B-25835</v>
      </c>
    </row>
    <row r="170" spans="1:14" x14ac:dyDescent="0.25">
      <c r="A170" t="s">
        <v>178</v>
      </c>
      <c r="B170" s="1">
        <v>22</v>
      </c>
      <c r="C170" s="1">
        <v>9</v>
      </c>
      <c r="D170">
        <v>2</v>
      </c>
      <c r="E170" t="s">
        <v>23</v>
      </c>
      <c r="F170" t="s">
        <v>63</v>
      </c>
      <c r="G170" t="s">
        <v>82</v>
      </c>
      <c r="H170">
        <f>IF(Table_Sales[[#This Row],[profit]]&lt;0,1,0)</f>
        <v>0</v>
      </c>
      <c r="I170" t="str" cm="1">
        <f t="array" ref="I170">_xlfn.IFS(Table_Sales[[#This Row],[quantity]]&lt;=3,"1-3",Table_Sales[[#This Row],[quantity]]&lt;=7,"2-7",Table_Sales[[#This Row],[quantity]]&lt;=10,"8-10",TRUE,"11 and above")</f>
        <v>1-3</v>
      </c>
      <c r="J170" t="str" cm="1">
        <f t="array" ref="J170">_xlfn.IFS(Table_Sales[[#This Row],[amount]]&lt;1000,"Under 1000",Table_Sales[[#This Row],[amount]]&lt;3000,"1000 - 2999",Table_Sales[[#This Row],[amount]]&lt;5000,"3000 - 4999",TRUE,"5000 &amp; above")</f>
        <v>Under 1000</v>
      </c>
      <c r="K170">
        <f>IF(COUNTIFS(INDEX(Table_Sales[order_id],1):Table_Sales[[#This Row],[order_id]],Table_Sales[[#This Row],[order_id]])=1,1,0)</f>
        <v>1</v>
      </c>
      <c r="L17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170" t="str">
        <v>B-26081</v>
      </c>
    </row>
    <row r="171" spans="1:14" x14ac:dyDescent="0.25">
      <c r="A171" t="s">
        <v>48</v>
      </c>
      <c r="B171" s="1">
        <v>757</v>
      </c>
      <c r="C171" s="1">
        <v>371</v>
      </c>
      <c r="D171">
        <v>2</v>
      </c>
      <c r="E171" t="s">
        <v>8</v>
      </c>
      <c r="F171" t="s">
        <v>18</v>
      </c>
      <c r="G171" t="s">
        <v>19</v>
      </c>
      <c r="H171">
        <f>IF(Table_Sales[[#This Row],[profit]]&lt;0,1,0)</f>
        <v>0</v>
      </c>
      <c r="I171" t="str" cm="1">
        <f t="array" ref="I171">_xlfn.IFS(Table_Sales[[#This Row],[quantity]]&lt;=3,"1-3",Table_Sales[[#This Row],[quantity]]&lt;=7,"2-7",Table_Sales[[#This Row],[quantity]]&lt;=10,"8-10",TRUE,"11 and above")</f>
        <v>1-3</v>
      </c>
      <c r="J171" t="str" cm="1">
        <f t="array" ref="J171">_xlfn.IFS(Table_Sales[[#This Row],[amount]]&lt;1000,"Under 1000",Table_Sales[[#This Row],[amount]]&lt;3000,"1000 - 2999",Table_Sales[[#This Row],[amount]]&lt;5000,"3000 - 4999",TRUE,"5000 &amp; above")</f>
        <v>Under 1000</v>
      </c>
      <c r="K171">
        <f>IF(COUNTIFS(INDEX(Table_Sales[order_id],1):Table_Sales[[#This Row],[order_id]],Table_Sales[[#This Row],[order_id]])=1,1,0)</f>
        <v>0</v>
      </c>
      <c r="L17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171" t="str">
        <v>B-25837</v>
      </c>
    </row>
    <row r="172" spans="1:14" x14ac:dyDescent="0.25">
      <c r="A172" t="s">
        <v>179</v>
      </c>
      <c r="B172" s="1">
        <v>742</v>
      </c>
      <c r="C172" s="1">
        <v>198</v>
      </c>
      <c r="D172">
        <v>2</v>
      </c>
      <c r="E172" t="s">
        <v>12</v>
      </c>
      <c r="F172" t="s">
        <v>16</v>
      </c>
      <c r="G172" t="s">
        <v>19</v>
      </c>
      <c r="H172">
        <f>IF(Table_Sales[[#This Row],[profit]]&lt;0,1,0)</f>
        <v>0</v>
      </c>
      <c r="I172" t="str" cm="1">
        <f t="array" ref="I172">_xlfn.IFS(Table_Sales[[#This Row],[quantity]]&lt;=3,"1-3",Table_Sales[[#This Row],[quantity]]&lt;=7,"2-7",Table_Sales[[#This Row],[quantity]]&lt;=10,"8-10",TRUE,"11 and above")</f>
        <v>1-3</v>
      </c>
      <c r="J172" t="str" cm="1">
        <f t="array" ref="J172">_xlfn.IFS(Table_Sales[[#This Row],[amount]]&lt;1000,"Under 1000",Table_Sales[[#This Row],[amount]]&lt;3000,"1000 - 2999",Table_Sales[[#This Row],[amount]]&lt;5000,"3000 - 4999",TRUE,"5000 &amp; above")</f>
        <v>Under 1000</v>
      </c>
      <c r="K172">
        <f>IF(COUNTIFS(INDEX(Table_Sales[order_id],1):Table_Sales[[#This Row],[order_id]],Table_Sales[[#This Row],[order_id]])=1,1,0)</f>
        <v>1</v>
      </c>
      <c r="L17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172" t="str">
        <v>B-25893</v>
      </c>
    </row>
    <row r="173" spans="1:14" x14ac:dyDescent="0.25">
      <c r="A173" t="s">
        <v>180</v>
      </c>
      <c r="B173" s="1">
        <v>537</v>
      </c>
      <c r="C173" s="1">
        <v>107</v>
      </c>
      <c r="D173">
        <v>3</v>
      </c>
      <c r="E173" t="s">
        <v>23</v>
      </c>
      <c r="F173" t="s">
        <v>26</v>
      </c>
      <c r="G173" t="s">
        <v>10</v>
      </c>
      <c r="H173">
        <f>IF(Table_Sales[[#This Row],[profit]]&lt;0,1,0)</f>
        <v>0</v>
      </c>
      <c r="I173" t="str" cm="1">
        <f t="array" ref="I173">_xlfn.IFS(Table_Sales[[#This Row],[quantity]]&lt;=3,"1-3",Table_Sales[[#This Row],[quantity]]&lt;=7,"2-7",Table_Sales[[#This Row],[quantity]]&lt;=10,"8-10",TRUE,"11 and above")</f>
        <v>1-3</v>
      </c>
      <c r="J173" t="str" cm="1">
        <f t="array" ref="J173">_xlfn.IFS(Table_Sales[[#This Row],[amount]]&lt;1000,"Under 1000",Table_Sales[[#This Row],[amount]]&lt;3000,"1000 - 2999",Table_Sales[[#This Row],[amount]]&lt;5000,"3000 - 4999",TRUE,"5000 &amp; above")</f>
        <v>Under 1000</v>
      </c>
      <c r="K173">
        <f>IF(COUNTIFS(INDEX(Table_Sales[order_id],1):Table_Sales[[#This Row],[order_id]],Table_Sales[[#This Row],[order_id]])=1,1,0)</f>
        <v>1</v>
      </c>
      <c r="L17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173" t="str">
        <v>B-25689</v>
      </c>
    </row>
    <row r="174" spans="1:14" x14ac:dyDescent="0.25">
      <c r="A174" t="s">
        <v>172</v>
      </c>
      <c r="B174" s="1">
        <v>536</v>
      </c>
      <c r="C174" s="1">
        <v>91</v>
      </c>
      <c r="D174">
        <v>1</v>
      </c>
      <c r="E174" t="s">
        <v>23</v>
      </c>
      <c r="F174" t="s">
        <v>24</v>
      </c>
      <c r="G174" t="s">
        <v>10</v>
      </c>
      <c r="H174">
        <f>IF(Table_Sales[[#This Row],[profit]]&lt;0,1,0)</f>
        <v>0</v>
      </c>
      <c r="I174" t="str" cm="1">
        <f t="array" ref="I174">_xlfn.IFS(Table_Sales[[#This Row],[quantity]]&lt;=3,"1-3",Table_Sales[[#This Row],[quantity]]&lt;=7,"2-7",Table_Sales[[#This Row],[quantity]]&lt;=10,"8-10",TRUE,"11 and above")</f>
        <v>1-3</v>
      </c>
      <c r="J174" t="str" cm="1">
        <f t="array" ref="J174">_xlfn.IFS(Table_Sales[[#This Row],[amount]]&lt;1000,"Under 1000",Table_Sales[[#This Row],[amount]]&lt;3000,"1000 - 2999",Table_Sales[[#This Row],[amount]]&lt;5000,"3000 - 4999",TRUE,"5000 &amp; above")</f>
        <v>Under 1000</v>
      </c>
      <c r="K174">
        <f>IF(COUNTIFS(INDEX(Table_Sales[order_id],1):Table_Sales[[#This Row],[order_id]],Table_Sales[[#This Row],[order_id]])=1,1,0)</f>
        <v>0</v>
      </c>
      <c r="L17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174" t="str">
        <v>B-26028</v>
      </c>
    </row>
    <row r="175" spans="1:14" x14ac:dyDescent="0.25">
      <c r="A175" t="s">
        <v>123</v>
      </c>
      <c r="B175" s="1">
        <v>6</v>
      </c>
      <c r="C175" s="1">
        <v>3</v>
      </c>
      <c r="D175">
        <v>1</v>
      </c>
      <c r="E175" t="s">
        <v>23</v>
      </c>
      <c r="F175" t="s">
        <v>30</v>
      </c>
      <c r="G175" t="s">
        <v>10</v>
      </c>
      <c r="H175">
        <f>IF(Table_Sales[[#This Row],[profit]]&lt;0,1,0)</f>
        <v>0</v>
      </c>
      <c r="I175" t="str" cm="1">
        <f t="array" ref="I175">_xlfn.IFS(Table_Sales[[#This Row],[quantity]]&lt;=3,"1-3",Table_Sales[[#This Row],[quantity]]&lt;=7,"2-7",Table_Sales[[#This Row],[quantity]]&lt;=10,"8-10",TRUE,"11 and above")</f>
        <v>1-3</v>
      </c>
      <c r="J175" t="str" cm="1">
        <f t="array" ref="J175">_xlfn.IFS(Table_Sales[[#This Row],[amount]]&lt;1000,"Under 1000",Table_Sales[[#This Row],[amount]]&lt;3000,"1000 - 2999",Table_Sales[[#This Row],[amount]]&lt;5000,"3000 - 4999",TRUE,"5000 &amp; above")</f>
        <v>Under 1000</v>
      </c>
      <c r="K175">
        <f>IF(COUNTIFS(INDEX(Table_Sales[order_id],1):Table_Sales[[#This Row],[order_id]],Table_Sales[[#This Row],[order_id]])=1,1,0)</f>
        <v>0</v>
      </c>
      <c r="L17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175" t="str">
        <v>B-25654</v>
      </c>
    </row>
    <row r="176" spans="1:14" x14ac:dyDescent="0.25">
      <c r="A176" t="s">
        <v>7</v>
      </c>
      <c r="B176" s="1">
        <v>523</v>
      </c>
      <c r="C176" s="1">
        <v>204</v>
      </c>
      <c r="D176">
        <v>7</v>
      </c>
      <c r="E176" t="s">
        <v>23</v>
      </c>
      <c r="F176" t="s">
        <v>24</v>
      </c>
      <c r="G176" t="s">
        <v>10</v>
      </c>
      <c r="H176">
        <f>IF(Table_Sales[[#This Row],[profit]]&lt;0,1,0)</f>
        <v>0</v>
      </c>
      <c r="I176" t="str" cm="1">
        <f t="array" ref="I176">_xlfn.IFS(Table_Sales[[#This Row],[quantity]]&lt;=3,"1-3",Table_Sales[[#This Row],[quantity]]&lt;=7,"2-7",Table_Sales[[#This Row],[quantity]]&lt;=10,"8-10",TRUE,"11 and above")</f>
        <v>2-7</v>
      </c>
      <c r="J176" t="str" cm="1">
        <f t="array" ref="J176">_xlfn.IFS(Table_Sales[[#This Row],[amount]]&lt;1000,"Under 1000",Table_Sales[[#This Row],[amount]]&lt;3000,"1000 - 2999",Table_Sales[[#This Row],[amount]]&lt;5000,"3000 - 4999",TRUE,"5000 &amp; above")</f>
        <v>Under 1000</v>
      </c>
      <c r="K176">
        <f>IF(COUNTIFS(INDEX(Table_Sales[order_id],1):Table_Sales[[#This Row],[order_id]],Table_Sales[[#This Row],[order_id]])=1,1,0)</f>
        <v>0</v>
      </c>
      <c r="L17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176" t="str">
        <v>B-25720</v>
      </c>
    </row>
    <row r="177" spans="1:14" x14ac:dyDescent="0.25">
      <c r="A177" t="s">
        <v>181</v>
      </c>
      <c r="B177" s="1">
        <v>27</v>
      </c>
      <c r="C177" s="1">
        <v>9</v>
      </c>
      <c r="D177">
        <v>2</v>
      </c>
      <c r="E177" t="s">
        <v>23</v>
      </c>
      <c r="F177" t="s">
        <v>81</v>
      </c>
      <c r="G177" t="s">
        <v>28</v>
      </c>
      <c r="H177">
        <f>IF(Table_Sales[[#This Row],[profit]]&lt;0,1,0)</f>
        <v>0</v>
      </c>
      <c r="I177" t="str" cm="1">
        <f t="array" ref="I177">_xlfn.IFS(Table_Sales[[#This Row],[quantity]]&lt;=3,"1-3",Table_Sales[[#This Row],[quantity]]&lt;=7,"2-7",Table_Sales[[#This Row],[quantity]]&lt;=10,"8-10",TRUE,"11 and above")</f>
        <v>1-3</v>
      </c>
      <c r="J177" t="str" cm="1">
        <f t="array" ref="J177">_xlfn.IFS(Table_Sales[[#This Row],[amount]]&lt;1000,"Under 1000",Table_Sales[[#This Row],[amount]]&lt;3000,"1000 - 2999",Table_Sales[[#This Row],[amount]]&lt;5000,"3000 - 4999",TRUE,"5000 &amp; above")</f>
        <v>Under 1000</v>
      </c>
      <c r="K177">
        <f>IF(COUNTIFS(INDEX(Table_Sales[order_id],1):Table_Sales[[#This Row],[order_id]],Table_Sales[[#This Row],[order_id]])=1,1,0)</f>
        <v>1</v>
      </c>
      <c r="L17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177" t="str">
        <v>B-26057</v>
      </c>
    </row>
    <row r="178" spans="1:14" x14ac:dyDescent="0.25">
      <c r="A178" t="s">
        <v>182</v>
      </c>
      <c r="B178" s="1">
        <v>516</v>
      </c>
      <c r="C178" s="1">
        <v>392</v>
      </c>
      <c r="D178">
        <v>8</v>
      </c>
      <c r="E178" t="s">
        <v>12</v>
      </c>
      <c r="F178" t="s">
        <v>13</v>
      </c>
      <c r="G178" t="s">
        <v>10</v>
      </c>
      <c r="H178">
        <f>IF(Table_Sales[[#This Row],[profit]]&lt;0,1,0)</f>
        <v>0</v>
      </c>
      <c r="I178" t="str" cm="1">
        <f t="array" ref="I178">_xlfn.IFS(Table_Sales[[#This Row],[quantity]]&lt;=3,"1-3",Table_Sales[[#This Row],[quantity]]&lt;=7,"2-7",Table_Sales[[#This Row],[quantity]]&lt;=10,"8-10",TRUE,"11 and above")</f>
        <v>8-10</v>
      </c>
      <c r="J178" t="str" cm="1">
        <f t="array" ref="J178">_xlfn.IFS(Table_Sales[[#This Row],[amount]]&lt;1000,"Under 1000",Table_Sales[[#This Row],[amount]]&lt;3000,"1000 - 2999",Table_Sales[[#This Row],[amount]]&lt;5000,"3000 - 4999",TRUE,"5000 &amp; above")</f>
        <v>Under 1000</v>
      </c>
      <c r="K178">
        <f>IF(COUNTIFS(INDEX(Table_Sales[order_id],1):Table_Sales[[#This Row],[order_id]],Table_Sales[[#This Row],[order_id]])=1,1,0)</f>
        <v>1</v>
      </c>
      <c r="L17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178" t="str">
        <v>B-25798</v>
      </c>
    </row>
    <row r="179" spans="1:14" x14ac:dyDescent="0.25">
      <c r="A179" t="s">
        <v>183</v>
      </c>
      <c r="B179" s="1">
        <v>504</v>
      </c>
      <c r="C179" s="1">
        <v>116</v>
      </c>
      <c r="D179">
        <v>3</v>
      </c>
      <c r="E179" t="s">
        <v>12</v>
      </c>
      <c r="F179" t="s">
        <v>16</v>
      </c>
      <c r="G179" t="s">
        <v>10</v>
      </c>
      <c r="H179">
        <f>IF(Table_Sales[[#This Row],[profit]]&lt;0,1,0)</f>
        <v>0</v>
      </c>
      <c r="I179" t="str" cm="1">
        <f t="array" ref="I179">_xlfn.IFS(Table_Sales[[#This Row],[quantity]]&lt;=3,"1-3",Table_Sales[[#This Row],[quantity]]&lt;=7,"2-7",Table_Sales[[#This Row],[quantity]]&lt;=10,"8-10",TRUE,"11 and above")</f>
        <v>1-3</v>
      </c>
      <c r="J179" t="str" cm="1">
        <f t="array" ref="J179">_xlfn.IFS(Table_Sales[[#This Row],[amount]]&lt;1000,"Under 1000",Table_Sales[[#This Row],[amount]]&lt;3000,"1000 - 2999",Table_Sales[[#This Row],[amount]]&lt;5000,"3000 - 4999",TRUE,"5000 &amp; above")</f>
        <v>Under 1000</v>
      </c>
      <c r="K179">
        <f>IF(COUNTIFS(INDEX(Table_Sales[order_id],1):Table_Sales[[#This Row],[order_id]],Table_Sales[[#This Row],[order_id]])=1,1,0)</f>
        <v>1</v>
      </c>
      <c r="L17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179" t="str">
        <v>B-25961</v>
      </c>
    </row>
    <row r="180" spans="1:14" x14ac:dyDescent="0.25">
      <c r="A180" t="s">
        <v>184</v>
      </c>
      <c r="B180" s="1">
        <v>502</v>
      </c>
      <c r="C180" s="1">
        <v>84</v>
      </c>
      <c r="D180">
        <v>4</v>
      </c>
      <c r="E180" t="s">
        <v>8</v>
      </c>
      <c r="F180" t="s">
        <v>21</v>
      </c>
      <c r="G180" t="s">
        <v>10</v>
      </c>
      <c r="H180">
        <f>IF(Table_Sales[[#This Row],[profit]]&lt;0,1,0)</f>
        <v>0</v>
      </c>
      <c r="I180" t="str" cm="1">
        <f t="array" ref="I180">_xlfn.IFS(Table_Sales[[#This Row],[quantity]]&lt;=3,"1-3",Table_Sales[[#This Row],[quantity]]&lt;=7,"2-7",Table_Sales[[#This Row],[quantity]]&lt;=10,"8-10",TRUE,"11 and above")</f>
        <v>2-7</v>
      </c>
      <c r="J180" t="str" cm="1">
        <f t="array" ref="J180">_xlfn.IFS(Table_Sales[[#This Row],[amount]]&lt;1000,"Under 1000",Table_Sales[[#This Row],[amount]]&lt;3000,"1000 - 2999",Table_Sales[[#This Row],[amount]]&lt;5000,"3000 - 4999",TRUE,"5000 &amp; above")</f>
        <v>Under 1000</v>
      </c>
      <c r="K180">
        <f>IF(COUNTIFS(INDEX(Table_Sales[order_id],1):Table_Sales[[#This Row],[order_id]],Table_Sales[[#This Row],[order_id]])=1,1,0)</f>
        <v>1</v>
      </c>
      <c r="L18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180" t="str">
        <v>B-25701</v>
      </c>
    </row>
    <row r="181" spans="1:14" x14ac:dyDescent="0.25">
      <c r="A181" t="s">
        <v>185</v>
      </c>
      <c r="B181" s="1">
        <v>734</v>
      </c>
      <c r="C181" s="1">
        <v>213</v>
      </c>
      <c r="D181">
        <v>6</v>
      </c>
      <c r="E181" t="s">
        <v>8</v>
      </c>
      <c r="F181" t="s">
        <v>9</v>
      </c>
      <c r="G181" t="s">
        <v>19</v>
      </c>
      <c r="H181">
        <f>IF(Table_Sales[[#This Row],[profit]]&lt;0,1,0)</f>
        <v>0</v>
      </c>
      <c r="I181" t="str" cm="1">
        <f t="array" ref="I181">_xlfn.IFS(Table_Sales[[#This Row],[quantity]]&lt;=3,"1-3",Table_Sales[[#This Row],[quantity]]&lt;=7,"2-7",Table_Sales[[#This Row],[quantity]]&lt;=10,"8-10",TRUE,"11 and above")</f>
        <v>2-7</v>
      </c>
      <c r="J181" t="str" cm="1">
        <f t="array" ref="J181">_xlfn.IFS(Table_Sales[[#This Row],[amount]]&lt;1000,"Under 1000",Table_Sales[[#This Row],[amount]]&lt;3000,"1000 - 2999",Table_Sales[[#This Row],[amount]]&lt;5000,"3000 - 4999",TRUE,"5000 &amp; above")</f>
        <v>Under 1000</v>
      </c>
      <c r="K181">
        <f>IF(COUNTIFS(INDEX(Table_Sales[order_id],1):Table_Sales[[#This Row],[order_id]],Table_Sales[[#This Row],[order_id]])=1,1,0)</f>
        <v>1</v>
      </c>
      <c r="L18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181" t="str">
        <v>B-26056</v>
      </c>
    </row>
    <row r="182" spans="1:14" x14ac:dyDescent="0.25">
      <c r="A182" t="s">
        <v>186</v>
      </c>
      <c r="B182" s="1">
        <v>42</v>
      </c>
      <c r="C182" s="1">
        <v>12</v>
      </c>
      <c r="D182">
        <v>2</v>
      </c>
      <c r="E182" t="s">
        <v>23</v>
      </c>
      <c r="F182" t="s">
        <v>32</v>
      </c>
      <c r="G182" t="s">
        <v>10</v>
      </c>
      <c r="H182">
        <f>IF(Table_Sales[[#This Row],[profit]]&lt;0,1,0)</f>
        <v>0</v>
      </c>
      <c r="I182" t="str" cm="1">
        <f t="array" ref="I182">_xlfn.IFS(Table_Sales[[#This Row],[quantity]]&lt;=3,"1-3",Table_Sales[[#This Row],[quantity]]&lt;=7,"2-7",Table_Sales[[#This Row],[quantity]]&lt;=10,"8-10",TRUE,"11 and above")</f>
        <v>1-3</v>
      </c>
      <c r="J182" t="str" cm="1">
        <f t="array" ref="J182">_xlfn.IFS(Table_Sales[[#This Row],[amount]]&lt;1000,"Under 1000",Table_Sales[[#This Row],[amount]]&lt;3000,"1000 - 2999",Table_Sales[[#This Row],[amount]]&lt;5000,"3000 - 4999",TRUE,"5000 &amp; above")</f>
        <v>Under 1000</v>
      </c>
      <c r="K182">
        <f>IF(COUNTIFS(INDEX(Table_Sales[order_id],1):Table_Sales[[#This Row],[order_id]],Table_Sales[[#This Row],[order_id]])=1,1,0)</f>
        <v>1</v>
      </c>
      <c r="L18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182" t="str">
        <v>B-26016</v>
      </c>
    </row>
    <row r="183" spans="1:14" x14ac:dyDescent="0.25">
      <c r="A183" t="s">
        <v>187</v>
      </c>
      <c r="B183" s="1">
        <v>29</v>
      </c>
      <c r="C183" s="1">
        <v>11</v>
      </c>
      <c r="D183">
        <v>4</v>
      </c>
      <c r="E183" t="s">
        <v>23</v>
      </c>
      <c r="F183" t="s">
        <v>43</v>
      </c>
      <c r="G183" t="s">
        <v>10</v>
      </c>
      <c r="H183">
        <f>IF(Table_Sales[[#This Row],[profit]]&lt;0,1,0)</f>
        <v>0</v>
      </c>
      <c r="I183" t="str" cm="1">
        <f t="array" ref="I183">_xlfn.IFS(Table_Sales[[#This Row],[quantity]]&lt;=3,"1-3",Table_Sales[[#This Row],[quantity]]&lt;=7,"2-7",Table_Sales[[#This Row],[quantity]]&lt;=10,"8-10",TRUE,"11 and above")</f>
        <v>2-7</v>
      </c>
      <c r="J183" t="str" cm="1">
        <f t="array" ref="J183">_xlfn.IFS(Table_Sales[[#This Row],[amount]]&lt;1000,"Under 1000",Table_Sales[[#This Row],[amount]]&lt;3000,"1000 - 2999",Table_Sales[[#This Row],[amount]]&lt;5000,"3000 - 4999",TRUE,"5000 &amp; above")</f>
        <v>Under 1000</v>
      </c>
      <c r="K183">
        <f>IF(COUNTIFS(INDEX(Table_Sales[order_id],1):Table_Sales[[#This Row],[order_id]],Table_Sales[[#This Row],[order_id]])=1,1,0)</f>
        <v>1</v>
      </c>
      <c r="L18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183" t="str">
        <v>B-25819</v>
      </c>
    </row>
    <row r="184" spans="1:14" x14ac:dyDescent="0.25">
      <c r="A184" t="s">
        <v>188</v>
      </c>
      <c r="B184" s="1">
        <v>240</v>
      </c>
      <c r="C184" s="1">
        <v>12</v>
      </c>
      <c r="D184">
        <v>6</v>
      </c>
      <c r="E184" t="s">
        <v>23</v>
      </c>
      <c r="F184" t="s">
        <v>32</v>
      </c>
      <c r="G184" t="s">
        <v>28</v>
      </c>
      <c r="H184">
        <f>IF(Table_Sales[[#This Row],[profit]]&lt;0,1,0)</f>
        <v>0</v>
      </c>
      <c r="I184" t="str" cm="1">
        <f t="array" ref="I184">_xlfn.IFS(Table_Sales[[#This Row],[quantity]]&lt;=3,"1-3",Table_Sales[[#This Row],[quantity]]&lt;=7,"2-7",Table_Sales[[#This Row],[quantity]]&lt;=10,"8-10",TRUE,"11 and above")</f>
        <v>2-7</v>
      </c>
      <c r="J184" t="str" cm="1">
        <f t="array" ref="J184">_xlfn.IFS(Table_Sales[[#This Row],[amount]]&lt;1000,"Under 1000",Table_Sales[[#This Row],[amount]]&lt;3000,"1000 - 2999",Table_Sales[[#This Row],[amount]]&lt;5000,"3000 - 4999",TRUE,"5000 &amp; above")</f>
        <v>Under 1000</v>
      </c>
      <c r="K184">
        <f>IF(COUNTIFS(INDEX(Table_Sales[order_id],1):Table_Sales[[#This Row],[order_id]],Table_Sales[[#This Row],[order_id]])=1,1,0)</f>
        <v>1</v>
      </c>
      <c r="L18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184" t="str">
        <v>B-25848</v>
      </c>
    </row>
    <row r="185" spans="1:14" x14ac:dyDescent="0.25">
      <c r="A185" t="s">
        <v>189</v>
      </c>
      <c r="B185" s="1">
        <v>496</v>
      </c>
      <c r="C185" s="1">
        <v>-79</v>
      </c>
      <c r="D185">
        <v>2</v>
      </c>
      <c r="E185" t="s">
        <v>23</v>
      </c>
      <c r="F185" t="s">
        <v>24</v>
      </c>
      <c r="G185" t="s">
        <v>10</v>
      </c>
      <c r="H185">
        <f>IF(Table_Sales[[#This Row],[profit]]&lt;0,1,0)</f>
        <v>1</v>
      </c>
      <c r="I185" t="str" cm="1">
        <f t="array" ref="I185">_xlfn.IFS(Table_Sales[[#This Row],[quantity]]&lt;=3,"1-3",Table_Sales[[#This Row],[quantity]]&lt;=7,"2-7",Table_Sales[[#This Row],[quantity]]&lt;=10,"8-10",TRUE,"11 and above")</f>
        <v>1-3</v>
      </c>
      <c r="J185" t="str" cm="1">
        <f t="array" ref="J185">_xlfn.IFS(Table_Sales[[#This Row],[amount]]&lt;1000,"Under 1000",Table_Sales[[#This Row],[amount]]&lt;3000,"1000 - 2999",Table_Sales[[#This Row],[amount]]&lt;5000,"3000 - 4999",TRUE,"5000 &amp; above")</f>
        <v>Under 1000</v>
      </c>
      <c r="K185">
        <f>IF(COUNTIFS(INDEX(Table_Sales[order_id],1):Table_Sales[[#This Row],[order_id]],Table_Sales[[#This Row],[order_id]])=1,1,0)</f>
        <v>1</v>
      </c>
      <c r="L18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185" t="str">
        <v>B-25678</v>
      </c>
    </row>
    <row r="186" spans="1:14" x14ac:dyDescent="0.25">
      <c r="A186" t="s">
        <v>190</v>
      </c>
      <c r="B186" s="1">
        <v>485</v>
      </c>
      <c r="C186" s="1">
        <v>29</v>
      </c>
      <c r="D186">
        <v>4</v>
      </c>
      <c r="E186" t="s">
        <v>8</v>
      </c>
      <c r="F186" t="s">
        <v>9</v>
      </c>
      <c r="G186" t="s">
        <v>10</v>
      </c>
      <c r="H186">
        <f>IF(Table_Sales[[#This Row],[profit]]&lt;0,1,0)</f>
        <v>0</v>
      </c>
      <c r="I186" t="str" cm="1">
        <f t="array" ref="I186">_xlfn.IFS(Table_Sales[[#This Row],[quantity]]&lt;=3,"1-3",Table_Sales[[#This Row],[quantity]]&lt;=7,"2-7",Table_Sales[[#This Row],[quantity]]&lt;=10,"8-10",TRUE,"11 and above")</f>
        <v>2-7</v>
      </c>
      <c r="J186" t="str" cm="1">
        <f t="array" ref="J186">_xlfn.IFS(Table_Sales[[#This Row],[amount]]&lt;1000,"Under 1000",Table_Sales[[#This Row],[amount]]&lt;3000,"1000 - 2999",Table_Sales[[#This Row],[amount]]&lt;5000,"3000 - 4999",TRUE,"5000 &amp; above")</f>
        <v>Under 1000</v>
      </c>
      <c r="K186">
        <f>IF(COUNTIFS(INDEX(Table_Sales[order_id],1):Table_Sales[[#This Row],[order_id]],Table_Sales[[#This Row],[order_id]])=1,1,0)</f>
        <v>1</v>
      </c>
      <c r="L18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186" t="str">
        <v>B-25925</v>
      </c>
    </row>
    <row r="187" spans="1:14" x14ac:dyDescent="0.25">
      <c r="A187" t="s">
        <v>191</v>
      </c>
      <c r="B187" s="1">
        <v>31</v>
      </c>
      <c r="C187" s="1">
        <v>-11</v>
      </c>
      <c r="D187">
        <v>3</v>
      </c>
      <c r="E187" t="s">
        <v>23</v>
      </c>
      <c r="F187" t="s">
        <v>43</v>
      </c>
      <c r="G187" t="s">
        <v>28</v>
      </c>
      <c r="H187">
        <f>IF(Table_Sales[[#This Row],[profit]]&lt;0,1,0)</f>
        <v>1</v>
      </c>
      <c r="I187" t="str" cm="1">
        <f t="array" ref="I187">_xlfn.IFS(Table_Sales[[#This Row],[quantity]]&lt;=3,"1-3",Table_Sales[[#This Row],[quantity]]&lt;=7,"2-7",Table_Sales[[#This Row],[quantity]]&lt;=10,"8-10",TRUE,"11 and above")</f>
        <v>1-3</v>
      </c>
      <c r="J187" t="str" cm="1">
        <f t="array" ref="J187">_xlfn.IFS(Table_Sales[[#This Row],[amount]]&lt;1000,"Under 1000",Table_Sales[[#This Row],[amount]]&lt;3000,"1000 - 2999",Table_Sales[[#This Row],[amount]]&lt;5000,"3000 - 4999",TRUE,"5000 &amp; above")</f>
        <v>Under 1000</v>
      </c>
      <c r="K187">
        <f>IF(COUNTIFS(INDEX(Table_Sales[order_id],1):Table_Sales[[#This Row],[order_id]],Table_Sales[[#This Row],[order_id]])=1,1,0)</f>
        <v>1</v>
      </c>
      <c r="L18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187" t="str">
        <v>B-25977</v>
      </c>
    </row>
    <row r="188" spans="1:14" x14ac:dyDescent="0.25">
      <c r="A188" t="s">
        <v>192</v>
      </c>
      <c r="B188" s="1">
        <v>676</v>
      </c>
      <c r="C188" s="1">
        <v>151</v>
      </c>
      <c r="D188">
        <v>3</v>
      </c>
      <c r="E188" t="s">
        <v>8</v>
      </c>
      <c r="F188" t="s">
        <v>18</v>
      </c>
      <c r="G188" t="s">
        <v>19</v>
      </c>
      <c r="H188">
        <f>IF(Table_Sales[[#This Row],[profit]]&lt;0,1,0)</f>
        <v>0</v>
      </c>
      <c r="I188" t="str" cm="1">
        <f t="array" ref="I188">_xlfn.IFS(Table_Sales[[#This Row],[quantity]]&lt;=3,"1-3",Table_Sales[[#This Row],[quantity]]&lt;=7,"2-7",Table_Sales[[#This Row],[quantity]]&lt;=10,"8-10",TRUE,"11 and above")</f>
        <v>1-3</v>
      </c>
      <c r="J188" t="str" cm="1">
        <f t="array" ref="J188">_xlfn.IFS(Table_Sales[[#This Row],[amount]]&lt;1000,"Under 1000",Table_Sales[[#This Row],[amount]]&lt;3000,"1000 - 2999",Table_Sales[[#This Row],[amount]]&lt;5000,"3000 - 4999",TRUE,"5000 &amp; above")</f>
        <v>Under 1000</v>
      </c>
      <c r="K188">
        <f>IF(COUNTIFS(INDEX(Table_Sales[order_id],1):Table_Sales[[#This Row],[order_id]],Table_Sales[[#This Row],[order_id]])=1,1,0)</f>
        <v>1</v>
      </c>
      <c r="L18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188" t="str">
        <v>B-25648</v>
      </c>
    </row>
    <row r="189" spans="1:14" x14ac:dyDescent="0.25">
      <c r="A189" t="s">
        <v>157</v>
      </c>
      <c r="B189" s="1">
        <v>23</v>
      </c>
      <c r="C189" s="1">
        <v>8</v>
      </c>
      <c r="D189">
        <v>2</v>
      </c>
      <c r="E189" t="s">
        <v>23</v>
      </c>
      <c r="F189" t="s">
        <v>30</v>
      </c>
      <c r="G189" t="s">
        <v>82</v>
      </c>
      <c r="H189">
        <f>IF(Table_Sales[[#This Row],[profit]]&lt;0,1,0)</f>
        <v>0</v>
      </c>
      <c r="I189" t="str" cm="1">
        <f t="array" ref="I189">_xlfn.IFS(Table_Sales[[#This Row],[quantity]]&lt;=3,"1-3",Table_Sales[[#This Row],[quantity]]&lt;=7,"2-7",Table_Sales[[#This Row],[quantity]]&lt;=10,"8-10",TRUE,"11 and above")</f>
        <v>1-3</v>
      </c>
      <c r="J189" t="str" cm="1">
        <f t="array" ref="J189">_xlfn.IFS(Table_Sales[[#This Row],[amount]]&lt;1000,"Under 1000",Table_Sales[[#This Row],[amount]]&lt;3000,"1000 - 2999",Table_Sales[[#This Row],[amount]]&lt;5000,"3000 - 4999",TRUE,"5000 &amp; above")</f>
        <v>Under 1000</v>
      </c>
      <c r="K189">
        <f>IF(COUNTIFS(INDEX(Table_Sales[order_id],1):Table_Sales[[#This Row],[order_id]],Table_Sales[[#This Row],[order_id]])=1,1,0)</f>
        <v>0</v>
      </c>
      <c r="L18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189" t="str">
        <v>B-25933</v>
      </c>
    </row>
    <row r="190" spans="1:14" x14ac:dyDescent="0.25">
      <c r="A190" t="s">
        <v>193</v>
      </c>
      <c r="B190" s="1">
        <v>13</v>
      </c>
      <c r="C190" s="1">
        <v>3</v>
      </c>
      <c r="D190">
        <v>2</v>
      </c>
      <c r="E190" t="s">
        <v>23</v>
      </c>
      <c r="F190" t="s">
        <v>30</v>
      </c>
      <c r="G190" t="s">
        <v>10</v>
      </c>
      <c r="H190">
        <f>IF(Table_Sales[[#This Row],[profit]]&lt;0,1,0)</f>
        <v>0</v>
      </c>
      <c r="I190" t="str" cm="1">
        <f t="array" ref="I190">_xlfn.IFS(Table_Sales[[#This Row],[quantity]]&lt;=3,"1-3",Table_Sales[[#This Row],[quantity]]&lt;=7,"2-7",Table_Sales[[#This Row],[quantity]]&lt;=10,"8-10",TRUE,"11 and above")</f>
        <v>1-3</v>
      </c>
      <c r="J190" t="str" cm="1">
        <f t="array" ref="J190">_xlfn.IFS(Table_Sales[[#This Row],[amount]]&lt;1000,"Under 1000",Table_Sales[[#This Row],[amount]]&lt;3000,"1000 - 2999",Table_Sales[[#This Row],[amount]]&lt;5000,"3000 - 4999",TRUE,"5000 &amp; above")</f>
        <v>Under 1000</v>
      </c>
      <c r="K190">
        <f>IF(COUNTIFS(INDEX(Table_Sales[order_id],1):Table_Sales[[#This Row],[order_id]],Table_Sales[[#This Row],[order_id]])=1,1,0)</f>
        <v>1</v>
      </c>
      <c r="L19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190" t="str">
        <v>B-25942</v>
      </c>
    </row>
    <row r="191" spans="1:14" x14ac:dyDescent="0.25">
      <c r="A191" t="s">
        <v>194</v>
      </c>
      <c r="B191" s="1">
        <v>180</v>
      </c>
      <c r="C191" s="1">
        <v>0</v>
      </c>
      <c r="D191">
        <v>8</v>
      </c>
      <c r="E191" t="s">
        <v>23</v>
      </c>
      <c r="F191" t="s">
        <v>57</v>
      </c>
      <c r="G191" t="s">
        <v>10</v>
      </c>
      <c r="H191">
        <f>IF(Table_Sales[[#This Row],[profit]]&lt;0,1,0)</f>
        <v>0</v>
      </c>
      <c r="I191" t="str" cm="1">
        <f t="array" ref="I191">_xlfn.IFS(Table_Sales[[#This Row],[quantity]]&lt;=3,"1-3",Table_Sales[[#This Row],[quantity]]&lt;=7,"2-7",Table_Sales[[#This Row],[quantity]]&lt;=10,"8-10",TRUE,"11 and above")</f>
        <v>8-10</v>
      </c>
      <c r="J191" t="str" cm="1">
        <f t="array" ref="J191">_xlfn.IFS(Table_Sales[[#This Row],[amount]]&lt;1000,"Under 1000",Table_Sales[[#This Row],[amount]]&lt;3000,"1000 - 2999",Table_Sales[[#This Row],[amount]]&lt;5000,"3000 - 4999",TRUE,"5000 &amp; above")</f>
        <v>Under 1000</v>
      </c>
      <c r="K191">
        <f>IF(COUNTIFS(INDEX(Table_Sales[order_id],1):Table_Sales[[#This Row],[order_id]],Table_Sales[[#This Row],[order_id]])=1,1,0)</f>
        <v>1</v>
      </c>
      <c r="L19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191" t="str">
        <v>B-25673</v>
      </c>
    </row>
    <row r="192" spans="1:14" x14ac:dyDescent="0.25">
      <c r="A192" t="s">
        <v>11</v>
      </c>
      <c r="B192" s="1">
        <v>671</v>
      </c>
      <c r="C192" s="1">
        <v>114</v>
      </c>
      <c r="D192">
        <v>9</v>
      </c>
      <c r="E192" t="s">
        <v>8</v>
      </c>
      <c r="F192" t="s">
        <v>21</v>
      </c>
      <c r="G192" t="s">
        <v>19</v>
      </c>
      <c r="H192">
        <f>IF(Table_Sales[[#This Row],[profit]]&lt;0,1,0)</f>
        <v>0</v>
      </c>
      <c r="I192" t="str" cm="1">
        <f t="array" ref="I192">_xlfn.IFS(Table_Sales[[#This Row],[quantity]]&lt;=3,"1-3",Table_Sales[[#This Row],[quantity]]&lt;=7,"2-7",Table_Sales[[#This Row],[quantity]]&lt;=10,"8-10",TRUE,"11 and above")</f>
        <v>8-10</v>
      </c>
      <c r="J192" t="str" cm="1">
        <f t="array" ref="J192">_xlfn.IFS(Table_Sales[[#This Row],[amount]]&lt;1000,"Under 1000",Table_Sales[[#This Row],[amount]]&lt;3000,"1000 - 2999",Table_Sales[[#This Row],[amount]]&lt;5000,"3000 - 4999",TRUE,"5000 &amp; above")</f>
        <v>Under 1000</v>
      </c>
      <c r="K192">
        <f>IF(COUNTIFS(INDEX(Table_Sales[order_id],1):Table_Sales[[#This Row],[order_id]],Table_Sales[[#This Row],[order_id]])=1,1,0)</f>
        <v>0</v>
      </c>
      <c r="L19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192" t="str">
        <v>B-25791</v>
      </c>
    </row>
    <row r="193" spans="1:14" x14ac:dyDescent="0.25">
      <c r="A193" t="s">
        <v>195</v>
      </c>
      <c r="B193" s="1">
        <v>22</v>
      </c>
      <c r="C193" s="1">
        <v>11</v>
      </c>
      <c r="D193">
        <v>3</v>
      </c>
      <c r="E193" t="s">
        <v>23</v>
      </c>
      <c r="F193" t="s">
        <v>32</v>
      </c>
      <c r="G193" t="s">
        <v>10</v>
      </c>
      <c r="H193">
        <f>IF(Table_Sales[[#This Row],[profit]]&lt;0,1,0)</f>
        <v>0</v>
      </c>
      <c r="I193" t="str" cm="1">
        <f t="array" ref="I193">_xlfn.IFS(Table_Sales[[#This Row],[quantity]]&lt;=3,"1-3",Table_Sales[[#This Row],[quantity]]&lt;=7,"2-7",Table_Sales[[#This Row],[quantity]]&lt;=10,"8-10",TRUE,"11 and above")</f>
        <v>1-3</v>
      </c>
      <c r="J193" t="str" cm="1">
        <f t="array" ref="J193">_xlfn.IFS(Table_Sales[[#This Row],[amount]]&lt;1000,"Under 1000",Table_Sales[[#This Row],[amount]]&lt;3000,"1000 - 2999",Table_Sales[[#This Row],[amount]]&lt;5000,"3000 - 4999",TRUE,"5000 &amp; above")</f>
        <v>Under 1000</v>
      </c>
      <c r="K193">
        <f>IF(COUNTIFS(INDEX(Table_Sales[order_id],1):Table_Sales[[#This Row],[order_id]],Table_Sales[[#This Row],[order_id]])=1,1,0)</f>
        <v>1</v>
      </c>
      <c r="L19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193" t="str">
        <v>B-25983</v>
      </c>
    </row>
    <row r="194" spans="1:14" x14ac:dyDescent="0.25">
      <c r="A194" t="s">
        <v>117</v>
      </c>
      <c r="B194" s="1">
        <v>668</v>
      </c>
      <c r="C194" s="1">
        <v>-31</v>
      </c>
      <c r="D194">
        <v>3</v>
      </c>
      <c r="E194" t="s">
        <v>8</v>
      </c>
      <c r="F194" t="s">
        <v>18</v>
      </c>
      <c r="G194" t="s">
        <v>19</v>
      </c>
      <c r="H194">
        <f>IF(Table_Sales[[#This Row],[profit]]&lt;0,1,0)</f>
        <v>1</v>
      </c>
      <c r="I194" t="str" cm="1">
        <f t="array" ref="I194">_xlfn.IFS(Table_Sales[[#This Row],[quantity]]&lt;=3,"1-3",Table_Sales[[#This Row],[quantity]]&lt;=7,"2-7",Table_Sales[[#This Row],[quantity]]&lt;=10,"8-10",TRUE,"11 and above")</f>
        <v>1-3</v>
      </c>
      <c r="J194" t="str" cm="1">
        <f t="array" ref="J194">_xlfn.IFS(Table_Sales[[#This Row],[amount]]&lt;1000,"Under 1000",Table_Sales[[#This Row],[amount]]&lt;3000,"1000 - 2999",Table_Sales[[#This Row],[amount]]&lt;5000,"3000 - 4999",TRUE,"5000 &amp; above")</f>
        <v>Under 1000</v>
      </c>
      <c r="K194">
        <f>IF(COUNTIFS(INDEX(Table_Sales[order_id],1):Table_Sales[[#This Row],[order_id]],Table_Sales[[#This Row],[order_id]])=1,1,0)</f>
        <v>0</v>
      </c>
      <c r="L19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194" t="str">
        <v>B-25743</v>
      </c>
    </row>
    <row r="195" spans="1:14" x14ac:dyDescent="0.25">
      <c r="A195" t="s">
        <v>122</v>
      </c>
      <c r="B195" s="1">
        <v>145</v>
      </c>
      <c r="C195" s="1">
        <v>0</v>
      </c>
      <c r="D195">
        <v>3</v>
      </c>
      <c r="E195" t="s">
        <v>23</v>
      </c>
      <c r="F195" t="s">
        <v>26</v>
      </c>
      <c r="G195" t="s">
        <v>28</v>
      </c>
      <c r="H195">
        <f>IF(Table_Sales[[#This Row],[profit]]&lt;0,1,0)</f>
        <v>0</v>
      </c>
      <c r="I195" t="str" cm="1">
        <f t="array" ref="I195">_xlfn.IFS(Table_Sales[[#This Row],[quantity]]&lt;=3,"1-3",Table_Sales[[#This Row],[quantity]]&lt;=7,"2-7",Table_Sales[[#This Row],[quantity]]&lt;=10,"8-10",TRUE,"11 and above")</f>
        <v>1-3</v>
      </c>
      <c r="J195" t="str" cm="1">
        <f t="array" ref="J195">_xlfn.IFS(Table_Sales[[#This Row],[amount]]&lt;1000,"Under 1000",Table_Sales[[#This Row],[amount]]&lt;3000,"1000 - 2999",Table_Sales[[#This Row],[amount]]&lt;5000,"3000 - 4999",TRUE,"5000 &amp; above")</f>
        <v>Under 1000</v>
      </c>
      <c r="K195">
        <f>IF(COUNTIFS(INDEX(Table_Sales[order_id],1):Table_Sales[[#This Row],[order_id]],Table_Sales[[#This Row],[order_id]])=1,1,0)</f>
        <v>0</v>
      </c>
      <c r="L19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195" t="str">
        <v>B-25973</v>
      </c>
    </row>
    <row r="196" spans="1:14" x14ac:dyDescent="0.25">
      <c r="A196" t="s">
        <v>196</v>
      </c>
      <c r="B196" s="1">
        <v>24</v>
      </c>
      <c r="C196" s="1">
        <v>8</v>
      </c>
      <c r="D196">
        <v>2</v>
      </c>
      <c r="E196" t="s">
        <v>23</v>
      </c>
      <c r="F196" t="s">
        <v>43</v>
      </c>
      <c r="G196" t="s">
        <v>82</v>
      </c>
      <c r="H196">
        <f>IF(Table_Sales[[#This Row],[profit]]&lt;0,1,0)</f>
        <v>0</v>
      </c>
      <c r="I196" t="str" cm="1">
        <f t="array" ref="I196">_xlfn.IFS(Table_Sales[[#This Row],[quantity]]&lt;=3,"1-3",Table_Sales[[#This Row],[quantity]]&lt;=7,"2-7",Table_Sales[[#This Row],[quantity]]&lt;=10,"8-10",TRUE,"11 and above")</f>
        <v>1-3</v>
      </c>
      <c r="J196" t="str" cm="1">
        <f t="array" ref="J196">_xlfn.IFS(Table_Sales[[#This Row],[amount]]&lt;1000,"Under 1000",Table_Sales[[#This Row],[amount]]&lt;3000,"1000 - 2999",Table_Sales[[#This Row],[amount]]&lt;5000,"3000 - 4999",TRUE,"5000 &amp; above")</f>
        <v>Under 1000</v>
      </c>
      <c r="K196">
        <f>IF(COUNTIFS(INDEX(Table_Sales[order_id],1):Table_Sales[[#This Row],[order_id]],Table_Sales[[#This Row],[order_id]])=1,1,0)</f>
        <v>1</v>
      </c>
      <c r="L19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196" t="str">
        <v>B-25895</v>
      </c>
    </row>
    <row r="197" spans="1:14" x14ac:dyDescent="0.25">
      <c r="A197" t="s">
        <v>87</v>
      </c>
      <c r="B197" s="1">
        <v>476</v>
      </c>
      <c r="C197" s="1">
        <v>0</v>
      </c>
      <c r="D197">
        <v>3</v>
      </c>
      <c r="E197" t="s">
        <v>12</v>
      </c>
      <c r="F197" t="s">
        <v>13</v>
      </c>
      <c r="G197" t="s">
        <v>10</v>
      </c>
      <c r="H197">
        <f>IF(Table_Sales[[#This Row],[profit]]&lt;0,1,0)</f>
        <v>0</v>
      </c>
      <c r="I197" t="str" cm="1">
        <f t="array" ref="I197">_xlfn.IFS(Table_Sales[[#This Row],[quantity]]&lt;=3,"1-3",Table_Sales[[#This Row],[quantity]]&lt;=7,"2-7",Table_Sales[[#This Row],[quantity]]&lt;=10,"8-10",TRUE,"11 and above")</f>
        <v>1-3</v>
      </c>
      <c r="J197" t="str" cm="1">
        <f t="array" ref="J197">_xlfn.IFS(Table_Sales[[#This Row],[amount]]&lt;1000,"Under 1000",Table_Sales[[#This Row],[amount]]&lt;3000,"1000 - 2999",Table_Sales[[#This Row],[amount]]&lt;5000,"3000 - 4999",TRUE,"5000 &amp; above")</f>
        <v>Under 1000</v>
      </c>
      <c r="K197">
        <f>IF(COUNTIFS(INDEX(Table_Sales[order_id],1):Table_Sales[[#This Row],[order_id]],Table_Sales[[#This Row],[order_id]])=1,1,0)</f>
        <v>0</v>
      </c>
      <c r="L19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197" t="str">
        <v>B-25717</v>
      </c>
    </row>
    <row r="198" spans="1:14" x14ac:dyDescent="0.25">
      <c r="A198" t="s">
        <v>185</v>
      </c>
      <c r="B198" s="1">
        <v>24</v>
      </c>
      <c r="C198" s="1">
        <v>11</v>
      </c>
      <c r="D198">
        <v>5</v>
      </c>
      <c r="E198" t="s">
        <v>23</v>
      </c>
      <c r="F198" t="s">
        <v>30</v>
      </c>
      <c r="G198" t="s">
        <v>82</v>
      </c>
      <c r="H198">
        <f>IF(Table_Sales[[#This Row],[profit]]&lt;0,1,0)</f>
        <v>0</v>
      </c>
      <c r="I198" t="str" cm="1">
        <f t="array" ref="I198">_xlfn.IFS(Table_Sales[[#This Row],[quantity]]&lt;=3,"1-3",Table_Sales[[#This Row],[quantity]]&lt;=7,"2-7",Table_Sales[[#This Row],[quantity]]&lt;=10,"8-10",TRUE,"11 and above")</f>
        <v>2-7</v>
      </c>
      <c r="J198" t="str" cm="1">
        <f t="array" ref="J198">_xlfn.IFS(Table_Sales[[#This Row],[amount]]&lt;1000,"Under 1000",Table_Sales[[#This Row],[amount]]&lt;3000,"1000 - 2999",Table_Sales[[#This Row],[amount]]&lt;5000,"3000 - 4999",TRUE,"5000 &amp; above")</f>
        <v>Under 1000</v>
      </c>
      <c r="K198">
        <f>IF(COUNTIFS(INDEX(Table_Sales[order_id],1):Table_Sales[[#This Row],[order_id]],Table_Sales[[#This Row],[order_id]])=1,1,0)</f>
        <v>0</v>
      </c>
      <c r="L19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198" t="str">
        <v>B-26064</v>
      </c>
    </row>
    <row r="199" spans="1:14" x14ac:dyDescent="0.25">
      <c r="A199" t="s">
        <v>22</v>
      </c>
      <c r="B199" s="1">
        <v>37</v>
      </c>
      <c r="C199" s="1">
        <v>3</v>
      </c>
      <c r="D199">
        <v>3</v>
      </c>
      <c r="E199" t="s">
        <v>23</v>
      </c>
      <c r="F199" t="s">
        <v>30</v>
      </c>
      <c r="G199" t="s">
        <v>10</v>
      </c>
      <c r="H199">
        <f>IF(Table_Sales[[#This Row],[profit]]&lt;0,1,0)</f>
        <v>0</v>
      </c>
      <c r="I199" t="str" cm="1">
        <f t="array" ref="I199">_xlfn.IFS(Table_Sales[[#This Row],[quantity]]&lt;=3,"1-3",Table_Sales[[#This Row],[quantity]]&lt;=7,"2-7",Table_Sales[[#This Row],[quantity]]&lt;=10,"8-10",TRUE,"11 and above")</f>
        <v>1-3</v>
      </c>
      <c r="J199" t="str" cm="1">
        <f t="array" ref="J199">_xlfn.IFS(Table_Sales[[#This Row],[amount]]&lt;1000,"Under 1000",Table_Sales[[#This Row],[amount]]&lt;3000,"1000 - 2999",Table_Sales[[#This Row],[amount]]&lt;5000,"3000 - 4999",TRUE,"5000 &amp; above")</f>
        <v>Under 1000</v>
      </c>
      <c r="K199">
        <f>IF(COUNTIFS(INDEX(Table_Sales[order_id],1):Table_Sales[[#This Row],[order_id]],Table_Sales[[#This Row],[order_id]])=1,1,0)</f>
        <v>0</v>
      </c>
      <c r="L19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199" t="str">
        <v>B-25630</v>
      </c>
    </row>
    <row r="200" spans="1:14" x14ac:dyDescent="0.25">
      <c r="A200" t="s">
        <v>197</v>
      </c>
      <c r="B200" s="1">
        <v>152</v>
      </c>
      <c r="C200" s="1">
        <v>50</v>
      </c>
      <c r="D200">
        <v>6</v>
      </c>
      <c r="E200" t="s">
        <v>23</v>
      </c>
      <c r="F200" t="s">
        <v>57</v>
      </c>
      <c r="G200" t="s">
        <v>28</v>
      </c>
      <c r="H200">
        <f>IF(Table_Sales[[#This Row],[profit]]&lt;0,1,0)</f>
        <v>0</v>
      </c>
      <c r="I200" t="str" cm="1">
        <f t="array" ref="I200">_xlfn.IFS(Table_Sales[[#This Row],[quantity]]&lt;=3,"1-3",Table_Sales[[#This Row],[quantity]]&lt;=7,"2-7",Table_Sales[[#This Row],[quantity]]&lt;=10,"8-10",TRUE,"11 and above")</f>
        <v>2-7</v>
      </c>
      <c r="J200" t="str" cm="1">
        <f t="array" ref="J200">_xlfn.IFS(Table_Sales[[#This Row],[amount]]&lt;1000,"Under 1000",Table_Sales[[#This Row],[amount]]&lt;3000,"1000 - 2999",Table_Sales[[#This Row],[amount]]&lt;5000,"3000 - 4999",TRUE,"5000 &amp; above")</f>
        <v>Under 1000</v>
      </c>
      <c r="K200">
        <f>IF(COUNTIFS(INDEX(Table_Sales[order_id],1):Table_Sales[[#This Row],[order_id]],Table_Sales[[#This Row],[order_id]])=1,1,0)</f>
        <v>1</v>
      </c>
      <c r="L20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200" t="str">
        <v>B-26050</v>
      </c>
    </row>
    <row r="201" spans="1:14" x14ac:dyDescent="0.25">
      <c r="A201" t="s">
        <v>198</v>
      </c>
      <c r="B201" s="1">
        <v>32</v>
      </c>
      <c r="C201" s="1">
        <v>11</v>
      </c>
      <c r="D201">
        <v>2</v>
      </c>
      <c r="E201" t="s">
        <v>23</v>
      </c>
      <c r="F201" t="s">
        <v>63</v>
      </c>
      <c r="G201" t="s">
        <v>28</v>
      </c>
      <c r="H201">
        <f>IF(Table_Sales[[#This Row],[profit]]&lt;0,1,0)</f>
        <v>0</v>
      </c>
      <c r="I201" t="str" cm="1">
        <f t="array" ref="I201">_xlfn.IFS(Table_Sales[[#This Row],[quantity]]&lt;=3,"1-3",Table_Sales[[#This Row],[quantity]]&lt;=7,"2-7",Table_Sales[[#This Row],[quantity]]&lt;=10,"8-10",TRUE,"11 and above")</f>
        <v>1-3</v>
      </c>
      <c r="J201" t="str" cm="1">
        <f t="array" ref="J201">_xlfn.IFS(Table_Sales[[#This Row],[amount]]&lt;1000,"Under 1000",Table_Sales[[#This Row],[amount]]&lt;3000,"1000 - 2999",Table_Sales[[#This Row],[amount]]&lt;5000,"3000 - 4999",TRUE,"5000 &amp; above")</f>
        <v>Under 1000</v>
      </c>
      <c r="K201">
        <f>IF(COUNTIFS(INDEX(Table_Sales[order_id],1):Table_Sales[[#This Row],[order_id]],Table_Sales[[#This Row],[order_id]])=1,1,0)</f>
        <v>1</v>
      </c>
      <c r="L20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201" t="str">
        <v>B-26035</v>
      </c>
    </row>
    <row r="202" spans="1:14" x14ac:dyDescent="0.25">
      <c r="A202" t="s">
        <v>199</v>
      </c>
      <c r="B202" s="1">
        <v>52</v>
      </c>
      <c r="C202" s="1">
        <v>11</v>
      </c>
      <c r="D202">
        <v>5</v>
      </c>
      <c r="E202" t="s">
        <v>23</v>
      </c>
      <c r="F202" t="s">
        <v>63</v>
      </c>
      <c r="G202" t="s">
        <v>10</v>
      </c>
      <c r="H202">
        <f>IF(Table_Sales[[#This Row],[profit]]&lt;0,1,0)</f>
        <v>0</v>
      </c>
      <c r="I202" t="str" cm="1">
        <f t="array" ref="I202">_xlfn.IFS(Table_Sales[[#This Row],[quantity]]&lt;=3,"1-3",Table_Sales[[#This Row],[quantity]]&lt;=7,"2-7",Table_Sales[[#This Row],[quantity]]&lt;=10,"8-10",TRUE,"11 and above")</f>
        <v>2-7</v>
      </c>
      <c r="J202" t="str" cm="1">
        <f t="array" ref="J202">_xlfn.IFS(Table_Sales[[#This Row],[amount]]&lt;1000,"Under 1000",Table_Sales[[#This Row],[amount]]&lt;3000,"1000 - 2999",Table_Sales[[#This Row],[amount]]&lt;5000,"3000 - 4999",TRUE,"5000 &amp; above")</f>
        <v>Under 1000</v>
      </c>
      <c r="K202">
        <f>IF(COUNTIFS(INDEX(Table_Sales[order_id],1):Table_Sales[[#This Row],[order_id]],Table_Sales[[#This Row],[order_id]])=1,1,0)</f>
        <v>1</v>
      </c>
      <c r="L20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202" t="str">
        <v>B-25966</v>
      </c>
    </row>
    <row r="203" spans="1:14" x14ac:dyDescent="0.25">
      <c r="A203" t="s">
        <v>200</v>
      </c>
      <c r="B203" s="1">
        <v>24</v>
      </c>
      <c r="C203" s="1">
        <v>11</v>
      </c>
      <c r="D203">
        <v>3</v>
      </c>
      <c r="E203" t="s">
        <v>23</v>
      </c>
      <c r="F203" t="s">
        <v>30</v>
      </c>
      <c r="G203" t="s">
        <v>82</v>
      </c>
      <c r="H203">
        <f>IF(Table_Sales[[#This Row],[profit]]&lt;0,1,0)</f>
        <v>0</v>
      </c>
      <c r="I203" t="str" cm="1">
        <f t="array" ref="I203">_xlfn.IFS(Table_Sales[[#This Row],[quantity]]&lt;=3,"1-3",Table_Sales[[#This Row],[quantity]]&lt;=7,"2-7",Table_Sales[[#This Row],[quantity]]&lt;=10,"8-10",TRUE,"11 and above")</f>
        <v>1-3</v>
      </c>
      <c r="J203" t="str" cm="1">
        <f t="array" ref="J203">_xlfn.IFS(Table_Sales[[#This Row],[amount]]&lt;1000,"Under 1000",Table_Sales[[#This Row],[amount]]&lt;3000,"1000 - 2999",Table_Sales[[#This Row],[amount]]&lt;5000,"3000 - 4999",TRUE,"5000 &amp; above")</f>
        <v>Under 1000</v>
      </c>
      <c r="K203">
        <f>IF(COUNTIFS(INDEX(Table_Sales[order_id],1):Table_Sales[[#This Row],[order_id]],Table_Sales[[#This Row],[order_id]])=1,1,0)</f>
        <v>1</v>
      </c>
      <c r="L20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203" t="str">
        <v>B-26060</v>
      </c>
    </row>
    <row r="204" spans="1:14" x14ac:dyDescent="0.25">
      <c r="A204" t="s">
        <v>121</v>
      </c>
      <c r="B204" s="1">
        <v>473</v>
      </c>
      <c r="C204" s="1">
        <v>42</v>
      </c>
      <c r="D204">
        <v>4</v>
      </c>
      <c r="E204" t="s">
        <v>12</v>
      </c>
      <c r="F204" t="s">
        <v>13</v>
      </c>
      <c r="G204" t="s">
        <v>10</v>
      </c>
      <c r="H204">
        <f>IF(Table_Sales[[#This Row],[profit]]&lt;0,1,0)</f>
        <v>0</v>
      </c>
      <c r="I204" t="str" cm="1">
        <f t="array" ref="I204">_xlfn.IFS(Table_Sales[[#This Row],[quantity]]&lt;=3,"1-3",Table_Sales[[#This Row],[quantity]]&lt;=7,"2-7",Table_Sales[[#This Row],[quantity]]&lt;=10,"8-10",TRUE,"11 and above")</f>
        <v>2-7</v>
      </c>
      <c r="J204" t="str" cm="1">
        <f t="array" ref="J204">_xlfn.IFS(Table_Sales[[#This Row],[amount]]&lt;1000,"Under 1000",Table_Sales[[#This Row],[amount]]&lt;3000,"1000 - 2999",Table_Sales[[#This Row],[amount]]&lt;5000,"3000 - 4999",TRUE,"5000 &amp; above")</f>
        <v>Under 1000</v>
      </c>
      <c r="K204">
        <f>IF(COUNTIFS(INDEX(Table_Sales[order_id],1):Table_Sales[[#This Row],[order_id]],Table_Sales[[#This Row],[order_id]])=1,1,0)</f>
        <v>0</v>
      </c>
      <c r="L20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204" t="str">
        <v>B-25854</v>
      </c>
    </row>
    <row r="205" spans="1:14" x14ac:dyDescent="0.25">
      <c r="A205" t="s">
        <v>201</v>
      </c>
      <c r="B205" s="1">
        <v>263</v>
      </c>
      <c r="C205" s="1">
        <v>50</v>
      </c>
      <c r="D205">
        <v>5</v>
      </c>
      <c r="E205" t="s">
        <v>23</v>
      </c>
      <c r="F205" t="s">
        <v>57</v>
      </c>
      <c r="G205" t="s">
        <v>10</v>
      </c>
      <c r="H205">
        <f>IF(Table_Sales[[#This Row],[profit]]&lt;0,1,0)</f>
        <v>0</v>
      </c>
      <c r="I205" t="str" cm="1">
        <f t="array" ref="I205">_xlfn.IFS(Table_Sales[[#This Row],[quantity]]&lt;=3,"1-3",Table_Sales[[#This Row],[quantity]]&lt;=7,"2-7",Table_Sales[[#This Row],[quantity]]&lt;=10,"8-10",TRUE,"11 and above")</f>
        <v>2-7</v>
      </c>
      <c r="J205" t="str" cm="1">
        <f t="array" ref="J205">_xlfn.IFS(Table_Sales[[#This Row],[amount]]&lt;1000,"Under 1000",Table_Sales[[#This Row],[amount]]&lt;3000,"1000 - 2999",Table_Sales[[#This Row],[amount]]&lt;5000,"3000 - 4999",TRUE,"5000 &amp; above")</f>
        <v>Under 1000</v>
      </c>
      <c r="K205">
        <f>IF(COUNTIFS(INDEX(Table_Sales[order_id],1):Table_Sales[[#This Row],[order_id]],Table_Sales[[#This Row],[order_id]])=1,1,0)</f>
        <v>1</v>
      </c>
      <c r="L20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205" t="str">
        <v>B-25964</v>
      </c>
    </row>
    <row r="206" spans="1:14" x14ac:dyDescent="0.25">
      <c r="A206" t="s">
        <v>202</v>
      </c>
      <c r="B206" s="1">
        <v>61</v>
      </c>
      <c r="C206" s="1">
        <v>11</v>
      </c>
      <c r="D206">
        <v>3</v>
      </c>
      <c r="E206" t="s">
        <v>23</v>
      </c>
      <c r="F206" t="s">
        <v>32</v>
      </c>
      <c r="G206" t="s">
        <v>10</v>
      </c>
      <c r="H206">
        <f>IF(Table_Sales[[#This Row],[profit]]&lt;0,1,0)</f>
        <v>0</v>
      </c>
      <c r="I206" t="str" cm="1">
        <f t="array" ref="I206">_xlfn.IFS(Table_Sales[[#This Row],[quantity]]&lt;=3,"1-3",Table_Sales[[#This Row],[quantity]]&lt;=7,"2-7",Table_Sales[[#This Row],[quantity]]&lt;=10,"8-10",TRUE,"11 and above")</f>
        <v>1-3</v>
      </c>
      <c r="J206" t="str" cm="1">
        <f t="array" ref="J206">_xlfn.IFS(Table_Sales[[#This Row],[amount]]&lt;1000,"Under 1000",Table_Sales[[#This Row],[amount]]&lt;3000,"1000 - 2999",Table_Sales[[#This Row],[amount]]&lt;5000,"3000 - 4999",TRUE,"5000 &amp; above")</f>
        <v>Under 1000</v>
      </c>
      <c r="K206">
        <f>IF(COUNTIFS(INDEX(Table_Sales[order_id],1):Table_Sales[[#This Row],[order_id]],Table_Sales[[#This Row],[order_id]])=1,1,0)</f>
        <v>1</v>
      </c>
      <c r="L20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206" t="str">
        <v>B-25628</v>
      </c>
    </row>
    <row r="207" spans="1:14" x14ac:dyDescent="0.25">
      <c r="A207" t="s">
        <v>203</v>
      </c>
      <c r="B207" s="1">
        <v>469</v>
      </c>
      <c r="C207" s="1">
        <v>-459</v>
      </c>
      <c r="D207">
        <v>3</v>
      </c>
      <c r="E207" t="s">
        <v>8</v>
      </c>
      <c r="F207" t="s">
        <v>9</v>
      </c>
      <c r="G207" t="s">
        <v>10</v>
      </c>
      <c r="H207">
        <f>IF(Table_Sales[[#This Row],[profit]]&lt;0,1,0)</f>
        <v>1</v>
      </c>
      <c r="I207" t="str" cm="1">
        <f t="array" ref="I207">_xlfn.IFS(Table_Sales[[#This Row],[quantity]]&lt;=3,"1-3",Table_Sales[[#This Row],[quantity]]&lt;=7,"2-7",Table_Sales[[#This Row],[quantity]]&lt;=10,"8-10",TRUE,"11 and above")</f>
        <v>1-3</v>
      </c>
      <c r="J207" t="str" cm="1">
        <f t="array" ref="J207">_xlfn.IFS(Table_Sales[[#This Row],[amount]]&lt;1000,"Under 1000",Table_Sales[[#This Row],[amount]]&lt;3000,"1000 - 2999",Table_Sales[[#This Row],[amount]]&lt;5000,"3000 - 4999",TRUE,"5000 &amp; above")</f>
        <v>Under 1000</v>
      </c>
      <c r="K207">
        <f>IF(COUNTIFS(INDEX(Table_Sales[order_id],1):Table_Sales[[#This Row],[order_id]],Table_Sales[[#This Row],[order_id]])=1,1,0)</f>
        <v>1</v>
      </c>
      <c r="L20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207" t="str">
        <v>B-25891</v>
      </c>
    </row>
    <row r="208" spans="1:14" x14ac:dyDescent="0.25">
      <c r="A208" t="s">
        <v>204</v>
      </c>
      <c r="B208" s="1">
        <v>1272</v>
      </c>
      <c r="C208" s="1">
        <v>547</v>
      </c>
      <c r="D208">
        <v>2</v>
      </c>
      <c r="E208" t="s">
        <v>8</v>
      </c>
      <c r="F208" t="s">
        <v>21</v>
      </c>
      <c r="G208" t="s">
        <v>10</v>
      </c>
      <c r="H208">
        <f>IF(Table_Sales[[#This Row],[profit]]&lt;0,1,0)</f>
        <v>0</v>
      </c>
      <c r="I208" t="str" cm="1">
        <f t="array" ref="I208">_xlfn.IFS(Table_Sales[[#This Row],[quantity]]&lt;=3,"1-3",Table_Sales[[#This Row],[quantity]]&lt;=7,"2-7",Table_Sales[[#This Row],[quantity]]&lt;=10,"8-10",TRUE,"11 and above")</f>
        <v>1-3</v>
      </c>
      <c r="J208" t="str" cm="1">
        <f t="array" ref="J208">_xlfn.IFS(Table_Sales[[#This Row],[amount]]&lt;1000,"Under 1000",Table_Sales[[#This Row],[amount]]&lt;3000,"1000 - 2999",Table_Sales[[#This Row],[amount]]&lt;5000,"3000 - 4999",TRUE,"5000 &amp; above")</f>
        <v>1000 - 2999</v>
      </c>
      <c r="K208">
        <f>IF(COUNTIFS(INDEX(Table_Sales[order_id],1):Table_Sales[[#This Row],[order_id]],Table_Sales[[#This Row],[order_id]])=1,1,0)</f>
        <v>1</v>
      </c>
      <c r="L20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208" t="str">
        <v>B-26089</v>
      </c>
    </row>
    <row r="209" spans="1:14" x14ac:dyDescent="0.25">
      <c r="A209" t="s">
        <v>200</v>
      </c>
      <c r="B209" s="1">
        <v>169</v>
      </c>
      <c r="C209" s="1">
        <v>0</v>
      </c>
      <c r="D209">
        <v>3</v>
      </c>
      <c r="E209" t="s">
        <v>8</v>
      </c>
      <c r="F209" t="s">
        <v>73</v>
      </c>
      <c r="G209" t="s">
        <v>10</v>
      </c>
      <c r="H209">
        <f>IF(Table_Sales[[#This Row],[profit]]&lt;0,1,0)</f>
        <v>0</v>
      </c>
      <c r="I209" t="str" cm="1">
        <f t="array" ref="I209">_xlfn.IFS(Table_Sales[[#This Row],[quantity]]&lt;=3,"1-3",Table_Sales[[#This Row],[quantity]]&lt;=7,"2-7",Table_Sales[[#This Row],[quantity]]&lt;=10,"8-10",TRUE,"11 and above")</f>
        <v>1-3</v>
      </c>
      <c r="J209" t="str" cm="1">
        <f t="array" ref="J209">_xlfn.IFS(Table_Sales[[#This Row],[amount]]&lt;1000,"Under 1000",Table_Sales[[#This Row],[amount]]&lt;3000,"1000 - 2999",Table_Sales[[#This Row],[amount]]&lt;5000,"3000 - 4999",TRUE,"5000 &amp; above")</f>
        <v>Under 1000</v>
      </c>
      <c r="K209">
        <f>IF(COUNTIFS(INDEX(Table_Sales[order_id],1):Table_Sales[[#This Row],[order_id]],Table_Sales[[#This Row],[order_id]])=1,1,0)</f>
        <v>0</v>
      </c>
      <c r="L20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209" t="str">
        <v>B-25621</v>
      </c>
    </row>
    <row r="210" spans="1:14" x14ac:dyDescent="0.25">
      <c r="A210" t="s">
        <v>134</v>
      </c>
      <c r="B210" s="1">
        <v>25</v>
      </c>
      <c r="C210" s="1">
        <v>11</v>
      </c>
      <c r="D210">
        <v>3</v>
      </c>
      <c r="E210" t="s">
        <v>23</v>
      </c>
      <c r="F210" t="s">
        <v>63</v>
      </c>
      <c r="G210" t="s">
        <v>82</v>
      </c>
      <c r="H210">
        <f>IF(Table_Sales[[#This Row],[profit]]&lt;0,1,0)</f>
        <v>0</v>
      </c>
      <c r="I210" t="str" cm="1">
        <f t="array" ref="I210">_xlfn.IFS(Table_Sales[[#This Row],[quantity]]&lt;=3,"1-3",Table_Sales[[#This Row],[quantity]]&lt;=7,"2-7",Table_Sales[[#This Row],[quantity]]&lt;=10,"8-10",TRUE,"11 and above")</f>
        <v>1-3</v>
      </c>
      <c r="J210" t="str" cm="1">
        <f t="array" ref="J210">_xlfn.IFS(Table_Sales[[#This Row],[amount]]&lt;1000,"Under 1000",Table_Sales[[#This Row],[amount]]&lt;3000,"1000 - 2999",Table_Sales[[#This Row],[amount]]&lt;5000,"3000 - 4999",TRUE,"5000 &amp; above")</f>
        <v>Under 1000</v>
      </c>
      <c r="K210">
        <f>IF(COUNTIFS(INDEX(Table_Sales[order_id],1):Table_Sales[[#This Row],[order_id]],Table_Sales[[#This Row],[order_id]])=1,1,0)</f>
        <v>0</v>
      </c>
      <c r="L21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210" t="str">
        <v>B-25727</v>
      </c>
    </row>
    <row r="211" spans="1:14" x14ac:dyDescent="0.25">
      <c r="A211" t="s">
        <v>119</v>
      </c>
      <c r="B211" s="1">
        <v>457</v>
      </c>
      <c r="C211" s="1">
        <v>-41</v>
      </c>
      <c r="D211">
        <v>4</v>
      </c>
      <c r="E211" t="s">
        <v>23</v>
      </c>
      <c r="F211" t="s">
        <v>26</v>
      </c>
      <c r="G211" t="s">
        <v>10</v>
      </c>
      <c r="H211">
        <f>IF(Table_Sales[[#This Row],[profit]]&lt;0,1,0)</f>
        <v>1</v>
      </c>
      <c r="I211" t="str" cm="1">
        <f t="array" ref="I211">_xlfn.IFS(Table_Sales[[#This Row],[quantity]]&lt;=3,"1-3",Table_Sales[[#This Row],[quantity]]&lt;=7,"2-7",Table_Sales[[#This Row],[quantity]]&lt;=10,"8-10",TRUE,"11 and above")</f>
        <v>2-7</v>
      </c>
      <c r="J211" t="str" cm="1">
        <f t="array" ref="J211">_xlfn.IFS(Table_Sales[[#This Row],[amount]]&lt;1000,"Under 1000",Table_Sales[[#This Row],[amount]]&lt;3000,"1000 - 2999",Table_Sales[[#This Row],[amount]]&lt;5000,"3000 - 4999",TRUE,"5000 &amp; above")</f>
        <v>Under 1000</v>
      </c>
      <c r="K211">
        <f>IF(COUNTIFS(INDEX(Table_Sales[order_id],1):Table_Sales[[#This Row],[order_id]],Table_Sales[[#This Row],[order_id]])=1,1,0)</f>
        <v>0</v>
      </c>
      <c r="L21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211" t="str">
        <v>B-25843</v>
      </c>
    </row>
    <row r="212" spans="1:14" x14ac:dyDescent="0.25">
      <c r="A212" t="s">
        <v>134</v>
      </c>
      <c r="B212" s="1">
        <v>455</v>
      </c>
      <c r="C212" s="1">
        <v>77</v>
      </c>
      <c r="D212">
        <v>8</v>
      </c>
      <c r="E212" t="s">
        <v>8</v>
      </c>
      <c r="F212" t="s">
        <v>73</v>
      </c>
      <c r="G212" t="s">
        <v>10</v>
      </c>
      <c r="H212">
        <f>IF(Table_Sales[[#This Row],[profit]]&lt;0,1,0)</f>
        <v>0</v>
      </c>
      <c r="I212" t="str" cm="1">
        <f t="array" ref="I212">_xlfn.IFS(Table_Sales[[#This Row],[quantity]]&lt;=3,"1-3",Table_Sales[[#This Row],[quantity]]&lt;=7,"2-7",Table_Sales[[#This Row],[quantity]]&lt;=10,"8-10",TRUE,"11 and above")</f>
        <v>8-10</v>
      </c>
      <c r="J212" t="str" cm="1">
        <f t="array" ref="J212">_xlfn.IFS(Table_Sales[[#This Row],[amount]]&lt;1000,"Under 1000",Table_Sales[[#This Row],[amount]]&lt;3000,"1000 - 2999",Table_Sales[[#This Row],[amount]]&lt;5000,"3000 - 4999",TRUE,"5000 &amp; above")</f>
        <v>Under 1000</v>
      </c>
      <c r="K212">
        <f>IF(COUNTIFS(INDEX(Table_Sales[order_id],1):Table_Sales[[#This Row],[order_id]],Table_Sales[[#This Row],[order_id]])=1,1,0)</f>
        <v>0</v>
      </c>
      <c r="L21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212" t="str">
        <v>B-25741</v>
      </c>
    </row>
    <row r="213" spans="1:14" x14ac:dyDescent="0.25">
      <c r="A213" t="s">
        <v>126</v>
      </c>
      <c r="B213" s="1">
        <v>25</v>
      </c>
      <c r="C213" s="1">
        <v>2</v>
      </c>
      <c r="D213">
        <v>2</v>
      </c>
      <c r="E213" t="s">
        <v>23</v>
      </c>
      <c r="F213" t="s">
        <v>30</v>
      </c>
      <c r="G213" t="s">
        <v>82</v>
      </c>
      <c r="H213">
        <f>IF(Table_Sales[[#This Row],[profit]]&lt;0,1,0)</f>
        <v>0</v>
      </c>
      <c r="I213" t="str" cm="1">
        <f t="array" ref="I213">_xlfn.IFS(Table_Sales[[#This Row],[quantity]]&lt;=3,"1-3",Table_Sales[[#This Row],[quantity]]&lt;=7,"2-7",Table_Sales[[#This Row],[quantity]]&lt;=10,"8-10",TRUE,"11 and above")</f>
        <v>1-3</v>
      </c>
      <c r="J213" t="str" cm="1">
        <f t="array" ref="J213">_xlfn.IFS(Table_Sales[[#This Row],[amount]]&lt;1000,"Under 1000",Table_Sales[[#This Row],[amount]]&lt;3000,"1000 - 2999",Table_Sales[[#This Row],[amount]]&lt;5000,"3000 - 4999",TRUE,"5000 &amp; above")</f>
        <v>Under 1000</v>
      </c>
      <c r="K213">
        <f>IF(COUNTIFS(INDEX(Table_Sales[order_id],1):Table_Sales[[#This Row],[order_id]],Table_Sales[[#This Row],[order_id]])=1,1,0)</f>
        <v>0</v>
      </c>
      <c r="L21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213" t="str">
        <v>B-26096</v>
      </c>
    </row>
    <row r="214" spans="1:14" x14ac:dyDescent="0.25">
      <c r="A214" t="s">
        <v>205</v>
      </c>
      <c r="B214" s="1">
        <v>450</v>
      </c>
      <c r="C214" s="1">
        <v>-90</v>
      </c>
      <c r="D214">
        <v>3</v>
      </c>
      <c r="E214" t="s">
        <v>8</v>
      </c>
      <c r="F214" t="s">
        <v>18</v>
      </c>
      <c r="G214" t="s">
        <v>10</v>
      </c>
      <c r="H214">
        <f>IF(Table_Sales[[#This Row],[profit]]&lt;0,1,0)</f>
        <v>1</v>
      </c>
      <c r="I214" t="str" cm="1">
        <f t="array" ref="I214">_xlfn.IFS(Table_Sales[[#This Row],[quantity]]&lt;=3,"1-3",Table_Sales[[#This Row],[quantity]]&lt;=7,"2-7",Table_Sales[[#This Row],[quantity]]&lt;=10,"8-10",TRUE,"11 and above")</f>
        <v>1-3</v>
      </c>
      <c r="J214" t="str" cm="1">
        <f t="array" ref="J214">_xlfn.IFS(Table_Sales[[#This Row],[amount]]&lt;1000,"Under 1000",Table_Sales[[#This Row],[amount]]&lt;3000,"1000 - 2999",Table_Sales[[#This Row],[amount]]&lt;5000,"3000 - 4999",TRUE,"5000 &amp; above")</f>
        <v>Under 1000</v>
      </c>
      <c r="K214">
        <f>IF(COUNTIFS(INDEX(Table_Sales[order_id],1):Table_Sales[[#This Row],[order_id]],Table_Sales[[#This Row],[order_id]])=1,1,0)</f>
        <v>1</v>
      </c>
      <c r="L21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214" t="str">
        <v>B-26007</v>
      </c>
    </row>
    <row r="215" spans="1:14" x14ac:dyDescent="0.25">
      <c r="A215" t="s">
        <v>206</v>
      </c>
      <c r="B215" s="1">
        <v>30</v>
      </c>
      <c r="C215" s="1">
        <v>-35</v>
      </c>
      <c r="D215">
        <v>1</v>
      </c>
      <c r="E215" t="s">
        <v>12</v>
      </c>
      <c r="F215" t="s">
        <v>13</v>
      </c>
      <c r="G215" t="s">
        <v>10</v>
      </c>
      <c r="H215">
        <f>IF(Table_Sales[[#This Row],[profit]]&lt;0,1,0)</f>
        <v>1</v>
      </c>
      <c r="I215" t="str" cm="1">
        <f t="array" ref="I215">_xlfn.IFS(Table_Sales[[#This Row],[quantity]]&lt;=3,"1-3",Table_Sales[[#This Row],[quantity]]&lt;=7,"2-7",Table_Sales[[#This Row],[quantity]]&lt;=10,"8-10",TRUE,"11 and above")</f>
        <v>1-3</v>
      </c>
      <c r="J215" t="str" cm="1">
        <f t="array" ref="J215">_xlfn.IFS(Table_Sales[[#This Row],[amount]]&lt;1000,"Under 1000",Table_Sales[[#This Row],[amount]]&lt;3000,"1000 - 2999",Table_Sales[[#This Row],[amount]]&lt;5000,"3000 - 4999",TRUE,"5000 &amp; above")</f>
        <v>Under 1000</v>
      </c>
      <c r="K215">
        <f>IF(COUNTIFS(INDEX(Table_Sales[order_id],1):Table_Sales[[#This Row],[order_id]],Table_Sales[[#This Row],[order_id]])=1,1,0)</f>
        <v>1</v>
      </c>
      <c r="L21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215" t="str">
        <v>B-26088</v>
      </c>
    </row>
    <row r="216" spans="1:14" x14ac:dyDescent="0.25">
      <c r="A216" t="s">
        <v>207</v>
      </c>
      <c r="B216" s="1">
        <v>659</v>
      </c>
      <c r="C216" s="1">
        <v>-37</v>
      </c>
      <c r="D216">
        <v>2</v>
      </c>
      <c r="E216" t="s">
        <v>12</v>
      </c>
      <c r="F216" t="s">
        <v>16</v>
      </c>
      <c r="G216" t="s">
        <v>19</v>
      </c>
      <c r="H216">
        <f>IF(Table_Sales[[#This Row],[profit]]&lt;0,1,0)</f>
        <v>1</v>
      </c>
      <c r="I216" t="str" cm="1">
        <f t="array" ref="I216">_xlfn.IFS(Table_Sales[[#This Row],[quantity]]&lt;=3,"1-3",Table_Sales[[#This Row],[quantity]]&lt;=7,"2-7",Table_Sales[[#This Row],[quantity]]&lt;=10,"8-10",TRUE,"11 and above")</f>
        <v>1-3</v>
      </c>
      <c r="J216" t="str" cm="1">
        <f t="array" ref="J216">_xlfn.IFS(Table_Sales[[#This Row],[amount]]&lt;1000,"Under 1000",Table_Sales[[#This Row],[amount]]&lt;3000,"1000 - 2999",Table_Sales[[#This Row],[amount]]&lt;5000,"3000 - 4999",TRUE,"5000 &amp; above")</f>
        <v>Under 1000</v>
      </c>
      <c r="K216">
        <f>IF(COUNTIFS(INDEX(Table_Sales[order_id],1):Table_Sales[[#This Row],[order_id]],Table_Sales[[#This Row],[order_id]])=1,1,0)</f>
        <v>1</v>
      </c>
      <c r="L21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216" t="str">
        <v>B-25664</v>
      </c>
    </row>
    <row r="217" spans="1:14" x14ac:dyDescent="0.25">
      <c r="A217" t="s">
        <v>208</v>
      </c>
      <c r="B217" s="1">
        <v>448</v>
      </c>
      <c r="C217" s="1">
        <v>148</v>
      </c>
      <c r="D217">
        <v>2</v>
      </c>
      <c r="E217" t="s">
        <v>8</v>
      </c>
      <c r="F217" t="s">
        <v>18</v>
      </c>
      <c r="G217" t="s">
        <v>10</v>
      </c>
      <c r="H217">
        <f>IF(Table_Sales[[#This Row],[profit]]&lt;0,1,0)</f>
        <v>0</v>
      </c>
      <c r="I217" t="str" cm="1">
        <f t="array" ref="I217">_xlfn.IFS(Table_Sales[[#This Row],[quantity]]&lt;=3,"1-3",Table_Sales[[#This Row],[quantity]]&lt;=7,"2-7",Table_Sales[[#This Row],[quantity]]&lt;=10,"8-10",TRUE,"11 and above")</f>
        <v>1-3</v>
      </c>
      <c r="J217" t="str" cm="1">
        <f t="array" ref="J217">_xlfn.IFS(Table_Sales[[#This Row],[amount]]&lt;1000,"Under 1000",Table_Sales[[#This Row],[amount]]&lt;3000,"1000 - 2999",Table_Sales[[#This Row],[amount]]&lt;5000,"3000 - 4999",TRUE,"5000 &amp; above")</f>
        <v>Under 1000</v>
      </c>
      <c r="K217">
        <f>IF(COUNTIFS(INDEX(Table_Sales[order_id],1):Table_Sales[[#This Row],[order_id]],Table_Sales[[#This Row],[order_id]])=1,1,0)</f>
        <v>1</v>
      </c>
      <c r="L21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217" t="str">
        <v>B-25642</v>
      </c>
    </row>
    <row r="218" spans="1:14" x14ac:dyDescent="0.25">
      <c r="A218" t="s">
        <v>209</v>
      </c>
      <c r="B218" s="1">
        <v>446</v>
      </c>
      <c r="C218" s="1">
        <v>53</v>
      </c>
      <c r="D218">
        <v>3</v>
      </c>
      <c r="E218" t="s">
        <v>8</v>
      </c>
      <c r="F218" t="s">
        <v>18</v>
      </c>
      <c r="G218" t="s">
        <v>10</v>
      </c>
      <c r="H218">
        <f>IF(Table_Sales[[#This Row],[profit]]&lt;0,1,0)</f>
        <v>0</v>
      </c>
      <c r="I218" t="str" cm="1">
        <f t="array" ref="I218">_xlfn.IFS(Table_Sales[[#This Row],[quantity]]&lt;=3,"1-3",Table_Sales[[#This Row],[quantity]]&lt;=7,"2-7",Table_Sales[[#This Row],[quantity]]&lt;=10,"8-10",TRUE,"11 and above")</f>
        <v>1-3</v>
      </c>
      <c r="J218" t="str" cm="1">
        <f t="array" ref="J218">_xlfn.IFS(Table_Sales[[#This Row],[amount]]&lt;1000,"Under 1000",Table_Sales[[#This Row],[amount]]&lt;3000,"1000 - 2999",Table_Sales[[#This Row],[amount]]&lt;5000,"3000 - 4999",TRUE,"5000 &amp; above")</f>
        <v>Under 1000</v>
      </c>
      <c r="K218">
        <f>IF(COUNTIFS(INDEX(Table_Sales[order_id],1):Table_Sales[[#This Row],[order_id]],Table_Sales[[#This Row],[order_id]])=1,1,0)</f>
        <v>1</v>
      </c>
      <c r="L21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218" t="str">
        <v>B-25987</v>
      </c>
    </row>
    <row r="219" spans="1:14" x14ac:dyDescent="0.25">
      <c r="A219" t="s">
        <v>210</v>
      </c>
      <c r="B219" s="1">
        <v>98</v>
      </c>
      <c r="C219" s="1">
        <v>-45</v>
      </c>
      <c r="D219">
        <v>2</v>
      </c>
      <c r="E219" t="s">
        <v>12</v>
      </c>
      <c r="F219" t="s">
        <v>13</v>
      </c>
      <c r="G219" t="s">
        <v>28</v>
      </c>
      <c r="H219">
        <f>IF(Table_Sales[[#This Row],[profit]]&lt;0,1,0)</f>
        <v>1</v>
      </c>
      <c r="I219" t="str" cm="1">
        <f t="array" ref="I219">_xlfn.IFS(Table_Sales[[#This Row],[quantity]]&lt;=3,"1-3",Table_Sales[[#This Row],[quantity]]&lt;=7,"2-7",Table_Sales[[#This Row],[quantity]]&lt;=10,"8-10",TRUE,"11 and above")</f>
        <v>1-3</v>
      </c>
      <c r="J219" t="str" cm="1">
        <f t="array" ref="J219">_xlfn.IFS(Table_Sales[[#This Row],[amount]]&lt;1000,"Under 1000",Table_Sales[[#This Row],[amount]]&lt;3000,"1000 - 2999",Table_Sales[[#This Row],[amount]]&lt;5000,"3000 - 4999",TRUE,"5000 &amp; above")</f>
        <v>Under 1000</v>
      </c>
      <c r="K219">
        <f>IF(COUNTIFS(INDEX(Table_Sales[order_id],1):Table_Sales[[#This Row],[order_id]],Table_Sales[[#This Row],[order_id]])=1,1,0)</f>
        <v>1</v>
      </c>
      <c r="L21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219" t="str">
        <v>B-25770</v>
      </c>
    </row>
    <row r="220" spans="1:14" x14ac:dyDescent="0.25">
      <c r="A220" t="s">
        <v>11</v>
      </c>
      <c r="B220" s="1">
        <v>443</v>
      </c>
      <c r="C220" s="1">
        <v>11</v>
      </c>
      <c r="D220">
        <v>1</v>
      </c>
      <c r="E220" t="s">
        <v>23</v>
      </c>
      <c r="F220" t="s">
        <v>26</v>
      </c>
      <c r="G220" t="s">
        <v>10</v>
      </c>
      <c r="H220">
        <f>IF(Table_Sales[[#This Row],[profit]]&lt;0,1,0)</f>
        <v>0</v>
      </c>
      <c r="I220" t="str" cm="1">
        <f t="array" ref="I220">_xlfn.IFS(Table_Sales[[#This Row],[quantity]]&lt;=3,"1-3",Table_Sales[[#This Row],[quantity]]&lt;=7,"2-7",Table_Sales[[#This Row],[quantity]]&lt;=10,"8-10",TRUE,"11 and above")</f>
        <v>1-3</v>
      </c>
      <c r="J220" t="str" cm="1">
        <f t="array" ref="J220">_xlfn.IFS(Table_Sales[[#This Row],[amount]]&lt;1000,"Under 1000",Table_Sales[[#This Row],[amount]]&lt;3000,"1000 - 2999",Table_Sales[[#This Row],[amount]]&lt;5000,"3000 - 4999",TRUE,"5000 &amp; above")</f>
        <v>Under 1000</v>
      </c>
      <c r="K220">
        <f>IF(COUNTIFS(INDEX(Table_Sales[order_id],1):Table_Sales[[#This Row],[order_id]],Table_Sales[[#This Row],[order_id]])=1,1,0)</f>
        <v>0</v>
      </c>
      <c r="L22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220" t="str">
        <v>B-25840</v>
      </c>
    </row>
    <row r="221" spans="1:14" x14ac:dyDescent="0.25">
      <c r="A221" t="s">
        <v>117</v>
      </c>
      <c r="B221" s="1">
        <v>427</v>
      </c>
      <c r="C221" s="1">
        <v>-50</v>
      </c>
      <c r="D221">
        <v>7</v>
      </c>
      <c r="E221" t="s">
        <v>8</v>
      </c>
      <c r="F221" t="s">
        <v>21</v>
      </c>
      <c r="G221" t="s">
        <v>10</v>
      </c>
      <c r="H221">
        <f>IF(Table_Sales[[#This Row],[profit]]&lt;0,1,0)</f>
        <v>1</v>
      </c>
      <c r="I221" t="str" cm="1">
        <f t="array" ref="I221">_xlfn.IFS(Table_Sales[[#This Row],[quantity]]&lt;=3,"1-3",Table_Sales[[#This Row],[quantity]]&lt;=7,"2-7",Table_Sales[[#This Row],[quantity]]&lt;=10,"8-10",TRUE,"11 and above")</f>
        <v>2-7</v>
      </c>
      <c r="J221" t="str" cm="1">
        <f t="array" ref="J221">_xlfn.IFS(Table_Sales[[#This Row],[amount]]&lt;1000,"Under 1000",Table_Sales[[#This Row],[amount]]&lt;3000,"1000 - 2999",Table_Sales[[#This Row],[amount]]&lt;5000,"3000 - 4999",TRUE,"5000 &amp; above")</f>
        <v>Under 1000</v>
      </c>
      <c r="K221">
        <f>IF(COUNTIFS(INDEX(Table_Sales[order_id],1):Table_Sales[[#This Row],[order_id]],Table_Sales[[#This Row],[order_id]])=1,1,0)</f>
        <v>0</v>
      </c>
      <c r="L22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221" t="str">
        <v>B-25846</v>
      </c>
    </row>
    <row r="222" spans="1:14" x14ac:dyDescent="0.25">
      <c r="A222" t="s">
        <v>155</v>
      </c>
      <c r="B222" s="1">
        <v>656</v>
      </c>
      <c r="C222" s="1">
        <v>-36</v>
      </c>
      <c r="D222">
        <v>2</v>
      </c>
      <c r="E222" t="s">
        <v>12</v>
      </c>
      <c r="F222" t="s">
        <v>16</v>
      </c>
      <c r="G222" t="s">
        <v>19</v>
      </c>
      <c r="H222">
        <f>IF(Table_Sales[[#This Row],[profit]]&lt;0,1,0)</f>
        <v>1</v>
      </c>
      <c r="I222" t="str" cm="1">
        <f t="array" ref="I222">_xlfn.IFS(Table_Sales[[#This Row],[quantity]]&lt;=3,"1-3",Table_Sales[[#This Row],[quantity]]&lt;=7,"2-7",Table_Sales[[#This Row],[quantity]]&lt;=10,"8-10",TRUE,"11 and above")</f>
        <v>1-3</v>
      </c>
      <c r="J222" t="str" cm="1">
        <f t="array" ref="J222">_xlfn.IFS(Table_Sales[[#This Row],[amount]]&lt;1000,"Under 1000",Table_Sales[[#This Row],[amount]]&lt;3000,"1000 - 2999",Table_Sales[[#This Row],[amount]]&lt;5000,"3000 - 4999",TRUE,"5000 &amp; above")</f>
        <v>Under 1000</v>
      </c>
      <c r="K222">
        <f>IF(COUNTIFS(INDEX(Table_Sales[order_id],1):Table_Sales[[#This Row],[order_id]],Table_Sales[[#This Row],[order_id]])=1,1,0)</f>
        <v>0</v>
      </c>
      <c r="L22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222" t="str">
        <v>B-25745</v>
      </c>
    </row>
    <row r="223" spans="1:14" x14ac:dyDescent="0.25">
      <c r="A223" t="s">
        <v>211</v>
      </c>
      <c r="B223" s="1">
        <v>424</v>
      </c>
      <c r="C223" s="1">
        <v>161</v>
      </c>
      <c r="D223">
        <v>2</v>
      </c>
      <c r="E223" t="s">
        <v>23</v>
      </c>
      <c r="F223" t="s">
        <v>26</v>
      </c>
      <c r="G223" t="s">
        <v>10</v>
      </c>
      <c r="H223">
        <f>IF(Table_Sales[[#This Row],[profit]]&lt;0,1,0)</f>
        <v>0</v>
      </c>
      <c r="I223" t="str" cm="1">
        <f t="array" ref="I223">_xlfn.IFS(Table_Sales[[#This Row],[quantity]]&lt;=3,"1-3",Table_Sales[[#This Row],[quantity]]&lt;=7,"2-7",Table_Sales[[#This Row],[quantity]]&lt;=10,"8-10",TRUE,"11 and above")</f>
        <v>1-3</v>
      </c>
      <c r="J223" t="str" cm="1">
        <f t="array" ref="J223">_xlfn.IFS(Table_Sales[[#This Row],[amount]]&lt;1000,"Under 1000",Table_Sales[[#This Row],[amount]]&lt;3000,"1000 - 2999",Table_Sales[[#This Row],[amount]]&lt;5000,"3000 - 4999",TRUE,"5000 &amp; above")</f>
        <v>Under 1000</v>
      </c>
      <c r="K223">
        <f>IF(COUNTIFS(INDEX(Table_Sales[order_id],1):Table_Sales[[#This Row],[order_id]],Table_Sales[[#This Row],[order_id]])=1,1,0)</f>
        <v>1</v>
      </c>
      <c r="L22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223" t="str">
        <v>B-26073</v>
      </c>
    </row>
    <row r="224" spans="1:14" x14ac:dyDescent="0.25">
      <c r="A224" t="s">
        <v>106</v>
      </c>
      <c r="B224" s="1">
        <v>27</v>
      </c>
      <c r="C224" s="1">
        <v>8</v>
      </c>
      <c r="D224">
        <v>2</v>
      </c>
      <c r="E224" t="s">
        <v>23</v>
      </c>
      <c r="F224" t="s">
        <v>81</v>
      </c>
      <c r="G224" t="s">
        <v>82</v>
      </c>
      <c r="H224">
        <f>IF(Table_Sales[[#This Row],[profit]]&lt;0,1,0)</f>
        <v>0</v>
      </c>
      <c r="I224" t="str" cm="1">
        <f t="array" ref="I224">_xlfn.IFS(Table_Sales[[#This Row],[quantity]]&lt;=3,"1-3",Table_Sales[[#This Row],[quantity]]&lt;=7,"2-7",Table_Sales[[#This Row],[quantity]]&lt;=10,"8-10",TRUE,"11 and above")</f>
        <v>1-3</v>
      </c>
      <c r="J224" t="str" cm="1">
        <f t="array" ref="J224">_xlfn.IFS(Table_Sales[[#This Row],[amount]]&lt;1000,"Under 1000",Table_Sales[[#This Row],[amount]]&lt;3000,"1000 - 2999",Table_Sales[[#This Row],[amount]]&lt;5000,"3000 - 4999",TRUE,"5000 &amp; above")</f>
        <v>Under 1000</v>
      </c>
      <c r="K224">
        <f>IF(COUNTIFS(INDEX(Table_Sales[order_id],1):Table_Sales[[#This Row],[order_id]],Table_Sales[[#This Row],[order_id]])=1,1,0)</f>
        <v>0</v>
      </c>
      <c r="L22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224" t="str">
        <v>B-26030</v>
      </c>
    </row>
    <row r="225" spans="1:14" x14ac:dyDescent="0.25">
      <c r="A225" t="s">
        <v>20</v>
      </c>
      <c r="B225" s="1">
        <v>424</v>
      </c>
      <c r="C225" s="1">
        <v>-272</v>
      </c>
      <c r="D225">
        <v>5</v>
      </c>
      <c r="E225" t="s">
        <v>8</v>
      </c>
      <c r="F225" t="s">
        <v>21</v>
      </c>
      <c r="G225" t="s">
        <v>10</v>
      </c>
      <c r="H225">
        <f>IF(Table_Sales[[#This Row],[profit]]&lt;0,1,0)</f>
        <v>1</v>
      </c>
      <c r="I225" t="str" cm="1">
        <f t="array" ref="I225">_xlfn.IFS(Table_Sales[[#This Row],[quantity]]&lt;=3,"1-3",Table_Sales[[#This Row],[quantity]]&lt;=7,"2-7",Table_Sales[[#This Row],[quantity]]&lt;=10,"8-10",TRUE,"11 and above")</f>
        <v>2-7</v>
      </c>
      <c r="J225" t="str" cm="1">
        <f t="array" ref="J225">_xlfn.IFS(Table_Sales[[#This Row],[amount]]&lt;1000,"Under 1000",Table_Sales[[#This Row],[amount]]&lt;3000,"1000 - 2999",Table_Sales[[#This Row],[amount]]&lt;5000,"3000 - 4999",TRUE,"5000 &amp; above")</f>
        <v>Under 1000</v>
      </c>
      <c r="K225">
        <f>IF(COUNTIFS(INDEX(Table_Sales[order_id],1):Table_Sales[[#This Row],[order_id]],Table_Sales[[#This Row],[order_id]])=1,1,0)</f>
        <v>0</v>
      </c>
      <c r="L22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225" t="str">
        <v>B-25989</v>
      </c>
    </row>
    <row r="226" spans="1:14" x14ac:dyDescent="0.25">
      <c r="A226" t="s">
        <v>212</v>
      </c>
      <c r="B226" s="1">
        <v>202</v>
      </c>
      <c r="C226" s="1">
        <v>4</v>
      </c>
      <c r="D226">
        <v>4</v>
      </c>
      <c r="E226" t="s">
        <v>23</v>
      </c>
      <c r="F226" t="s">
        <v>30</v>
      </c>
      <c r="G226" t="s">
        <v>10</v>
      </c>
      <c r="H226">
        <f>IF(Table_Sales[[#This Row],[profit]]&lt;0,1,0)</f>
        <v>0</v>
      </c>
      <c r="I226" t="str" cm="1">
        <f t="array" ref="I226">_xlfn.IFS(Table_Sales[[#This Row],[quantity]]&lt;=3,"1-3",Table_Sales[[#This Row],[quantity]]&lt;=7,"2-7",Table_Sales[[#This Row],[quantity]]&lt;=10,"8-10",TRUE,"11 and above")</f>
        <v>2-7</v>
      </c>
      <c r="J226" t="str" cm="1">
        <f t="array" ref="J226">_xlfn.IFS(Table_Sales[[#This Row],[amount]]&lt;1000,"Under 1000",Table_Sales[[#This Row],[amount]]&lt;3000,"1000 - 2999",Table_Sales[[#This Row],[amount]]&lt;5000,"3000 - 4999",TRUE,"5000 &amp; above")</f>
        <v>Under 1000</v>
      </c>
      <c r="K226">
        <f>IF(COUNTIFS(INDEX(Table_Sales[order_id],1):Table_Sales[[#This Row],[order_id]],Table_Sales[[#This Row],[order_id]])=1,1,0)</f>
        <v>1</v>
      </c>
      <c r="L22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226" t="str">
        <v>B-26009</v>
      </c>
    </row>
    <row r="227" spans="1:14" x14ac:dyDescent="0.25">
      <c r="A227" t="s">
        <v>186</v>
      </c>
      <c r="B227" s="1">
        <v>1275</v>
      </c>
      <c r="C227" s="1">
        <v>357</v>
      </c>
      <c r="D227">
        <v>2</v>
      </c>
      <c r="E227" t="s">
        <v>8</v>
      </c>
      <c r="F227" t="s">
        <v>21</v>
      </c>
      <c r="G227" t="s">
        <v>28</v>
      </c>
      <c r="H227">
        <f>IF(Table_Sales[[#This Row],[profit]]&lt;0,1,0)</f>
        <v>0</v>
      </c>
      <c r="I227" t="str" cm="1">
        <f t="array" ref="I227">_xlfn.IFS(Table_Sales[[#This Row],[quantity]]&lt;=3,"1-3",Table_Sales[[#This Row],[quantity]]&lt;=7,"2-7",Table_Sales[[#This Row],[quantity]]&lt;=10,"8-10",TRUE,"11 and above")</f>
        <v>1-3</v>
      </c>
      <c r="J227" t="str" cm="1">
        <f t="array" ref="J227">_xlfn.IFS(Table_Sales[[#This Row],[amount]]&lt;1000,"Under 1000",Table_Sales[[#This Row],[amount]]&lt;3000,"1000 - 2999",Table_Sales[[#This Row],[amount]]&lt;5000,"3000 - 4999",TRUE,"5000 &amp; above")</f>
        <v>1000 - 2999</v>
      </c>
      <c r="K227">
        <f>IF(COUNTIFS(INDEX(Table_Sales[order_id],1):Table_Sales[[#This Row],[order_id]],Table_Sales[[#This Row],[order_id]])=1,1,0)</f>
        <v>0</v>
      </c>
      <c r="L22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227" t="str">
        <v>B-25915</v>
      </c>
    </row>
    <row r="228" spans="1:14" x14ac:dyDescent="0.25">
      <c r="A228" t="s">
        <v>37</v>
      </c>
      <c r="B228" s="1">
        <v>418</v>
      </c>
      <c r="C228" s="1">
        <v>70</v>
      </c>
      <c r="D228">
        <v>7</v>
      </c>
      <c r="E228" t="s">
        <v>8</v>
      </c>
      <c r="F228" t="s">
        <v>21</v>
      </c>
      <c r="G228" t="s">
        <v>10</v>
      </c>
      <c r="H228">
        <f>IF(Table_Sales[[#This Row],[profit]]&lt;0,1,0)</f>
        <v>0</v>
      </c>
      <c r="I228" t="str" cm="1">
        <f t="array" ref="I228">_xlfn.IFS(Table_Sales[[#This Row],[quantity]]&lt;=3,"1-3",Table_Sales[[#This Row],[quantity]]&lt;=7,"2-7",Table_Sales[[#This Row],[quantity]]&lt;=10,"8-10",TRUE,"11 and above")</f>
        <v>2-7</v>
      </c>
      <c r="J228" t="str" cm="1">
        <f t="array" ref="J228">_xlfn.IFS(Table_Sales[[#This Row],[amount]]&lt;1000,"Under 1000",Table_Sales[[#This Row],[amount]]&lt;3000,"1000 - 2999",Table_Sales[[#This Row],[amount]]&lt;5000,"3000 - 4999",TRUE,"5000 &amp; above")</f>
        <v>Under 1000</v>
      </c>
      <c r="K228">
        <f>IF(COUNTIFS(INDEX(Table_Sales[order_id],1):Table_Sales[[#This Row],[order_id]],Table_Sales[[#This Row],[order_id]])=1,1,0)</f>
        <v>0</v>
      </c>
      <c r="L22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228" t="str">
        <v>B-25645</v>
      </c>
    </row>
    <row r="229" spans="1:14" x14ac:dyDescent="0.25">
      <c r="A229" t="s">
        <v>213</v>
      </c>
      <c r="B229" s="1">
        <v>417</v>
      </c>
      <c r="C229" s="1">
        <v>49</v>
      </c>
      <c r="D229">
        <v>3</v>
      </c>
      <c r="E229" t="s">
        <v>8</v>
      </c>
      <c r="F229" t="s">
        <v>9</v>
      </c>
      <c r="G229" t="s">
        <v>10</v>
      </c>
      <c r="H229">
        <f>IF(Table_Sales[[#This Row],[profit]]&lt;0,1,0)</f>
        <v>0</v>
      </c>
      <c r="I229" t="str" cm="1">
        <f t="array" ref="I229">_xlfn.IFS(Table_Sales[[#This Row],[quantity]]&lt;=3,"1-3",Table_Sales[[#This Row],[quantity]]&lt;=7,"2-7",Table_Sales[[#This Row],[quantity]]&lt;=10,"8-10",TRUE,"11 and above")</f>
        <v>1-3</v>
      </c>
      <c r="J229" t="str" cm="1">
        <f t="array" ref="J229">_xlfn.IFS(Table_Sales[[#This Row],[amount]]&lt;1000,"Under 1000",Table_Sales[[#This Row],[amount]]&lt;3000,"1000 - 2999",Table_Sales[[#This Row],[amount]]&lt;5000,"3000 - 4999",TRUE,"5000 &amp; above")</f>
        <v>Under 1000</v>
      </c>
      <c r="K229">
        <f>IF(COUNTIFS(INDEX(Table_Sales[order_id],1):Table_Sales[[#This Row],[order_id]],Table_Sales[[#This Row],[order_id]])=1,1,0)</f>
        <v>1</v>
      </c>
      <c r="L22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229" t="str">
        <v>B-25635</v>
      </c>
    </row>
    <row r="230" spans="1:14" x14ac:dyDescent="0.25">
      <c r="A230" t="s">
        <v>41</v>
      </c>
      <c r="B230" s="1">
        <v>199</v>
      </c>
      <c r="C230" s="1">
        <v>48</v>
      </c>
      <c r="D230">
        <v>4</v>
      </c>
      <c r="E230" t="s">
        <v>23</v>
      </c>
      <c r="F230" t="s">
        <v>57</v>
      </c>
      <c r="G230" t="s">
        <v>28</v>
      </c>
      <c r="H230">
        <f>IF(Table_Sales[[#This Row],[profit]]&lt;0,1,0)</f>
        <v>0</v>
      </c>
      <c r="I230" t="str" cm="1">
        <f t="array" ref="I230">_xlfn.IFS(Table_Sales[[#This Row],[quantity]]&lt;=3,"1-3",Table_Sales[[#This Row],[quantity]]&lt;=7,"2-7",Table_Sales[[#This Row],[quantity]]&lt;=10,"8-10",TRUE,"11 and above")</f>
        <v>2-7</v>
      </c>
      <c r="J230" t="str" cm="1">
        <f t="array" ref="J230">_xlfn.IFS(Table_Sales[[#This Row],[amount]]&lt;1000,"Under 1000",Table_Sales[[#This Row],[amount]]&lt;3000,"1000 - 2999",Table_Sales[[#This Row],[amount]]&lt;5000,"3000 - 4999",TRUE,"5000 &amp; above")</f>
        <v>Under 1000</v>
      </c>
      <c r="K230">
        <f>IF(COUNTIFS(INDEX(Table_Sales[order_id],1):Table_Sales[[#This Row],[order_id]],Table_Sales[[#This Row],[order_id]])=1,1,0)</f>
        <v>0</v>
      </c>
      <c r="L23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230" t="str">
        <v>B-26038</v>
      </c>
    </row>
    <row r="231" spans="1:14" x14ac:dyDescent="0.25">
      <c r="A231" t="s">
        <v>161</v>
      </c>
      <c r="B231" s="1">
        <v>385</v>
      </c>
      <c r="C231" s="1">
        <v>-77</v>
      </c>
      <c r="D231">
        <v>11</v>
      </c>
      <c r="E231" t="s">
        <v>12</v>
      </c>
      <c r="F231" t="s">
        <v>131</v>
      </c>
      <c r="G231" t="s">
        <v>28</v>
      </c>
      <c r="H231">
        <f>IF(Table_Sales[[#This Row],[profit]]&lt;0,1,0)</f>
        <v>1</v>
      </c>
      <c r="I231" t="str" cm="1">
        <f t="array" ref="I231">_xlfn.IFS(Table_Sales[[#This Row],[quantity]]&lt;=3,"1-3",Table_Sales[[#This Row],[quantity]]&lt;=7,"2-7",Table_Sales[[#This Row],[quantity]]&lt;=10,"8-10",TRUE,"11 and above")</f>
        <v>11 and above</v>
      </c>
      <c r="J231" t="str" cm="1">
        <f t="array" ref="J231">_xlfn.IFS(Table_Sales[[#This Row],[amount]]&lt;1000,"Under 1000",Table_Sales[[#This Row],[amount]]&lt;3000,"1000 - 2999",Table_Sales[[#This Row],[amount]]&lt;5000,"3000 - 4999",TRUE,"5000 &amp; above")</f>
        <v>Under 1000</v>
      </c>
      <c r="K231">
        <f>IF(COUNTIFS(INDEX(Table_Sales[order_id],1):Table_Sales[[#This Row],[order_id]],Table_Sales[[#This Row],[order_id]])=1,1,0)</f>
        <v>0</v>
      </c>
      <c r="L23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231" t="str">
        <v>B-26014</v>
      </c>
    </row>
    <row r="232" spans="1:14" x14ac:dyDescent="0.25">
      <c r="A232" t="s">
        <v>164</v>
      </c>
      <c r="B232" s="1">
        <v>414</v>
      </c>
      <c r="C232" s="1">
        <v>199</v>
      </c>
      <c r="D232">
        <v>3</v>
      </c>
      <c r="E232" t="s">
        <v>8</v>
      </c>
      <c r="F232" t="s">
        <v>21</v>
      </c>
      <c r="G232" t="s">
        <v>10</v>
      </c>
      <c r="H232">
        <f>IF(Table_Sales[[#This Row],[profit]]&lt;0,1,0)</f>
        <v>0</v>
      </c>
      <c r="I232" t="str" cm="1">
        <f t="array" ref="I232">_xlfn.IFS(Table_Sales[[#This Row],[quantity]]&lt;=3,"1-3",Table_Sales[[#This Row],[quantity]]&lt;=7,"2-7",Table_Sales[[#This Row],[quantity]]&lt;=10,"8-10",TRUE,"11 and above")</f>
        <v>1-3</v>
      </c>
      <c r="J232" t="str" cm="1">
        <f t="array" ref="J232">_xlfn.IFS(Table_Sales[[#This Row],[amount]]&lt;1000,"Under 1000",Table_Sales[[#This Row],[amount]]&lt;3000,"1000 - 2999",Table_Sales[[#This Row],[amount]]&lt;5000,"3000 - 4999",TRUE,"5000 &amp; above")</f>
        <v>Under 1000</v>
      </c>
      <c r="K232">
        <f>IF(COUNTIFS(INDEX(Table_Sales[order_id],1):Table_Sales[[#This Row],[order_id]],Table_Sales[[#This Row],[order_id]])=1,1,0)</f>
        <v>0</v>
      </c>
      <c r="L23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232" t="str">
        <v>B-25751</v>
      </c>
    </row>
    <row r="233" spans="1:14" x14ac:dyDescent="0.25">
      <c r="A233" t="s">
        <v>33</v>
      </c>
      <c r="B233" s="1">
        <v>97</v>
      </c>
      <c r="C233" s="1">
        <v>-45</v>
      </c>
      <c r="D233">
        <v>4</v>
      </c>
      <c r="E233" t="s">
        <v>23</v>
      </c>
      <c r="F233" t="s">
        <v>26</v>
      </c>
      <c r="G233" t="s">
        <v>10</v>
      </c>
      <c r="H233">
        <f>IF(Table_Sales[[#This Row],[profit]]&lt;0,1,0)</f>
        <v>1</v>
      </c>
      <c r="I233" t="str" cm="1">
        <f t="array" ref="I233">_xlfn.IFS(Table_Sales[[#This Row],[quantity]]&lt;=3,"1-3",Table_Sales[[#This Row],[quantity]]&lt;=7,"2-7",Table_Sales[[#This Row],[quantity]]&lt;=10,"8-10",TRUE,"11 and above")</f>
        <v>2-7</v>
      </c>
      <c r="J233" t="str" cm="1">
        <f t="array" ref="J233">_xlfn.IFS(Table_Sales[[#This Row],[amount]]&lt;1000,"Under 1000",Table_Sales[[#This Row],[amount]]&lt;3000,"1000 - 2999",Table_Sales[[#This Row],[amount]]&lt;5000,"3000 - 4999",TRUE,"5000 &amp; above")</f>
        <v>Under 1000</v>
      </c>
      <c r="K233">
        <f>IF(COUNTIFS(INDEX(Table_Sales[order_id],1):Table_Sales[[#This Row],[order_id]],Table_Sales[[#This Row],[order_id]])=1,1,0)</f>
        <v>0</v>
      </c>
      <c r="L23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233" t="str">
        <v>B-26025</v>
      </c>
    </row>
    <row r="234" spans="1:14" x14ac:dyDescent="0.25">
      <c r="A234" t="s">
        <v>214</v>
      </c>
      <c r="B234" s="1">
        <v>648</v>
      </c>
      <c r="C234" s="1">
        <v>50</v>
      </c>
      <c r="D234">
        <v>6</v>
      </c>
      <c r="E234" t="s">
        <v>8</v>
      </c>
      <c r="F234" t="s">
        <v>9</v>
      </c>
      <c r="G234" t="s">
        <v>19</v>
      </c>
      <c r="H234">
        <f>IF(Table_Sales[[#This Row],[profit]]&lt;0,1,0)</f>
        <v>0</v>
      </c>
      <c r="I234" t="str" cm="1">
        <f t="array" ref="I234">_xlfn.IFS(Table_Sales[[#This Row],[quantity]]&lt;=3,"1-3",Table_Sales[[#This Row],[quantity]]&lt;=7,"2-7",Table_Sales[[#This Row],[quantity]]&lt;=10,"8-10",TRUE,"11 and above")</f>
        <v>2-7</v>
      </c>
      <c r="J234" t="str" cm="1">
        <f t="array" ref="J234">_xlfn.IFS(Table_Sales[[#This Row],[amount]]&lt;1000,"Under 1000",Table_Sales[[#This Row],[amount]]&lt;3000,"1000 - 2999",Table_Sales[[#This Row],[amount]]&lt;5000,"3000 - 4999",TRUE,"5000 &amp; above")</f>
        <v>Under 1000</v>
      </c>
      <c r="K234">
        <f>IF(COUNTIFS(INDEX(Table_Sales[order_id],1):Table_Sales[[#This Row],[order_id]],Table_Sales[[#This Row],[order_id]])=1,1,0)</f>
        <v>1</v>
      </c>
      <c r="L23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234" t="str">
        <v>B-25981</v>
      </c>
    </row>
    <row r="235" spans="1:14" x14ac:dyDescent="0.25">
      <c r="A235" t="s">
        <v>215</v>
      </c>
      <c r="B235" s="1">
        <v>27</v>
      </c>
      <c r="C235" s="1">
        <v>-25</v>
      </c>
      <c r="D235">
        <v>2</v>
      </c>
      <c r="E235" t="s">
        <v>23</v>
      </c>
      <c r="F235" t="s">
        <v>142</v>
      </c>
      <c r="G235" t="s">
        <v>82</v>
      </c>
      <c r="H235">
        <f>IF(Table_Sales[[#This Row],[profit]]&lt;0,1,0)</f>
        <v>1</v>
      </c>
      <c r="I235" t="str" cm="1">
        <f t="array" ref="I235">_xlfn.IFS(Table_Sales[[#This Row],[quantity]]&lt;=3,"1-3",Table_Sales[[#This Row],[quantity]]&lt;=7,"2-7",Table_Sales[[#This Row],[quantity]]&lt;=10,"8-10",TRUE,"11 and above")</f>
        <v>1-3</v>
      </c>
      <c r="J235" t="str" cm="1">
        <f t="array" ref="J235">_xlfn.IFS(Table_Sales[[#This Row],[amount]]&lt;1000,"Under 1000",Table_Sales[[#This Row],[amount]]&lt;3000,"1000 - 2999",Table_Sales[[#This Row],[amount]]&lt;5000,"3000 - 4999",TRUE,"5000 &amp; above")</f>
        <v>Under 1000</v>
      </c>
      <c r="K235">
        <f>IF(COUNTIFS(INDEX(Table_Sales[order_id],1):Table_Sales[[#This Row],[order_id]],Table_Sales[[#This Row],[order_id]])=1,1,0)</f>
        <v>1</v>
      </c>
      <c r="L23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235" t="str">
        <v>B-25610</v>
      </c>
    </row>
    <row r="236" spans="1:14" x14ac:dyDescent="0.25">
      <c r="A236" t="s">
        <v>216</v>
      </c>
      <c r="B236" s="1">
        <v>27</v>
      </c>
      <c r="C236" s="1">
        <v>12</v>
      </c>
      <c r="D236">
        <v>1</v>
      </c>
      <c r="E236" t="s">
        <v>23</v>
      </c>
      <c r="F236" t="s">
        <v>57</v>
      </c>
      <c r="G236" t="s">
        <v>82</v>
      </c>
      <c r="H236">
        <f>IF(Table_Sales[[#This Row],[profit]]&lt;0,1,0)</f>
        <v>0</v>
      </c>
      <c r="I236" t="str" cm="1">
        <f t="array" ref="I236">_xlfn.IFS(Table_Sales[[#This Row],[quantity]]&lt;=3,"1-3",Table_Sales[[#This Row],[quantity]]&lt;=7,"2-7",Table_Sales[[#This Row],[quantity]]&lt;=10,"8-10",TRUE,"11 and above")</f>
        <v>1-3</v>
      </c>
      <c r="J236" t="str" cm="1">
        <f t="array" ref="J236">_xlfn.IFS(Table_Sales[[#This Row],[amount]]&lt;1000,"Under 1000",Table_Sales[[#This Row],[amount]]&lt;3000,"1000 - 2999",Table_Sales[[#This Row],[amount]]&lt;5000,"3000 - 4999",TRUE,"5000 &amp; above")</f>
        <v>Under 1000</v>
      </c>
      <c r="K236">
        <f>IF(COUNTIFS(INDEX(Table_Sales[order_id],1):Table_Sales[[#This Row],[order_id]],Table_Sales[[#This Row],[order_id]])=1,1,0)</f>
        <v>1</v>
      </c>
      <c r="L23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236" t="str">
        <v>B-25733</v>
      </c>
    </row>
    <row r="237" spans="1:14" x14ac:dyDescent="0.25">
      <c r="A237" t="s">
        <v>217</v>
      </c>
      <c r="B237" s="1">
        <v>27</v>
      </c>
      <c r="C237" s="1">
        <v>1</v>
      </c>
      <c r="D237">
        <v>1</v>
      </c>
      <c r="E237" t="s">
        <v>23</v>
      </c>
      <c r="F237" t="s">
        <v>57</v>
      </c>
      <c r="G237" t="s">
        <v>28</v>
      </c>
      <c r="H237">
        <f>IF(Table_Sales[[#This Row],[profit]]&lt;0,1,0)</f>
        <v>0</v>
      </c>
      <c r="I237" t="str" cm="1">
        <f t="array" ref="I237">_xlfn.IFS(Table_Sales[[#This Row],[quantity]]&lt;=3,"1-3",Table_Sales[[#This Row],[quantity]]&lt;=7,"2-7",Table_Sales[[#This Row],[quantity]]&lt;=10,"8-10",TRUE,"11 and above")</f>
        <v>1-3</v>
      </c>
      <c r="J237" t="str" cm="1">
        <f t="array" ref="J237">_xlfn.IFS(Table_Sales[[#This Row],[amount]]&lt;1000,"Under 1000",Table_Sales[[#This Row],[amount]]&lt;3000,"1000 - 2999",Table_Sales[[#This Row],[amount]]&lt;5000,"3000 - 4999",TRUE,"5000 &amp; above")</f>
        <v>Under 1000</v>
      </c>
      <c r="K237">
        <f>IF(COUNTIFS(INDEX(Table_Sales[order_id],1):Table_Sales[[#This Row],[order_id]],Table_Sales[[#This Row],[order_id]])=1,1,0)</f>
        <v>1</v>
      </c>
      <c r="L23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237" t="str">
        <v>B-25612</v>
      </c>
    </row>
    <row r="238" spans="1:14" x14ac:dyDescent="0.25">
      <c r="A238" t="s">
        <v>64</v>
      </c>
      <c r="B238" s="1">
        <v>413</v>
      </c>
      <c r="C238" s="1">
        <v>-314</v>
      </c>
      <c r="D238">
        <v>9</v>
      </c>
      <c r="E238" t="s">
        <v>12</v>
      </c>
      <c r="F238" t="s">
        <v>13</v>
      </c>
      <c r="G238" t="s">
        <v>10</v>
      </c>
      <c r="H238">
        <f>IF(Table_Sales[[#This Row],[profit]]&lt;0,1,0)</f>
        <v>1</v>
      </c>
      <c r="I238" t="str" cm="1">
        <f t="array" ref="I238">_xlfn.IFS(Table_Sales[[#This Row],[quantity]]&lt;=3,"1-3",Table_Sales[[#This Row],[quantity]]&lt;=7,"2-7",Table_Sales[[#This Row],[quantity]]&lt;=10,"8-10",TRUE,"11 and above")</f>
        <v>8-10</v>
      </c>
      <c r="J238" t="str" cm="1">
        <f t="array" ref="J238">_xlfn.IFS(Table_Sales[[#This Row],[amount]]&lt;1000,"Under 1000",Table_Sales[[#This Row],[amount]]&lt;3000,"1000 - 2999",Table_Sales[[#This Row],[amount]]&lt;5000,"3000 - 4999",TRUE,"5000 &amp; above")</f>
        <v>Under 1000</v>
      </c>
      <c r="K238">
        <f>IF(COUNTIFS(INDEX(Table_Sales[order_id],1):Table_Sales[[#This Row],[order_id]],Table_Sales[[#This Row],[order_id]])=1,1,0)</f>
        <v>0</v>
      </c>
      <c r="L23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238" t="str">
        <v>B-25700</v>
      </c>
    </row>
    <row r="239" spans="1:14" x14ac:dyDescent="0.25">
      <c r="A239" t="s">
        <v>129</v>
      </c>
      <c r="B239" s="1">
        <v>53</v>
      </c>
      <c r="C239" s="1">
        <v>2</v>
      </c>
      <c r="D239">
        <v>4</v>
      </c>
      <c r="E239" t="s">
        <v>23</v>
      </c>
      <c r="F239" t="s">
        <v>30</v>
      </c>
      <c r="G239" t="s">
        <v>10</v>
      </c>
      <c r="H239">
        <f>IF(Table_Sales[[#This Row],[profit]]&lt;0,1,0)</f>
        <v>0</v>
      </c>
      <c r="I239" t="str" cm="1">
        <f t="array" ref="I239">_xlfn.IFS(Table_Sales[[#This Row],[quantity]]&lt;=3,"1-3",Table_Sales[[#This Row],[quantity]]&lt;=7,"2-7",Table_Sales[[#This Row],[quantity]]&lt;=10,"8-10",TRUE,"11 and above")</f>
        <v>2-7</v>
      </c>
      <c r="J239" t="str" cm="1">
        <f t="array" ref="J239">_xlfn.IFS(Table_Sales[[#This Row],[amount]]&lt;1000,"Under 1000",Table_Sales[[#This Row],[amount]]&lt;3000,"1000 - 2999",Table_Sales[[#This Row],[amount]]&lt;5000,"3000 - 4999",TRUE,"5000 &amp; above")</f>
        <v>Under 1000</v>
      </c>
      <c r="K239">
        <f>IF(COUNTIFS(INDEX(Table_Sales[order_id],1):Table_Sales[[#This Row],[order_id]],Table_Sales[[#This Row],[order_id]])=1,1,0)</f>
        <v>0</v>
      </c>
      <c r="L23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239" t="str">
        <v>B-25856</v>
      </c>
    </row>
    <row r="240" spans="1:14" x14ac:dyDescent="0.25">
      <c r="A240" t="s">
        <v>79</v>
      </c>
      <c r="B240" s="1">
        <v>29</v>
      </c>
      <c r="C240" s="1">
        <v>8</v>
      </c>
      <c r="D240">
        <v>5</v>
      </c>
      <c r="E240" t="s">
        <v>23</v>
      </c>
      <c r="F240" t="s">
        <v>30</v>
      </c>
      <c r="G240" t="s">
        <v>28</v>
      </c>
      <c r="H240">
        <f>IF(Table_Sales[[#This Row],[profit]]&lt;0,1,0)</f>
        <v>0</v>
      </c>
      <c r="I240" t="str" cm="1">
        <f t="array" ref="I240">_xlfn.IFS(Table_Sales[[#This Row],[quantity]]&lt;=3,"1-3",Table_Sales[[#This Row],[quantity]]&lt;=7,"2-7",Table_Sales[[#This Row],[quantity]]&lt;=10,"8-10",TRUE,"11 and above")</f>
        <v>2-7</v>
      </c>
      <c r="J240" t="str" cm="1">
        <f t="array" ref="J240">_xlfn.IFS(Table_Sales[[#This Row],[amount]]&lt;1000,"Under 1000",Table_Sales[[#This Row],[amount]]&lt;3000,"1000 - 2999",Table_Sales[[#This Row],[amount]]&lt;5000,"3000 - 4999",TRUE,"5000 &amp; above")</f>
        <v>Under 1000</v>
      </c>
      <c r="K240">
        <f>IF(COUNTIFS(INDEX(Table_Sales[order_id],1):Table_Sales[[#This Row],[order_id]],Table_Sales[[#This Row],[order_id]])=1,1,0)</f>
        <v>0</v>
      </c>
      <c r="L24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240" t="str">
        <v>B-26026</v>
      </c>
    </row>
    <row r="241" spans="1:14" x14ac:dyDescent="0.25">
      <c r="A241" t="s">
        <v>218</v>
      </c>
      <c r="B241" s="1">
        <v>30</v>
      </c>
      <c r="C241" s="1">
        <v>13</v>
      </c>
      <c r="D241">
        <v>1</v>
      </c>
      <c r="E241" t="s">
        <v>23</v>
      </c>
      <c r="F241" t="s">
        <v>81</v>
      </c>
      <c r="G241" t="s">
        <v>28</v>
      </c>
      <c r="H241">
        <f>IF(Table_Sales[[#This Row],[profit]]&lt;0,1,0)</f>
        <v>0</v>
      </c>
      <c r="I241" t="str" cm="1">
        <f t="array" ref="I241">_xlfn.IFS(Table_Sales[[#This Row],[quantity]]&lt;=3,"1-3",Table_Sales[[#This Row],[quantity]]&lt;=7,"2-7",Table_Sales[[#This Row],[quantity]]&lt;=10,"8-10",TRUE,"11 and above")</f>
        <v>1-3</v>
      </c>
      <c r="J241" t="str" cm="1">
        <f t="array" ref="J241">_xlfn.IFS(Table_Sales[[#This Row],[amount]]&lt;1000,"Under 1000",Table_Sales[[#This Row],[amount]]&lt;3000,"1000 - 2999",Table_Sales[[#This Row],[amount]]&lt;5000,"3000 - 4999",TRUE,"5000 &amp; above")</f>
        <v>Under 1000</v>
      </c>
      <c r="K241">
        <f>IF(COUNTIFS(INDEX(Table_Sales[order_id],1):Table_Sales[[#This Row],[order_id]],Table_Sales[[#This Row],[order_id]])=1,1,0)</f>
        <v>1</v>
      </c>
      <c r="L24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241" t="str">
        <v>B-25861</v>
      </c>
    </row>
    <row r="242" spans="1:14" x14ac:dyDescent="0.25">
      <c r="A242" t="s">
        <v>219</v>
      </c>
      <c r="B242" s="1">
        <v>412</v>
      </c>
      <c r="C242" s="1">
        <v>412</v>
      </c>
      <c r="D242">
        <v>6</v>
      </c>
      <c r="E242" t="s">
        <v>23</v>
      </c>
      <c r="F242" t="s">
        <v>26</v>
      </c>
      <c r="G242" t="s">
        <v>10</v>
      </c>
      <c r="H242">
        <f>IF(Table_Sales[[#This Row],[profit]]&lt;0,1,0)</f>
        <v>0</v>
      </c>
      <c r="I242" t="str" cm="1">
        <f t="array" ref="I242">_xlfn.IFS(Table_Sales[[#This Row],[quantity]]&lt;=3,"1-3",Table_Sales[[#This Row],[quantity]]&lt;=7,"2-7",Table_Sales[[#This Row],[quantity]]&lt;=10,"8-10",TRUE,"11 and above")</f>
        <v>2-7</v>
      </c>
      <c r="J242" t="str" cm="1">
        <f t="array" ref="J242">_xlfn.IFS(Table_Sales[[#This Row],[amount]]&lt;1000,"Under 1000",Table_Sales[[#This Row],[amount]]&lt;3000,"1000 - 2999",Table_Sales[[#This Row],[amount]]&lt;5000,"3000 - 4999",TRUE,"5000 &amp; above")</f>
        <v>Under 1000</v>
      </c>
      <c r="K242">
        <f>IF(COUNTIFS(INDEX(Table_Sales[order_id],1):Table_Sales[[#This Row],[order_id]],Table_Sales[[#This Row],[order_id]])=1,1,0)</f>
        <v>1</v>
      </c>
      <c r="L24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242" t="str">
        <v>B-25799</v>
      </c>
    </row>
    <row r="243" spans="1:14" x14ac:dyDescent="0.25">
      <c r="A243" t="s">
        <v>220</v>
      </c>
      <c r="B243" s="1">
        <v>646</v>
      </c>
      <c r="C243" s="1">
        <v>-23</v>
      </c>
      <c r="D243">
        <v>2</v>
      </c>
      <c r="E243" t="s">
        <v>8</v>
      </c>
      <c r="F243" t="s">
        <v>18</v>
      </c>
      <c r="G243" t="s">
        <v>19</v>
      </c>
      <c r="H243">
        <f>IF(Table_Sales[[#This Row],[profit]]&lt;0,1,0)</f>
        <v>1</v>
      </c>
      <c r="I243" t="str" cm="1">
        <f t="array" ref="I243">_xlfn.IFS(Table_Sales[[#This Row],[quantity]]&lt;=3,"1-3",Table_Sales[[#This Row],[quantity]]&lt;=7,"2-7",Table_Sales[[#This Row],[quantity]]&lt;=10,"8-10",TRUE,"11 and above")</f>
        <v>1-3</v>
      </c>
      <c r="J243" t="str" cm="1">
        <f t="array" ref="J243">_xlfn.IFS(Table_Sales[[#This Row],[amount]]&lt;1000,"Under 1000",Table_Sales[[#This Row],[amount]]&lt;3000,"1000 - 2999",Table_Sales[[#This Row],[amount]]&lt;5000,"3000 - 4999",TRUE,"5000 &amp; above")</f>
        <v>Under 1000</v>
      </c>
      <c r="K243">
        <f>IF(COUNTIFS(INDEX(Table_Sales[order_id],1):Table_Sales[[#This Row],[order_id]],Table_Sales[[#This Row],[order_id]])=1,1,0)</f>
        <v>1</v>
      </c>
      <c r="L24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243" t="str">
        <v>B-26054</v>
      </c>
    </row>
    <row r="244" spans="1:14" x14ac:dyDescent="0.25">
      <c r="A244" t="s">
        <v>123</v>
      </c>
      <c r="B244" s="1">
        <v>30</v>
      </c>
      <c r="C244" s="1">
        <v>-5</v>
      </c>
      <c r="D244">
        <v>5</v>
      </c>
      <c r="E244" t="s">
        <v>23</v>
      </c>
      <c r="F244" t="s">
        <v>57</v>
      </c>
      <c r="G244" t="s">
        <v>28</v>
      </c>
      <c r="H244">
        <f>IF(Table_Sales[[#This Row],[profit]]&lt;0,1,0)</f>
        <v>1</v>
      </c>
      <c r="I244" t="str" cm="1">
        <f t="array" ref="I244">_xlfn.IFS(Table_Sales[[#This Row],[quantity]]&lt;=3,"1-3",Table_Sales[[#This Row],[quantity]]&lt;=7,"2-7",Table_Sales[[#This Row],[quantity]]&lt;=10,"8-10",TRUE,"11 and above")</f>
        <v>2-7</v>
      </c>
      <c r="J244" t="str" cm="1">
        <f t="array" ref="J244">_xlfn.IFS(Table_Sales[[#This Row],[amount]]&lt;1000,"Under 1000",Table_Sales[[#This Row],[amount]]&lt;3000,"1000 - 2999",Table_Sales[[#This Row],[amount]]&lt;5000,"3000 - 4999",TRUE,"5000 &amp; above")</f>
        <v>Under 1000</v>
      </c>
      <c r="K244">
        <f>IF(COUNTIFS(INDEX(Table_Sales[order_id],1):Table_Sales[[#This Row],[order_id]],Table_Sales[[#This Row],[order_id]])=1,1,0)</f>
        <v>0</v>
      </c>
      <c r="L24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244" t="str">
        <v>B-25660</v>
      </c>
    </row>
    <row r="245" spans="1:14" x14ac:dyDescent="0.25">
      <c r="A245" t="s">
        <v>129</v>
      </c>
      <c r="B245" s="1">
        <v>618</v>
      </c>
      <c r="C245" s="1">
        <v>27</v>
      </c>
      <c r="D245">
        <v>4</v>
      </c>
      <c r="E245" t="s">
        <v>12</v>
      </c>
      <c r="F245" t="s">
        <v>16</v>
      </c>
      <c r="G245" t="s">
        <v>19</v>
      </c>
      <c r="H245">
        <f>IF(Table_Sales[[#This Row],[profit]]&lt;0,1,0)</f>
        <v>0</v>
      </c>
      <c r="I245" t="str" cm="1">
        <f t="array" ref="I245">_xlfn.IFS(Table_Sales[[#This Row],[quantity]]&lt;=3,"1-3",Table_Sales[[#This Row],[quantity]]&lt;=7,"2-7",Table_Sales[[#This Row],[quantity]]&lt;=10,"8-10",TRUE,"11 and above")</f>
        <v>2-7</v>
      </c>
      <c r="J245" t="str" cm="1">
        <f t="array" ref="J245">_xlfn.IFS(Table_Sales[[#This Row],[amount]]&lt;1000,"Under 1000",Table_Sales[[#This Row],[amount]]&lt;3000,"1000 - 2999",Table_Sales[[#This Row],[amount]]&lt;5000,"3000 - 4999",TRUE,"5000 &amp; above")</f>
        <v>Under 1000</v>
      </c>
      <c r="K245">
        <f>IF(COUNTIFS(INDEX(Table_Sales[order_id],1):Table_Sales[[#This Row],[order_id]],Table_Sales[[#This Row],[order_id]])=1,1,0)</f>
        <v>0</v>
      </c>
      <c r="L24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245" t="str">
        <v>B-26045</v>
      </c>
    </row>
    <row r="246" spans="1:14" x14ac:dyDescent="0.25">
      <c r="A246" t="s">
        <v>221</v>
      </c>
      <c r="B246" s="1">
        <v>143</v>
      </c>
      <c r="C246" s="1">
        <v>-124</v>
      </c>
      <c r="D246">
        <v>5</v>
      </c>
      <c r="E246" t="s">
        <v>23</v>
      </c>
      <c r="F246" t="s">
        <v>26</v>
      </c>
      <c r="G246" t="s">
        <v>28</v>
      </c>
      <c r="H246">
        <f>IF(Table_Sales[[#This Row],[profit]]&lt;0,1,0)</f>
        <v>1</v>
      </c>
      <c r="I246" t="str" cm="1">
        <f t="array" ref="I246">_xlfn.IFS(Table_Sales[[#This Row],[quantity]]&lt;=3,"1-3",Table_Sales[[#This Row],[quantity]]&lt;=7,"2-7",Table_Sales[[#This Row],[quantity]]&lt;=10,"8-10",TRUE,"11 and above")</f>
        <v>2-7</v>
      </c>
      <c r="J246" t="str" cm="1">
        <f t="array" ref="J246">_xlfn.IFS(Table_Sales[[#This Row],[amount]]&lt;1000,"Under 1000",Table_Sales[[#This Row],[amount]]&lt;3000,"1000 - 2999",Table_Sales[[#This Row],[amount]]&lt;5000,"3000 - 4999",TRUE,"5000 &amp; above")</f>
        <v>Under 1000</v>
      </c>
      <c r="K246">
        <f>IF(COUNTIFS(INDEX(Table_Sales[order_id],1):Table_Sales[[#This Row],[order_id]],Table_Sales[[#This Row],[order_id]])=1,1,0)</f>
        <v>1</v>
      </c>
      <c r="L24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246" t="str">
        <v>B-25781</v>
      </c>
    </row>
    <row r="247" spans="1:14" x14ac:dyDescent="0.25">
      <c r="A247" t="s">
        <v>64</v>
      </c>
      <c r="B247" s="1">
        <v>31</v>
      </c>
      <c r="C247" s="1">
        <v>1</v>
      </c>
      <c r="D247">
        <v>2</v>
      </c>
      <c r="E247" t="s">
        <v>23</v>
      </c>
      <c r="F247" t="s">
        <v>30</v>
      </c>
      <c r="G247" t="s">
        <v>28</v>
      </c>
      <c r="H247">
        <f>IF(Table_Sales[[#This Row],[profit]]&lt;0,1,0)</f>
        <v>0</v>
      </c>
      <c r="I247" t="str" cm="1">
        <f t="array" ref="I247">_xlfn.IFS(Table_Sales[[#This Row],[quantity]]&lt;=3,"1-3",Table_Sales[[#This Row],[quantity]]&lt;=7,"2-7",Table_Sales[[#This Row],[quantity]]&lt;=10,"8-10",TRUE,"11 and above")</f>
        <v>1-3</v>
      </c>
      <c r="J247" t="str" cm="1">
        <f t="array" ref="J247">_xlfn.IFS(Table_Sales[[#This Row],[amount]]&lt;1000,"Under 1000",Table_Sales[[#This Row],[amount]]&lt;3000,"1000 - 2999",Table_Sales[[#This Row],[amount]]&lt;5000,"3000 - 4999",TRUE,"5000 &amp; above")</f>
        <v>Under 1000</v>
      </c>
      <c r="K247">
        <f>IF(COUNTIFS(INDEX(Table_Sales[order_id],1):Table_Sales[[#This Row],[order_id]],Table_Sales[[#This Row],[order_id]])=1,1,0)</f>
        <v>0</v>
      </c>
      <c r="L24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247" t="str">
        <v>B-25918</v>
      </c>
    </row>
    <row r="248" spans="1:14" x14ac:dyDescent="0.25">
      <c r="A248" t="s">
        <v>128</v>
      </c>
      <c r="B248" s="1">
        <v>409</v>
      </c>
      <c r="C248" s="1">
        <v>86</v>
      </c>
      <c r="D248">
        <v>3</v>
      </c>
      <c r="E248" t="s">
        <v>23</v>
      </c>
      <c r="F248" t="s">
        <v>26</v>
      </c>
      <c r="G248" t="s">
        <v>10</v>
      </c>
      <c r="H248">
        <f>IF(Table_Sales[[#This Row],[profit]]&lt;0,1,0)</f>
        <v>0</v>
      </c>
      <c r="I248" t="str" cm="1">
        <f t="array" ref="I248">_xlfn.IFS(Table_Sales[[#This Row],[quantity]]&lt;=3,"1-3",Table_Sales[[#This Row],[quantity]]&lt;=7,"2-7",Table_Sales[[#This Row],[quantity]]&lt;=10,"8-10",TRUE,"11 and above")</f>
        <v>1-3</v>
      </c>
      <c r="J248" t="str" cm="1">
        <f t="array" ref="J248">_xlfn.IFS(Table_Sales[[#This Row],[amount]]&lt;1000,"Under 1000",Table_Sales[[#This Row],[amount]]&lt;3000,"1000 - 2999",Table_Sales[[#This Row],[amount]]&lt;5000,"3000 - 4999",TRUE,"5000 &amp; above")</f>
        <v>Under 1000</v>
      </c>
      <c r="K248">
        <f>IF(COUNTIFS(INDEX(Table_Sales[order_id],1):Table_Sales[[#This Row],[order_id]],Table_Sales[[#This Row],[order_id]])=1,1,0)</f>
        <v>0</v>
      </c>
      <c r="L24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248" t="str">
        <v>B-25971</v>
      </c>
    </row>
    <row r="249" spans="1:14" x14ac:dyDescent="0.25">
      <c r="A249" t="s">
        <v>123</v>
      </c>
      <c r="B249" s="1">
        <v>406</v>
      </c>
      <c r="C249" s="1">
        <v>126</v>
      </c>
      <c r="D249">
        <v>2</v>
      </c>
      <c r="E249" t="s">
        <v>23</v>
      </c>
      <c r="F249" t="s">
        <v>26</v>
      </c>
      <c r="G249" t="s">
        <v>10</v>
      </c>
      <c r="H249">
        <f>IF(Table_Sales[[#This Row],[profit]]&lt;0,1,0)</f>
        <v>0</v>
      </c>
      <c r="I249" t="str" cm="1">
        <f t="array" ref="I249">_xlfn.IFS(Table_Sales[[#This Row],[quantity]]&lt;=3,"1-3",Table_Sales[[#This Row],[quantity]]&lt;=7,"2-7",Table_Sales[[#This Row],[quantity]]&lt;=10,"8-10",TRUE,"11 and above")</f>
        <v>1-3</v>
      </c>
      <c r="J249" t="str" cm="1">
        <f t="array" ref="J249">_xlfn.IFS(Table_Sales[[#This Row],[amount]]&lt;1000,"Under 1000",Table_Sales[[#This Row],[amount]]&lt;3000,"1000 - 2999",Table_Sales[[#This Row],[amount]]&lt;5000,"3000 - 4999",TRUE,"5000 &amp; above")</f>
        <v>Under 1000</v>
      </c>
      <c r="K249">
        <f>IF(COUNTIFS(INDEX(Table_Sales[order_id],1):Table_Sales[[#This Row],[order_id]],Table_Sales[[#This Row],[order_id]])=1,1,0)</f>
        <v>0</v>
      </c>
      <c r="L24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249" t="str">
        <v>B-25699</v>
      </c>
    </row>
    <row r="250" spans="1:14" x14ac:dyDescent="0.25">
      <c r="A250" t="s">
        <v>222</v>
      </c>
      <c r="B250" s="1">
        <v>565</v>
      </c>
      <c r="C250" s="1">
        <v>66</v>
      </c>
      <c r="D250">
        <v>7</v>
      </c>
      <c r="E250" t="s">
        <v>23</v>
      </c>
      <c r="F250" t="s">
        <v>26</v>
      </c>
      <c r="G250" t="s">
        <v>19</v>
      </c>
      <c r="H250">
        <f>IF(Table_Sales[[#This Row],[profit]]&lt;0,1,0)</f>
        <v>0</v>
      </c>
      <c r="I250" t="str" cm="1">
        <f t="array" ref="I250">_xlfn.IFS(Table_Sales[[#This Row],[quantity]]&lt;=3,"1-3",Table_Sales[[#This Row],[quantity]]&lt;=7,"2-7",Table_Sales[[#This Row],[quantity]]&lt;=10,"8-10",TRUE,"11 and above")</f>
        <v>2-7</v>
      </c>
      <c r="J250" t="str" cm="1">
        <f t="array" ref="J250">_xlfn.IFS(Table_Sales[[#This Row],[amount]]&lt;1000,"Under 1000",Table_Sales[[#This Row],[amount]]&lt;3000,"1000 - 2999",Table_Sales[[#This Row],[amount]]&lt;5000,"3000 - 4999",TRUE,"5000 &amp; above")</f>
        <v>Under 1000</v>
      </c>
      <c r="K250">
        <f>IF(COUNTIFS(INDEX(Table_Sales[order_id],1):Table_Sales[[#This Row],[order_id]],Table_Sales[[#This Row],[order_id]])=1,1,0)</f>
        <v>1</v>
      </c>
      <c r="L25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250" t="str">
        <v>B-25776</v>
      </c>
    </row>
    <row r="251" spans="1:14" x14ac:dyDescent="0.25">
      <c r="A251" t="s">
        <v>167</v>
      </c>
      <c r="B251" s="1">
        <v>85</v>
      </c>
      <c r="C251" s="1">
        <v>2</v>
      </c>
      <c r="D251">
        <v>6</v>
      </c>
      <c r="E251" t="s">
        <v>23</v>
      </c>
      <c r="F251" t="s">
        <v>57</v>
      </c>
      <c r="G251" t="s">
        <v>10</v>
      </c>
      <c r="H251">
        <f>IF(Table_Sales[[#This Row],[profit]]&lt;0,1,0)</f>
        <v>0</v>
      </c>
      <c r="I251" t="str" cm="1">
        <f t="array" ref="I251">_xlfn.IFS(Table_Sales[[#This Row],[quantity]]&lt;=3,"1-3",Table_Sales[[#This Row],[quantity]]&lt;=7,"2-7",Table_Sales[[#This Row],[quantity]]&lt;=10,"8-10",TRUE,"11 and above")</f>
        <v>2-7</v>
      </c>
      <c r="J251" t="str" cm="1">
        <f t="array" ref="J251">_xlfn.IFS(Table_Sales[[#This Row],[amount]]&lt;1000,"Under 1000",Table_Sales[[#This Row],[amount]]&lt;3000,"1000 - 2999",Table_Sales[[#This Row],[amount]]&lt;5000,"3000 - 4999",TRUE,"5000 &amp; above")</f>
        <v>Under 1000</v>
      </c>
      <c r="K251">
        <f>IF(COUNTIFS(INDEX(Table_Sales[order_id],1):Table_Sales[[#This Row],[order_id]],Table_Sales[[#This Row],[order_id]])=1,1,0)</f>
        <v>0</v>
      </c>
      <c r="L25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251" t="str">
        <v>B-25985</v>
      </c>
    </row>
    <row r="252" spans="1:14" x14ac:dyDescent="0.25">
      <c r="A252" t="s">
        <v>223</v>
      </c>
      <c r="B252" s="1">
        <v>561</v>
      </c>
      <c r="C252" s="1">
        <v>118</v>
      </c>
      <c r="D252">
        <v>5</v>
      </c>
      <c r="E252" t="s">
        <v>12</v>
      </c>
      <c r="F252" t="s">
        <v>16</v>
      </c>
      <c r="G252" t="s">
        <v>19</v>
      </c>
      <c r="H252">
        <f>IF(Table_Sales[[#This Row],[profit]]&lt;0,1,0)</f>
        <v>0</v>
      </c>
      <c r="I252" t="str" cm="1">
        <f t="array" ref="I252">_xlfn.IFS(Table_Sales[[#This Row],[quantity]]&lt;=3,"1-3",Table_Sales[[#This Row],[quantity]]&lt;=7,"2-7",Table_Sales[[#This Row],[quantity]]&lt;=10,"8-10",TRUE,"11 and above")</f>
        <v>2-7</v>
      </c>
      <c r="J252" t="str" cm="1">
        <f t="array" ref="J252">_xlfn.IFS(Table_Sales[[#This Row],[amount]]&lt;1000,"Under 1000",Table_Sales[[#This Row],[amount]]&lt;3000,"1000 - 2999",Table_Sales[[#This Row],[amount]]&lt;5000,"3000 - 4999",TRUE,"5000 &amp; above")</f>
        <v>Under 1000</v>
      </c>
      <c r="K252">
        <f>IF(COUNTIFS(INDEX(Table_Sales[order_id],1):Table_Sales[[#This Row],[order_id]],Table_Sales[[#This Row],[order_id]])=1,1,0)</f>
        <v>1</v>
      </c>
      <c r="L25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252" t="str">
        <v>B-26063</v>
      </c>
    </row>
    <row r="253" spans="1:14" x14ac:dyDescent="0.25">
      <c r="A253" t="s">
        <v>224</v>
      </c>
      <c r="B253" s="1">
        <v>503</v>
      </c>
      <c r="C253" s="1">
        <v>-56</v>
      </c>
      <c r="D253">
        <v>2</v>
      </c>
      <c r="E253" t="s">
        <v>23</v>
      </c>
      <c r="F253" t="s">
        <v>24</v>
      </c>
      <c r="G253" t="s">
        <v>10</v>
      </c>
      <c r="H253">
        <f>IF(Table_Sales[[#This Row],[profit]]&lt;0,1,0)</f>
        <v>1</v>
      </c>
      <c r="I253" t="str" cm="1">
        <f t="array" ref="I253">_xlfn.IFS(Table_Sales[[#This Row],[quantity]]&lt;=3,"1-3",Table_Sales[[#This Row],[quantity]]&lt;=7,"2-7",Table_Sales[[#This Row],[quantity]]&lt;=10,"8-10",TRUE,"11 and above")</f>
        <v>1-3</v>
      </c>
      <c r="J253" t="str" cm="1">
        <f t="array" ref="J253">_xlfn.IFS(Table_Sales[[#This Row],[amount]]&lt;1000,"Under 1000",Table_Sales[[#This Row],[amount]]&lt;3000,"1000 - 2999",Table_Sales[[#This Row],[amount]]&lt;5000,"3000 - 4999",TRUE,"5000 &amp; above")</f>
        <v>Under 1000</v>
      </c>
      <c r="K253">
        <f>IF(COUNTIFS(INDEX(Table_Sales[order_id],1):Table_Sales[[#This Row],[order_id]],Table_Sales[[#This Row],[order_id]])=1,1,0)</f>
        <v>1</v>
      </c>
      <c r="L25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253" t="str">
        <v>B-26032</v>
      </c>
    </row>
    <row r="254" spans="1:14" x14ac:dyDescent="0.25">
      <c r="A254" t="s">
        <v>188</v>
      </c>
      <c r="B254" s="1">
        <v>31</v>
      </c>
      <c r="C254" s="1">
        <v>14</v>
      </c>
      <c r="D254">
        <v>3</v>
      </c>
      <c r="E254" t="s">
        <v>23</v>
      </c>
      <c r="F254" t="s">
        <v>57</v>
      </c>
      <c r="G254" t="s">
        <v>28</v>
      </c>
      <c r="H254">
        <f>IF(Table_Sales[[#This Row],[profit]]&lt;0,1,0)</f>
        <v>0</v>
      </c>
      <c r="I254" t="str" cm="1">
        <f t="array" ref="I254">_xlfn.IFS(Table_Sales[[#This Row],[quantity]]&lt;=3,"1-3",Table_Sales[[#This Row],[quantity]]&lt;=7,"2-7",Table_Sales[[#This Row],[quantity]]&lt;=10,"8-10",TRUE,"11 and above")</f>
        <v>1-3</v>
      </c>
      <c r="J254" t="str" cm="1">
        <f t="array" ref="J254">_xlfn.IFS(Table_Sales[[#This Row],[amount]]&lt;1000,"Under 1000",Table_Sales[[#This Row],[amount]]&lt;3000,"1000 - 2999",Table_Sales[[#This Row],[amount]]&lt;5000,"3000 - 4999",TRUE,"5000 &amp; above")</f>
        <v>Under 1000</v>
      </c>
      <c r="K254">
        <f>IF(COUNTIFS(INDEX(Table_Sales[order_id],1):Table_Sales[[#This Row],[order_id]],Table_Sales[[#This Row],[order_id]])=1,1,0)</f>
        <v>0</v>
      </c>
      <c r="L25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254" t="str">
        <v>B-25767</v>
      </c>
    </row>
    <row r="255" spans="1:14" x14ac:dyDescent="0.25">
      <c r="A255" t="s">
        <v>225</v>
      </c>
      <c r="B255" s="1">
        <v>398</v>
      </c>
      <c r="C255" s="1">
        <v>111</v>
      </c>
      <c r="D255">
        <v>8</v>
      </c>
      <c r="E255" t="s">
        <v>23</v>
      </c>
      <c r="F255" t="s">
        <v>30</v>
      </c>
      <c r="G255" t="s">
        <v>10</v>
      </c>
      <c r="H255">
        <f>IF(Table_Sales[[#This Row],[profit]]&lt;0,1,0)</f>
        <v>0</v>
      </c>
      <c r="I255" t="str" cm="1">
        <f t="array" ref="I255">_xlfn.IFS(Table_Sales[[#This Row],[quantity]]&lt;=3,"1-3",Table_Sales[[#This Row],[quantity]]&lt;=7,"2-7",Table_Sales[[#This Row],[quantity]]&lt;=10,"8-10",TRUE,"11 and above")</f>
        <v>8-10</v>
      </c>
      <c r="J255" t="str" cm="1">
        <f t="array" ref="J255">_xlfn.IFS(Table_Sales[[#This Row],[amount]]&lt;1000,"Under 1000",Table_Sales[[#This Row],[amount]]&lt;3000,"1000 - 2999",Table_Sales[[#This Row],[amount]]&lt;5000,"3000 - 4999",TRUE,"5000 &amp; above")</f>
        <v>Under 1000</v>
      </c>
      <c r="K255">
        <f>IF(COUNTIFS(INDEX(Table_Sales[order_id],1):Table_Sales[[#This Row],[order_id]],Table_Sales[[#This Row],[order_id]])=1,1,0)</f>
        <v>1</v>
      </c>
      <c r="L25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255" t="str">
        <v>B-26023</v>
      </c>
    </row>
    <row r="256" spans="1:14" x14ac:dyDescent="0.25">
      <c r="A256" t="s">
        <v>226</v>
      </c>
      <c r="B256" s="1">
        <v>388</v>
      </c>
      <c r="C256" s="1">
        <v>93</v>
      </c>
      <c r="D256">
        <v>2</v>
      </c>
      <c r="E256" t="s">
        <v>12</v>
      </c>
      <c r="F256" t="s">
        <v>16</v>
      </c>
      <c r="G256" t="s">
        <v>10</v>
      </c>
      <c r="H256">
        <f>IF(Table_Sales[[#This Row],[profit]]&lt;0,1,0)</f>
        <v>0</v>
      </c>
      <c r="I256" t="str" cm="1">
        <f t="array" ref="I256">_xlfn.IFS(Table_Sales[[#This Row],[quantity]]&lt;=3,"1-3",Table_Sales[[#This Row],[quantity]]&lt;=7,"2-7",Table_Sales[[#This Row],[quantity]]&lt;=10,"8-10",TRUE,"11 and above")</f>
        <v>1-3</v>
      </c>
      <c r="J256" t="str" cm="1">
        <f t="array" ref="J256">_xlfn.IFS(Table_Sales[[#This Row],[amount]]&lt;1000,"Under 1000",Table_Sales[[#This Row],[amount]]&lt;3000,"1000 - 2999",Table_Sales[[#This Row],[amount]]&lt;5000,"3000 - 4999",TRUE,"5000 &amp; above")</f>
        <v>Under 1000</v>
      </c>
      <c r="K256">
        <f>IF(COUNTIFS(INDEX(Table_Sales[order_id],1):Table_Sales[[#This Row],[order_id]],Table_Sales[[#This Row],[order_id]])=1,1,0)</f>
        <v>1</v>
      </c>
      <c r="L25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256" t="str">
        <v>B-25809</v>
      </c>
    </row>
    <row r="257" spans="1:14" x14ac:dyDescent="0.25">
      <c r="A257" t="s">
        <v>60</v>
      </c>
      <c r="B257" s="1">
        <v>498</v>
      </c>
      <c r="C257" s="1">
        <v>-116</v>
      </c>
      <c r="D257">
        <v>4</v>
      </c>
      <c r="E257" t="s">
        <v>23</v>
      </c>
      <c r="F257" t="s">
        <v>26</v>
      </c>
      <c r="G257" t="s">
        <v>28</v>
      </c>
      <c r="H257">
        <f>IF(Table_Sales[[#This Row],[profit]]&lt;0,1,0)</f>
        <v>1</v>
      </c>
      <c r="I257" t="str" cm="1">
        <f t="array" ref="I257">_xlfn.IFS(Table_Sales[[#This Row],[quantity]]&lt;=3,"1-3",Table_Sales[[#This Row],[quantity]]&lt;=7,"2-7",Table_Sales[[#This Row],[quantity]]&lt;=10,"8-10",TRUE,"11 and above")</f>
        <v>2-7</v>
      </c>
      <c r="J257" t="str" cm="1">
        <f t="array" ref="J257">_xlfn.IFS(Table_Sales[[#This Row],[amount]]&lt;1000,"Under 1000",Table_Sales[[#This Row],[amount]]&lt;3000,"1000 - 2999",Table_Sales[[#This Row],[amount]]&lt;5000,"3000 - 4999",TRUE,"5000 &amp; above")</f>
        <v>Under 1000</v>
      </c>
      <c r="K257">
        <f>IF(COUNTIFS(INDEX(Table_Sales[order_id],1):Table_Sales[[#This Row],[order_id]],Table_Sales[[#This Row],[order_id]])=1,1,0)</f>
        <v>0</v>
      </c>
      <c r="L25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257" t="str">
        <v>B-25688</v>
      </c>
    </row>
    <row r="258" spans="1:14" x14ac:dyDescent="0.25">
      <c r="A258" t="s">
        <v>227</v>
      </c>
      <c r="B258" s="1">
        <v>561</v>
      </c>
      <c r="C258" s="1">
        <v>212</v>
      </c>
      <c r="D258">
        <v>3</v>
      </c>
      <c r="E258" t="s">
        <v>23</v>
      </c>
      <c r="F258" t="s">
        <v>26</v>
      </c>
      <c r="G258" t="s">
        <v>19</v>
      </c>
      <c r="H258">
        <f>IF(Table_Sales[[#This Row],[profit]]&lt;0,1,0)</f>
        <v>0</v>
      </c>
      <c r="I258" t="str" cm="1">
        <f t="array" ref="I258">_xlfn.IFS(Table_Sales[[#This Row],[quantity]]&lt;=3,"1-3",Table_Sales[[#This Row],[quantity]]&lt;=7,"2-7",Table_Sales[[#This Row],[quantity]]&lt;=10,"8-10",TRUE,"11 and above")</f>
        <v>1-3</v>
      </c>
      <c r="J258" t="str" cm="1">
        <f t="array" ref="J258">_xlfn.IFS(Table_Sales[[#This Row],[amount]]&lt;1000,"Under 1000",Table_Sales[[#This Row],[amount]]&lt;3000,"1000 - 2999",Table_Sales[[#This Row],[amount]]&lt;5000,"3000 - 4999",TRUE,"5000 &amp; above")</f>
        <v>Under 1000</v>
      </c>
      <c r="K258">
        <f>IF(COUNTIFS(INDEX(Table_Sales[order_id],1):Table_Sales[[#This Row],[order_id]],Table_Sales[[#This Row],[order_id]])=1,1,0)</f>
        <v>1</v>
      </c>
      <c r="L25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258" t="str">
        <v>B-25753</v>
      </c>
    </row>
    <row r="259" spans="1:14" x14ac:dyDescent="0.25">
      <c r="A259" t="s">
        <v>228</v>
      </c>
      <c r="B259" s="1">
        <v>61</v>
      </c>
      <c r="C259" s="1">
        <v>3</v>
      </c>
      <c r="D259">
        <v>4</v>
      </c>
      <c r="E259" t="s">
        <v>23</v>
      </c>
      <c r="F259" t="s">
        <v>30</v>
      </c>
      <c r="G259" t="s">
        <v>10</v>
      </c>
      <c r="H259">
        <f>IF(Table_Sales[[#This Row],[profit]]&lt;0,1,0)</f>
        <v>0</v>
      </c>
      <c r="I259" t="str" cm="1">
        <f t="array" ref="I259">_xlfn.IFS(Table_Sales[[#This Row],[quantity]]&lt;=3,"1-3",Table_Sales[[#This Row],[quantity]]&lt;=7,"2-7",Table_Sales[[#This Row],[quantity]]&lt;=10,"8-10",TRUE,"11 and above")</f>
        <v>2-7</v>
      </c>
      <c r="J259" t="str" cm="1">
        <f t="array" ref="J259">_xlfn.IFS(Table_Sales[[#This Row],[amount]]&lt;1000,"Under 1000",Table_Sales[[#This Row],[amount]]&lt;3000,"1000 - 2999",Table_Sales[[#This Row],[amount]]&lt;5000,"3000 - 4999",TRUE,"5000 &amp; above")</f>
        <v>Under 1000</v>
      </c>
      <c r="K259">
        <f>IF(COUNTIFS(INDEX(Table_Sales[order_id],1):Table_Sales[[#This Row],[order_id]],Table_Sales[[#This Row],[order_id]])=1,1,0)</f>
        <v>1</v>
      </c>
      <c r="L25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259" t="str">
        <v>B-25773</v>
      </c>
    </row>
    <row r="260" spans="1:14" x14ac:dyDescent="0.25">
      <c r="A260" t="s">
        <v>229</v>
      </c>
      <c r="B260" s="1">
        <v>34</v>
      </c>
      <c r="C260" s="1">
        <v>-22</v>
      </c>
      <c r="D260">
        <v>4</v>
      </c>
      <c r="E260" t="s">
        <v>23</v>
      </c>
      <c r="F260" t="s">
        <v>81</v>
      </c>
      <c r="G260" t="s">
        <v>10</v>
      </c>
      <c r="H260">
        <f>IF(Table_Sales[[#This Row],[profit]]&lt;0,1,0)</f>
        <v>1</v>
      </c>
      <c r="I260" t="str" cm="1">
        <f t="array" ref="I260">_xlfn.IFS(Table_Sales[[#This Row],[quantity]]&lt;=3,"1-3",Table_Sales[[#This Row],[quantity]]&lt;=7,"2-7",Table_Sales[[#This Row],[quantity]]&lt;=10,"8-10",TRUE,"11 and above")</f>
        <v>2-7</v>
      </c>
      <c r="J260" t="str" cm="1">
        <f t="array" ref="J260">_xlfn.IFS(Table_Sales[[#This Row],[amount]]&lt;1000,"Under 1000",Table_Sales[[#This Row],[amount]]&lt;3000,"1000 - 2999",Table_Sales[[#This Row],[amount]]&lt;5000,"3000 - 4999",TRUE,"5000 &amp; above")</f>
        <v>Under 1000</v>
      </c>
      <c r="K260">
        <f>IF(COUNTIFS(INDEX(Table_Sales[order_id],1):Table_Sales[[#This Row],[order_id]],Table_Sales[[#This Row],[order_id]])=1,1,0)</f>
        <v>1</v>
      </c>
      <c r="L26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260" t="str">
        <v>B-25661</v>
      </c>
    </row>
    <row r="261" spans="1:14" x14ac:dyDescent="0.25">
      <c r="A261" t="s">
        <v>230</v>
      </c>
      <c r="B261" s="1">
        <v>32</v>
      </c>
      <c r="C261" s="1">
        <v>6</v>
      </c>
      <c r="D261">
        <v>3</v>
      </c>
      <c r="E261" t="s">
        <v>23</v>
      </c>
      <c r="F261" t="s">
        <v>142</v>
      </c>
      <c r="G261" t="s">
        <v>28</v>
      </c>
      <c r="H261">
        <f>IF(Table_Sales[[#This Row],[profit]]&lt;0,1,0)</f>
        <v>0</v>
      </c>
      <c r="I261" t="str" cm="1">
        <f t="array" ref="I261">_xlfn.IFS(Table_Sales[[#This Row],[quantity]]&lt;=3,"1-3",Table_Sales[[#This Row],[quantity]]&lt;=7,"2-7",Table_Sales[[#This Row],[quantity]]&lt;=10,"8-10",TRUE,"11 and above")</f>
        <v>1-3</v>
      </c>
      <c r="J261" t="str" cm="1">
        <f t="array" ref="J261">_xlfn.IFS(Table_Sales[[#This Row],[amount]]&lt;1000,"Under 1000",Table_Sales[[#This Row],[amount]]&lt;3000,"1000 - 2999",Table_Sales[[#This Row],[amount]]&lt;5000,"3000 - 4999",TRUE,"5000 &amp; above")</f>
        <v>Under 1000</v>
      </c>
      <c r="K261">
        <f>IF(COUNTIFS(INDEX(Table_Sales[order_id],1):Table_Sales[[#This Row],[order_id]],Table_Sales[[#This Row],[order_id]])=1,1,0)</f>
        <v>1</v>
      </c>
      <c r="L26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261" t="str">
        <v>B-25857</v>
      </c>
    </row>
    <row r="262" spans="1:14" x14ac:dyDescent="0.25">
      <c r="A262" t="s">
        <v>39</v>
      </c>
      <c r="B262" s="1">
        <v>623</v>
      </c>
      <c r="C262" s="1">
        <v>-192</v>
      </c>
      <c r="D262">
        <v>3</v>
      </c>
      <c r="E262" t="s">
        <v>12</v>
      </c>
      <c r="F262" t="s">
        <v>45</v>
      </c>
      <c r="G262" t="s">
        <v>28</v>
      </c>
      <c r="H262">
        <f>IF(Table_Sales[[#This Row],[profit]]&lt;0,1,0)</f>
        <v>1</v>
      </c>
      <c r="I262" t="str" cm="1">
        <f t="array" ref="I262">_xlfn.IFS(Table_Sales[[#This Row],[quantity]]&lt;=3,"1-3",Table_Sales[[#This Row],[quantity]]&lt;=7,"2-7",Table_Sales[[#This Row],[quantity]]&lt;=10,"8-10",TRUE,"11 and above")</f>
        <v>1-3</v>
      </c>
      <c r="J262" t="str" cm="1">
        <f t="array" ref="J262">_xlfn.IFS(Table_Sales[[#This Row],[amount]]&lt;1000,"Under 1000",Table_Sales[[#This Row],[amount]]&lt;3000,"1000 - 2999",Table_Sales[[#This Row],[amount]]&lt;5000,"3000 - 4999",TRUE,"5000 &amp; above")</f>
        <v>Under 1000</v>
      </c>
      <c r="K262">
        <f>IF(COUNTIFS(INDEX(Table_Sales[order_id],1):Table_Sales[[#This Row],[order_id]],Table_Sales[[#This Row],[order_id]])=1,1,0)</f>
        <v>0</v>
      </c>
      <c r="L26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262" t="str">
        <v>B-25999</v>
      </c>
    </row>
    <row r="263" spans="1:14" x14ac:dyDescent="0.25">
      <c r="A263" t="s">
        <v>231</v>
      </c>
      <c r="B263" s="1">
        <v>520</v>
      </c>
      <c r="C263" s="1">
        <v>151</v>
      </c>
      <c r="D263">
        <v>3</v>
      </c>
      <c r="E263" t="s">
        <v>8</v>
      </c>
      <c r="F263" t="s">
        <v>21</v>
      </c>
      <c r="G263" t="s">
        <v>19</v>
      </c>
      <c r="H263">
        <f>IF(Table_Sales[[#This Row],[profit]]&lt;0,1,0)</f>
        <v>0</v>
      </c>
      <c r="I263" t="str" cm="1">
        <f t="array" ref="I263">_xlfn.IFS(Table_Sales[[#This Row],[quantity]]&lt;=3,"1-3",Table_Sales[[#This Row],[quantity]]&lt;=7,"2-7",Table_Sales[[#This Row],[quantity]]&lt;=10,"8-10",TRUE,"11 and above")</f>
        <v>1-3</v>
      </c>
      <c r="J263" t="str" cm="1">
        <f t="array" ref="J263">_xlfn.IFS(Table_Sales[[#This Row],[amount]]&lt;1000,"Under 1000",Table_Sales[[#This Row],[amount]]&lt;3000,"1000 - 2999",Table_Sales[[#This Row],[amount]]&lt;5000,"3000 - 4999",TRUE,"5000 &amp; above")</f>
        <v>Under 1000</v>
      </c>
      <c r="K263">
        <f>IF(COUNTIFS(INDEX(Table_Sales[order_id],1):Table_Sales[[#This Row],[order_id]],Table_Sales[[#This Row],[order_id]])=1,1,0)</f>
        <v>1</v>
      </c>
      <c r="L26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263" t="str">
        <v>B-25926</v>
      </c>
    </row>
    <row r="264" spans="1:14" x14ac:dyDescent="0.25">
      <c r="A264" t="s">
        <v>112</v>
      </c>
      <c r="B264" s="1">
        <v>32</v>
      </c>
      <c r="C264" s="1">
        <v>-16</v>
      </c>
      <c r="D264">
        <v>6</v>
      </c>
      <c r="E264" t="s">
        <v>23</v>
      </c>
      <c r="F264" t="s">
        <v>26</v>
      </c>
      <c r="G264" t="s">
        <v>28</v>
      </c>
      <c r="H264">
        <f>IF(Table_Sales[[#This Row],[profit]]&lt;0,1,0)</f>
        <v>1</v>
      </c>
      <c r="I264" t="str" cm="1">
        <f t="array" ref="I264">_xlfn.IFS(Table_Sales[[#This Row],[quantity]]&lt;=3,"1-3",Table_Sales[[#This Row],[quantity]]&lt;=7,"2-7",Table_Sales[[#This Row],[quantity]]&lt;=10,"8-10",TRUE,"11 and above")</f>
        <v>2-7</v>
      </c>
      <c r="J264" t="str" cm="1">
        <f t="array" ref="J264">_xlfn.IFS(Table_Sales[[#This Row],[amount]]&lt;1000,"Under 1000",Table_Sales[[#This Row],[amount]]&lt;3000,"1000 - 2999",Table_Sales[[#This Row],[amount]]&lt;5000,"3000 - 4999",TRUE,"5000 &amp; above")</f>
        <v>Under 1000</v>
      </c>
      <c r="K264">
        <f>IF(COUNTIFS(INDEX(Table_Sales[order_id],1):Table_Sales[[#This Row],[order_id]],Table_Sales[[#This Row],[order_id]])=1,1,0)</f>
        <v>0</v>
      </c>
      <c r="L26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264" t="str">
        <v>B-26076</v>
      </c>
    </row>
    <row r="265" spans="1:14" x14ac:dyDescent="0.25">
      <c r="A265" t="s">
        <v>33</v>
      </c>
      <c r="B265" s="1">
        <v>32</v>
      </c>
      <c r="C265" s="1">
        <v>-5</v>
      </c>
      <c r="D265">
        <v>5</v>
      </c>
      <c r="E265" t="s">
        <v>23</v>
      </c>
      <c r="F265" t="s">
        <v>30</v>
      </c>
      <c r="G265" t="s">
        <v>28</v>
      </c>
      <c r="H265">
        <f>IF(Table_Sales[[#This Row],[profit]]&lt;0,1,0)</f>
        <v>1</v>
      </c>
      <c r="I265" t="str" cm="1">
        <f t="array" ref="I265">_xlfn.IFS(Table_Sales[[#This Row],[quantity]]&lt;=3,"1-3",Table_Sales[[#This Row],[quantity]]&lt;=7,"2-7",Table_Sales[[#This Row],[quantity]]&lt;=10,"8-10",TRUE,"11 and above")</f>
        <v>2-7</v>
      </c>
      <c r="J265" t="str" cm="1">
        <f t="array" ref="J265">_xlfn.IFS(Table_Sales[[#This Row],[amount]]&lt;1000,"Under 1000",Table_Sales[[#This Row],[amount]]&lt;3000,"1000 - 2999",Table_Sales[[#This Row],[amount]]&lt;5000,"3000 - 4999",TRUE,"5000 &amp; above")</f>
        <v>Under 1000</v>
      </c>
      <c r="K265">
        <f>IF(COUNTIFS(INDEX(Table_Sales[order_id],1):Table_Sales[[#This Row],[order_id]],Table_Sales[[#This Row],[order_id]])=1,1,0)</f>
        <v>0</v>
      </c>
      <c r="L26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265" t="str">
        <v>B-25913</v>
      </c>
    </row>
    <row r="266" spans="1:14" x14ac:dyDescent="0.25">
      <c r="A266" t="s">
        <v>232</v>
      </c>
      <c r="B266" s="1">
        <v>510</v>
      </c>
      <c r="C266" s="1">
        <v>234</v>
      </c>
      <c r="D266">
        <v>6</v>
      </c>
      <c r="E266" t="s">
        <v>8</v>
      </c>
      <c r="F266" t="s">
        <v>9</v>
      </c>
      <c r="G266" t="s">
        <v>14</v>
      </c>
      <c r="H266">
        <f>IF(Table_Sales[[#This Row],[profit]]&lt;0,1,0)</f>
        <v>0</v>
      </c>
      <c r="I266" t="str" cm="1">
        <f t="array" ref="I266">_xlfn.IFS(Table_Sales[[#This Row],[quantity]]&lt;=3,"1-3",Table_Sales[[#This Row],[quantity]]&lt;=7,"2-7",Table_Sales[[#This Row],[quantity]]&lt;=10,"8-10",TRUE,"11 and above")</f>
        <v>2-7</v>
      </c>
      <c r="J266" t="str" cm="1">
        <f t="array" ref="J266">_xlfn.IFS(Table_Sales[[#This Row],[amount]]&lt;1000,"Under 1000",Table_Sales[[#This Row],[amount]]&lt;3000,"1000 - 2999",Table_Sales[[#This Row],[amount]]&lt;5000,"3000 - 4999",TRUE,"5000 &amp; above")</f>
        <v>Under 1000</v>
      </c>
      <c r="K266">
        <f>IF(COUNTIFS(INDEX(Table_Sales[order_id],1):Table_Sales[[#This Row],[order_id]],Table_Sales[[#This Row],[order_id]])=1,1,0)</f>
        <v>1</v>
      </c>
      <c r="L26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266" t="str">
        <v>B-26020</v>
      </c>
    </row>
    <row r="267" spans="1:14" x14ac:dyDescent="0.25">
      <c r="A267" t="s">
        <v>233</v>
      </c>
      <c r="B267" s="1">
        <v>382</v>
      </c>
      <c r="C267" s="1">
        <v>68</v>
      </c>
      <c r="D267">
        <v>3</v>
      </c>
      <c r="E267" t="s">
        <v>23</v>
      </c>
      <c r="F267" t="s">
        <v>26</v>
      </c>
      <c r="G267" t="s">
        <v>10</v>
      </c>
      <c r="H267">
        <f>IF(Table_Sales[[#This Row],[profit]]&lt;0,1,0)</f>
        <v>0</v>
      </c>
      <c r="I267" t="str" cm="1">
        <f t="array" ref="I267">_xlfn.IFS(Table_Sales[[#This Row],[quantity]]&lt;=3,"1-3",Table_Sales[[#This Row],[quantity]]&lt;=7,"2-7",Table_Sales[[#This Row],[quantity]]&lt;=10,"8-10",TRUE,"11 and above")</f>
        <v>1-3</v>
      </c>
      <c r="J267" t="str" cm="1">
        <f t="array" ref="J267">_xlfn.IFS(Table_Sales[[#This Row],[amount]]&lt;1000,"Under 1000",Table_Sales[[#This Row],[amount]]&lt;3000,"1000 - 2999",Table_Sales[[#This Row],[amount]]&lt;5000,"3000 - 4999",TRUE,"5000 &amp; above")</f>
        <v>Under 1000</v>
      </c>
      <c r="K267">
        <f>IF(COUNTIFS(INDEX(Table_Sales[order_id],1):Table_Sales[[#This Row],[order_id]],Table_Sales[[#This Row],[order_id]])=1,1,0)</f>
        <v>1</v>
      </c>
      <c r="L26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267" t="str">
        <v>B-26083</v>
      </c>
    </row>
    <row r="268" spans="1:14" x14ac:dyDescent="0.25">
      <c r="A268" t="s">
        <v>115</v>
      </c>
      <c r="B268" s="1">
        <v>33</v>
      </c>
      <c r="C268" s="1">
        <v>13</v>
      </c>
      <c r="D268">
        <v>3</v>
      </c>
      <c r="E268" t="s">
        <v>23</v>
      </c>
      <c r="F268" t="s">
        <v>63</v>
      </c>
      <c r="G268" t="s">
        <v>28</v>
      </c>
      <c r="H268">
        <f>IF(Table_Sales[[#This Row],[profit]]&lt;0,1,0)</f>
        <v>0</v>
      </c>
      <c r="I268" t="str" cm="1">
        <f t="array" ref="I268">_xlfn.IFS(Table_Sales[[#This Row],[quantity]]&lt;=3,"1-3",Table_Sales[[#This Row],[quantity]]&lt;=7,"2-7",Table_Sales[[#This Row],[quantity]]&lt;=10,"8-10",TRUE,"11 and above")</f>
        <v>1-3</v>
      </c>
      <c r="J268" t="str" cm="1">
        <f t="array" ref="J268">_xlfn.IFS(Table_Sales[[#This Row],[amount]]&lt;1000,"Under 1000",Table_Sales[[#This Row],[amount]]&lt;3000,"1000 - 2999",Table_Sales[[#This Row],[amount]]&lt;5000,"3000 - 4999",TRUE,"5000 &amp; above")</f>
        <v>Under 1000</v>
      </c>
      <c r="K268">
        <f>IF(COUNTIFS(INDEX(Table_Sales[order_id],1):Table_Sales[[#This Row],[order_id]],Table_Sales[[#This Row],[order_id]])=1,1,0)</f>
        <v>0</v>
      </c>
      <c r="L26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268" t="str">
        <v>B-25625</v>
      </c>
    </row>
    <row r="269" spans="1:14" x14ac:dyDescent="0.25">
      <c r="A269" t="s">
        <v>53</v>
      </c>
      <c r="B269" s="1">
        <v>381</v>
      </c>
      <c r="C269" s="1">
        <v>-13</v>
      </c>
      <c r="D269">
        <v>2</v>
      </c>
      <c r="E269" t="s">
        <v>23</v>
      </c>
      <c r="F269" t="s">
        <v>26</v>
      </c>
      <c r="G269" t="s">
        <v>10</v>
      </c>
      <c r="H269">
        <f>IF(Table_Sales[[#This Row],[profit]]&lt;0,1,0)</f>
        <v>1</v>
      </c>
      <c r="I269" t="str" cm="1">
        <f t="array" ref="I269">_xlfn.IFS(Table_Sales[[#This Row],[quantity]]&lt;=3,"1-3",Table_Sales[[#This Row],[quantity]]&lt;=7,"2-7",Table_Sales[[#This Row],[quantity]]&lt;=10,"8-10",TRUE,"11 and above")</f>
        <v>1-3</v>
      </c>
      <c r="J269" t="str" cm="1">
        <f t="array" ref="J269">_xlfn.IFS(Table_Sales[[#This Row],[amount]]&lt;1000,"Under 1000",Table_Sales[[#This Row],[amount]]&lt;3000,"1000 - 2999",Table_Sales[[#This Row],[amount]]&lt;5000,"3000 - 4999",TRUE,"5000 &amp; above")</f>
        <v>Under 1000</v>
      </c>
      <c r="K269">
        <f>IF(COUNTIFS(INDEX(Table_Sales[order_id],1):Table_Sales[[#This Row],[order_id]],Table_Sales[[#This Row],[order_id]])=1,1,0)</f>
        <v>0</v>
      </c>
      <c r="L26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269" t="str">
        <v>B-26010</v>
      </c>
    </row>
    <row r="270" spans="1:14" x14ac:dyDescent="0.25">
      <c r="A270" t="s">
        <v>88</v>
      </c>
      <c r="B270" s="1">
        <v>490</v>
      </c>
      <c r="C270" s="1">
        <v>88</v>
      </c>
      <c r="D270">
        <v>2</v>
      </c>
      <c r="E270" t="s">
        <v>8</v>
      </c>
      <c r="F270" t="s">
        <v>73</v>
      </c>
      <c r="G270" t="s">
        <v>14</v>
      </c>
      <c r="H270">
        <f>IF(Table_Sales[[#This Row],[profit]]&lt;0,1,0)</f>
        <v>0</v>
      </c>
      <c r="I270" t="str" cm="1">
        <f t="array" ref="I270">_xlfn.IFS(Table_Sales[[#This Row],[quantity]]&lt;=3,"1-3",Table_Sales[[#This Row],[quantity]]&lt;=7,"2-7",Table_Sales[[#This Row],[quantity]]&lt;=10,"8-10",TRUE,"11 and above")</f>
        <v>1-3</v>
      </c>
      <c r="J270" t="str" cm="1">
        <f t="array" ref="J270">_xlfn.IFS(Table_Sales[[#This Row],[amount]]&lt;1000,"Under 1000",Table_Sales[[#This Row],[amount]]&lt;3000,"1000 - 2999",Table_Sales[[#This Row],[amount]]&lt;5000,"3000 - 4999",TRUE,"5000 &amp; above")</f>
        <v>Under 1000</v>
      </c>
      <c r="K270">
        <f>IF(COUNTIFS(INDEX(Table_Sales[order_id],1):Table_Sales[[#This Row],[order_id]],Table_Sales[[#This Row],[order_id]])=1,1,0)</f>
        <v>0</v>
      </c>
      <c r="L27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270" t="str">
        <v>B-25979</v>
      </c>
    </row>
    <row r="271" spans="1:14" x14ac:dyDescent="0.25">
      <c r="A271" t="s">
        <v>234</v>
      </c>
      <c r="B271" s="1">
        <v>381</v>
      </c>
      <c r="C271" s="1">
        <v>144</v>
      </c>
      <c r="D271">
        <v>2</v>
      </c>
      <c r="E271" t="s">
        <v>23</v>
      </c>
      <c r="F271" t="s">
        <v>26</v>
      </c>
      <c r="G271" t="s">
        <v>10</v>
      </c>
      <c r="H271">
        <f>IF(Table_Sales[[#This Row],[profit]]&lt;0,1,0)</f>
        <v>0</v>
      </c>
      <c r="I271" t="str" cm="1">
        <f t="array" ref="I271">_xlfn.IFS(Table_Sales[[#This Row],[quantity]]&lt;=3,"1-3",Table_Sales[[#This Row],[quantity]]&lt;=7,"2-7",Table_Sales[[#This Row],[quantity]]&lt;=10,"8-10",TRUE,"11 and above")</f>
        <v>1-3</v>
      </c>
      <c r="J271" t="str" cm="1">
        <f t="array" ref="J271">_xlfn.IFS(Table_Sales[[#This Row],[amount]]&lt;1000,"Under 1000",Table_Sales[[#This Row],[amount]]&lt;3000,"1000 - 2999",Table_Sales[[#This Row],[amount]]&lt;5000,"3000 - 4999",TRUE,"5000 &amp; above")</f>
        <v>Under 1000</v>
      </c>
      <c r="K271">
        <f>IF(COUNTIFS(INDEX(Table_Sales[order_id],1):Table_Sales[[#This Row],[order_id]],Table_Sales[[#This Row],[order_id]])=1,1,0)</f>
        <v>1</v>
      </c>
      <c r="L27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271" t="str">
        <v>B-26002</v>
      </c>
    </row>
    <row r="272" spans="1:14" x14ac:dyDescent="0.25">
      <c r="A272" t="s">
        <v>230</v>
      </c>
      <c r="B272" s="1">
        <v>487</v>
      </c>
      <c r="C272" s="1">
        <v>143</v>
      </c>
      <c r="D272">
        <v>4</v>
      </c>
      <c r="E272" t="s">
        <v>8</v>
      </c>
      <c r="F272" t="s">
        <v>21</v>
      </c>
      <c r="G272" t="s">
        <v>14</v>
      </c>
      <c r="H272">
        <f>IF(Table_Sales[[#This Row],[profit]]&lt;0,1,0)</f>
        <v>0</v>
      </c>
      <c r="I272" t="str" cm="1">
        <f t="array" ref="I272">_xlfn.IFS(Table_Sales[[#This Row],[quantity]]&lt;=3,"1-3",Table_Sales[[#This Row],[quantity]]&lt;=7,"2-7",Table_Sales[[#This Row],[quantity]]&lt;=10,"8-10",TRUE,"11 and above")</f>
        <v>2-7</v>
      </c>
      <c r="J272" t="str" cm="1">
        <f t="array" ref="J272">_xlfn.IFS(Table_Sales[[#This Row],[amount]]&lt;1000,"Under 1000",Table_Sales[[#This Row],[amount]]&lt;3000,"1000 - 2999",Table_Sales[[#This Row],[amount]]&lt;5000,"3000 - 4999",TRUE,"5000 &amp; above")</f>
        <v>Under 1000</v>
      </c>
      <c r="K272">
        <f>IF(COUNTIFS(INDEX(Table_Sales[order_id],1):Table_Sales[[#This Row],[order_id]],Table_Sales[[#This Row],[order_id]])=1,1,0)</f>
        <v>0</v>
      </c>
      <c r="L27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272" t="str">
        <v>B-26084</v>
      </c>
    </row>
    <row r="273" spans="1:14" x14ac:dyDescent="0.25">
      <c r="A273" t="s">
        <v>209</v>
      </c>
      <c r="B273" s="1">
        <v>366</v>
      </c>
      <c r="C273" s="1">
        <v>84</v>
      </c>
      <c r="D273">
        <v>3</v>
      </c>
      <c r="E273" t="s">
        <v>12</v>
      </c>
      <c r="F273" t="s">
        <v>16</v>
      </c>
      <c r="G273" t="s">
        <v>10</v>
      </c>
      <c r="H273">
        <f>IF(Table_Sales[[#This Row],[profit]]&lt;0,1,0)</f>
        <v>0</v>
      </c>
      <c r="I273" t="str" cm="1">
        <f t="array" ref="I273">_xlfn.IFS(Table_Sales[[#This Row],[quantity]]&lt;=3,"1-3",Table_Sales[[#This Row],[quantity]]&lt;=7,"2-7",Table_Sales[[#This Row],[quantity]]&lt;=10,"8-10",TRUE,"11 and above")</f>
        <v>1-3</v>
      </c>
      <c r="J273" t="str" cm="1">
        <f t="array" ref="J273">_xlfn.IFS(Table_Sales[[#This Row],[amount]]&lt;1000,"Under 1000",Table_Sales[[#This Row],[amount]]&lt;3000,"1000 - 2999",Table_Sales[[#This Row],[amount]]&lt;5000,"3000 - 4999",TRUE,"5000 &amp; above")</f>
        <v>Under 1000</v>
      </c>
      <c r="K273">
        <f>IF(COUNTIFS(INDEX(Table_Sales[order_id],1):Table_Sales[[#This Row],[order_id]],Table_Sales[[#This Row],[order_id]])=1,1,0)</f>
        <v>0</v>
      </c>
      <c r="L27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273" t="str">
        <v>B-25998</v>
      </c>
    </row>
    <row r="274" spans="1:14" x14ac:dyDescent="0.25">
      <c r="A274" t="s">
        <v>210</v>
      </c>
      <c r="B274" s="1">
        <v>33</v>
      </c>
      <c r="C274" s="1">
        <v>-29</v>
      </c>
      <c r="D274">
        <v>3</v>
      </c>
      <c r="E274" t="s">
        <v>23</v>
      </c>
      <c r="F274" t="s">
        <v>142</v>
      </c>
      <c r="G274" t="s">
        <v>28</v>
      </c>
      <c r="H274">
        <f>IF(Table_Sales[[#This Row],[profit]]&lt;0,1,0)</f>
        <v>1</v>
      </c>
      <c r="I274" t="str" cm="1">
        <f t="array" ref="I274">_xlfn.IFS(Table_Sales[[#This Row],[quantity]]&lt;=3,"1-3",Table_Sales[[#This Row],[quantity]]&lt;=7,"2-7",Table_Sales[[#This Row],[quantity]]&lt;=10,"8-10",TRUE,"11 and above")</f>
        <v>1-3</v>
      </c>
      <c r="J274" t="str" cm="1">
        <f t="array" ref="J274">_xlfn.IFS(Table_Sales[[#This Row],[amount]]&lt;1000,"Under 1000",Table_Sales[[#This Row],[amount]]&lt;3000,"1000 - 2999",Table_Sales[[#This Row],[amount]]&lt;5000,"3000 - 4999",TRUE,"5000 &amp; above")</f>
        <v>Under 1000</v>
      </c>
      <c r="K274">
        <f>IF(COUNTIFS(INDEX(Table_Sales[order_id],1):Table_Sales[[#This Row],[order_id]],Table_Sales[[#This Row],[order_id]])=1,1,0)</f>
        <v>0</v>
      </c>
      <c r="L27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274" t="str">
        <v>B-25872</v>
      </c>
    </row>
    <row r="275" spans="1:14" x14ac:dyDescent="0.25">
      <c r="A275" t="s">
        <v>136</v>
      </c>
      <c r="B275" s="1">
        <v>365</v>
      </c>
      <c r="C275" s="1">
        <v>107</v>
      </c>
      <c r="D275">
        <v>3</v>
      </c>
      <c r="E275" t="s">
        <v>8</v>
      </c>
      <c r="F275" t="s">
        <v>21</v>
      </c>
      <c r="G275" t="s">
        <v>10</v>
      </c>
      <c r="H275">
        <f>IF(Table_Sales[[#This Row],[profit]]&lt;0,1,0)</f>
        <v>0</v>
      </c>
      <c r="I275" t="str" cm="1">
        <f t="array" ref="I275">_xlfn.IFS(Table_Sales[[#This Row],[quantity]]&lt;=3,"1-3",Table_Sales[[#This Row],[quantity]]&lt;=7,"2-7",Table_Sales[[#This Row],[quantity]]&lt;=10,"8-10",TRUE,"11 and above")</f>
        <v>1-3</v>
      </c>
      <c r="J275" t="str" cm="1">
        <f t="array" ref="J275">_xlfn.IFS(Table_Sales[[#This Row],[amount]]&lt;1000,"Under 1000",Table_Sales[[#This Row],[amount]]&lt;3000,"1000 - 2999",Table_Sales[[#This Row],[amount]]&lt;5000,"3000 - 4999",TRUE,"5000 &amp; above")</f>
        <v>Under 1000</v>
      </c>
      <c r="K275">
        <f>IF(COUNTIFS(INDEX(Table_Sales[order_id],1):Table_Sales[[#This Row],[order_id]],Table_Sales[[#This Row],[order_id]])=1,1,0)</f>
        <v>0</v>
      </c>
      <c r="L27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275" t="str">
        <v>B-25795</v>
      </c>
    </row>
    <row r="276" spans="1:14" x14ac:dyDescent="0.25">
      <c r="A276" t="s">
        <v>219</v>
      </c>
      <c r="B276" s="1">
        <v>207</v>
      </c>
      <c r="C276" s="1">
        <v>-100</v>
      </c>
      <c r="D276">
        <v>2</v>
      </c>
      <c r="E276" t="s">
        <v>23</v>
      </c>
      <c r="F276" t="s">
        <v>26</v>
      </c>
      <c r="G276" t="s">
        <v>28</v>
      </c>
      <c r="H276">
        <f>IF(Table_Sales[[#This Row],[profit]]&lt;0,1,0)</f>
        <v>1</v>
      </c>
      <c r="I276" t="str" cm="1">
        <f t="array" ref="I276">_xlfn.IFS(Table_Sales[[#This Row],[quantity]]&lt;=3,"1-3",Table_Sales[[#This Row],[quantity]]&lt;=7,"2-7",Table_Sales[[#This Row],[quantity]]&lt;=10,"8-10",TRUE,"11 and above")</f>
        <v>1-3</v>
      </c>
      <c r="J276" t="str" cm="1">
        <f t="array" ref="J276">_xlfn.IFS(Table_Sales[[#This Row],[amount]]&lt;1000,"Under 1000",Table_Sales[[#This Row],[amount]]&lt;3000,"1000 - 2999",Table_Sales[[#This Row],[amount]]&lt;5000,"3000 - 4999",TRUE,"5000 &amp; above")</f>
        <v>Under 1000</v>
      </c>
      <c r="K276">
        <f>IF(COUNTIFS(INDEX(Table_Sales[order_id],1):Table_Sales[[#This Row],[order_id]],Table_Sales[[#This Row],[order_id]])=1,1,0)</f>
        <v>0</v>
      </c>
      <c r="L27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276" t="str">
        <v>B-25902</v>
      </c>
    </row>
    <row r="277" spans="1:14" x14ac:dyDescent="0.25">
      <c r="A277" t="s">
        <v>200</v>
      </c>
      <c r="B277" s="1">
        <v>359</v>
      </c>
      <c r="C277" s="1">
        <v>-338</v>
      </c>
      <c r="D277">
        <v>5</v>
      </c>
      <c r="E277" t="s">
        <v>12</v>
      </c>
      <c r="F277" t="s">
        <v>16</v>
      </c>
      <c r="G277" t="s">
        <v>10</v>
      </c>
      <c r="H277">
        <f>IF(Table_Sales[[#This Row],[profit]]&lt;0,1,0)</f>
        <v>1</v>
      </c>
      <c r="I277" t="str" cm="1">
        <f t="array" ref="I277">_xlfn.IFS(Table_Sales[[#This Row],[quantity]]&lt;=3,"1-3",Table_Sales[[#This Row],[quantity]]&lt;=7,"2-7",Table_Sales[[#This Row],[quantity]]&lt;=10,"8-10",TRUE,"11 and above")</f>
        <v>2-7</v>
      </c>
      <c r="J277" t="str" cm="1">
        <f t="array" ref="J277">_xlfn.IFS(Table_Sales[[#This Row],[amount]]&lt;1000,"Under 1000",Table_Sales[[#This Row],[amount]]&lt;3000,"1000 - 2999",Table_Sales[[#This Row],[amount]]&lt;5000,"3000 - 4999",TRUE,"5000 &amp; above")</f>
        <v>Under 1000</v>
      </c>
      <c r="K277">
        <f>IF(COUNTIFS(INDEX(Table_Sales[order_id],1):Table_Sales[[#This Row],[order_id]],Table_Sales[[#This Row],[order_id]])=1,1,0)</f>
        <v>0</v>
      </c>
      <c r="L27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277" t="str">
        <v>B-25793</v>
      </c>
    </row>
    <row r="278" spans="1:14" x14ac:dyDescent="0.25">
      <c r="A278" t="s">
        <v>135</v>
      </c>
      <c r="B278" s="1">
        <v>351</v>
      </c>
      <c r="C278" s="1">
        <v>-47</v>
      </c>
      <c r="D278">
        <v>8</v>
      </c>
      <c r="E278" t="s">
        <v>8</v>
      </c>
      <c r="F278" t="s">
        <v>21</v>
      </c>
      <c r="G278" t="s">
        <v>10</v>
      </c>
      <c r="H278">
        <f>IF(Table_Sales[[#This Row],[profit]]&lt;0,1,0)</f>
        <v>1</v>
      </c>
      <c r="I278" t="str" cm="1">
        <f t="array" ref="I278">_xlfn.IFS(Table_Sales[[#This Row],[quantity]]&lt;=3,"1-3",Table_Sales[[#This Row],[quantity]]&lt;=7,"2-7",Table_Sales[[#This Row],[quantity]]&lt;=10,"8-10",TRUE,"11 and above")</f>
        <v>8-10</v>
      </c>
      <c r="J278" t="str" cm="1">
        <f t="array" ref="J278">_xlfn.IFS(Table_Sales[[#This Row],[amount]]&lt;1000,"Under 1000",Table_Sales[[#This Row],[amount]]&lt;3000,"1000 - 2999",Table_Sales[[#This Row],[amount]]&lt;5000,"3000 - 4999",TRUE,"5000 &amp; above")</f>
        <v>Under 1000</v>
      </c>
      <c r="K278">
        <f>IF(COUNTIFS(INDEX(Table_Sales[order_id],1):Table_Sales[[#This Row],[order_id]],Table_Sales[[#This Row],[order_id]])=1,1,0)</f>
        <v>0</v>
      </c>
      <c r="L27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278" t="str">
        <v>B-25652</v>
      </c>
    </row>
    <row r="279" spans="1:14" x14ac:dyDescent="0.25">
      <c r="A279" t="s">
        <v>111</v>
      </c>
      <c r="B279" s="1">
        <v>485</v>
      </c>
      <c r="C279" s="1">
        <v>199</v>
      </c>
      <c r="D279">
        <v>4</v>
      </c>
      <c r="E279" t="s">
        <v>23</v>
      </c>
      <c r="F279" t="s">
        <v>26</v>
      </c>
      <c r="G279" t="s">
        <v>14</v>
      </c>
      <c r="H279">
        <f>IF(Table_Sales[[#This Row],[profit]]&lt;0,1,0)</f>
        <v>0</v>
      </c>
      <c r="I279" t="str" cm="1">
        <f t="array" ref="I279">_xlfn.IFS(Table_Sales[[#This Row],[quantity]]&lt;=3,"1-3",Table_Sales[[#This Row],[quantity]]&lt;=7,"2-7",Table_Sales[[#This Row],[quantity]]&lt;=10,"8-10",TRUE,"11 and above")</f>
        <v>2-7</v>
      </c>
      <c r="J279" t="str" cm="1">
        <f t="array" ref="J279">_xlfn.IFS(Table_Sales[[#This Row],[amount]]&lt;1000,"Under 1000",Table_Sales[[#This Row],[amount]]&lt;3000,"1000 - 2999",Table_Sales[[#This Row],[amount]]&lt;5000,"3000 - 4999",TRUE,"5000 &amp; above")</f>
        <v>Under 1000</v>
      </c>
      <c r="K279">
        <f>IF(COUNTIFS(INDEX(Table_Sales[order_id],1):Table_Sales[[#This Row],[order_id]],Table_Sales[[#This Row],[order_id]])=1,1,0)</f>
        <v>0</v>
      </c>
      <c r="L27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279" t="str">
        <v>B-26018</v>
      </c>
    </row>
    <row r="280" spans="1:14" x14ac:dyDescent="0.25">
      <c r="A280" t="s">
        <v>29</v>
      </c>
      <c r="B280" s="1">
        <v>37</v>
      </c>
      <c r="C280" s="1">
        <v>-23</v>
      </c>
      <c r="D280">
        <v>4</v>
      </c>
      <c r="E280" t="s">
        <v>23</v>
      </c>
      <c r="F280" t="s">
        <v>142</v>
      </c>
      <c r="G280" t="s">
        <v>28</v>
      </c>
      <c r="H280">
        <f>IF(Table_Sales[[#This Row],[profit]]&lt;0,1,0)</f>
        <v>1</v>
      </c>
      <c r="I280" t="str" cm="1">
        <f t="array" ref="I280">_xlfn.IFS(Table_Sales[[#This Row],[quantity]]&lt;=3,"1-3",Table_Sales[[#This Row],[quantity]]&lt;=7,"2-7",Table_Sales[[#This Row],[quantity]]&lt;=10,"8-10",TRUE,"11 and above")</f>
        <v>2-7</v>
      </c>
      <c r="J280" t="str" cm="1">
        <f t="array" ref="J280">_xlfn.IFS(Table_Sales[[#This Row],[amount]]&lt;1000,"Under 1000",Table_Sales[[#This Row],[amount]]&lt;3000,"1000 - 2999",Table_Sales[[#This Row],[amount]]&lt;5000,"3000 - 4999",TRUE,"5000 &amp; above")</f>
        <v>Under 1000</v>
      </c>
      <c r="K280">
        <f>IF(COUNTIFS(INDEX(Table_Sales[order_id],1):Table_Sales[[#This Row],[order_id]],Table_Sales[[#This Row],[order_id]])=1,1,0)</f>
        <v>0</v>
      </c>
      <c r="L28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280" t="str">
        <v>B-25823</v>
      </c>
    </row>
    <row r="281" spans="1:14" x14ac:dyDescent="0.25">
      <c r="A281" t="s">
        <v>116</v>
      </c>
      <c r="B281" s="1">
        <v>34</v>
      </c>
      <c r="C281" s="1">
        <v>10</v>
      </c>
      <c r="D281">
        <v>2</v>
      </c>
      <c r="E281" t="s">
        <v>23</v>
      </c>
      <c r="F281" t="s">
        <v>81</v>
      </c>
      <c r="G281" t="s">
        <v>82</v>
      </c>
      <c r="H281">
        <f>IF(Table_Sales[[#This Row],[profit]]&lt;0,1,0)</f>
        <v>0</v>
      </c>
      <c r="I281" t="str" cm="1">
        <f t="array" ref="I281">_xlfn.IFS(Table_Sales[[#This Row],[quantity]]&lt;=3,"1-3",Table_Sales[[#This Row],[quantity]]&lt;=7,"2-7",Table_Sales[[#This Row],[quantity]]&lt;=10,"8-10",TRUE,"11 and above")</f>
        <v>1-3</v>
      </c>
      <c r="J281" t="str" cm="1">
        <f t="array" ref="J281">_xlfn.IFS(Table_Sales[[#This Row],[amount]]&lt;1000,"Under 1000",Table_Sales[[#This Row],[amount]]&lt;3000,"1000 - 2999",Table_Sales[[#This Row],[amount]]&lt;5000,"3000 - 4999",TRUE,"5000 &amp; above")</f>
        <v>Under 1000</v>
      </c>
      <c r="K281">
        <f>IF(COUNTIFS(INDEX(Table_Sales[order_id],1):Table_Sales[[#This Row],[order_id]],Table_Sales[[#This Row],[order_id]])=1,1,0)</f>
        <v>0</v>
      </c>
      <c r="L28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281" t="str">
        <v>B-25994</v>
      </c>
    </row>
    <row r="282" spans="1:14" x14ac:dyDescent="0.25">
      <c r="A282" t="s">
        <v>235</v>
      </c>
      <c r="B282" s="1">
        <v>346</v>
      </c>
      <c r="C282" s="1">
        <v>108</v>
      </c>
      <c r="D282">
        <v>3</v>
      </c>
      <c r="E282" t="s">
        <v>12</v>
      </c>
      <c r="F282" t="s">
        <v>13</v>
      </c>
      <c r="G282" t="s">
        <v>10</v>
      </c>
      <c r="H282">
        <f>IF(Table_Sales[[#This Row],[profit]]&lt;0,1,0)</f>
        <v>0</v>
      </c>
      <c r="I282" t="str" cm="1">
        <f t="array" ref="I282">_xlfn.IFS(Table_Sales[[#This Row],[quantity]]&lt;=3,"1-3",Table_Sales[[#This Row],[quantity]]&lt;=7,"2-7",Table_Sales[[#This Row],[quantity]]&lt;=10,"8-10",TRUE,"11 and above")</f>
        <v>1-3</v>
      </c>
      <c r="J282" t="str" cm="1">
        <f t="array" ref="J282">_xlfn.IFS(Table_Sales[[#This Row],[amount]]&lt;1000,"Under 1000",Table_Sales[[#This Row],[amount]]&lt;3000,"1000 - 2999",Table_Sales[[#This Row],[amount]]&lt;5000,"3000 - 4999",TRUE,"5000 &amp; above")</f>
        <v>Under 1000</v>
      </c>
      <c r="K282">
        <f>IF(COUNTIFS(INDEX(Table_Sales[order_id],1):Table_Sales[[#This Row],[order_id]],Table_Sales[[#This Row],[order_id]])=1,1,0)</f>
        <v>1</v>
      </c>
      <c r="L28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282" t="str">
        <v>B-25863</v>
      </c>
    </row>
    <row r="283" spans="1:14" x14ac:dyDescent="0.25">
      <c r="A283" t="s">
        <v>158</v>
      </c>
      <c r="B283" s="1">
        <v>342</v>
      </c>
      <c r="C283" s="1">
        <v>-103</v>
      </c>
      <c r="D283">
        <v>4</v>
      </c>
      <c r="E283" t="s">
        <v>8</v>
      </c>
      <c r="F283" t="s">
        <v>9</v>
      </c>
      <c r="G283" t="s">
        <v>10</v>
      </c>
      <c r="H283">
        <f>IF(Table_Sales[[#This Row],[profit]]&lt;0,1,0)</f>
        <v>1</v>
      </c>
      <c r="I283" t="str" cm="1">
        <f t="array" ref="I283">_xlfn.IFS(Table_Sales[[#This Row],[quantity]]&lt;=3,"1-3",Table_Sales[[#This Row],[quantity]]&lt;=7,"2-7",Table_Sales[[#This Row],[quantity]]&lt;=10,"8-10",TRUE,"11 and above")</f>
        <v>2-7</v>
      </c>
      <c r="J283" t="str" cm="1">
        <f t="array" ref="J283">_xlfn.IFS(Table_Sales[[#This Row],[amount]]&lt;1000,"Under 1000",Table_Sales[[#This Row],[amount]]&lt;3000,"1000 - 2999",Table_Sales[[#This Row],[amount]]&lt;5000,"3000 - 4999",TRUE,"5000 &amp; above")</f>
        <v>Under 1000</v>
      </c>
      <c r="K283">
        <f>IF(COUNTIFS(INDEX(Table_Sales[order_id],1):Table_Sales[[#This Row],[order_id]],Table_Sales[[#This Row],[order_id]])=1,1,0)</f>
        <v>0</v>
      </c>
      <c r="L28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283" t="str">
        <v>B-25680</v>
      </c>
    </row>
    <row r="284" spans="1:14" x14ac:dyDescent="0.25">
      <c r="A284" t="s">
        <v>236</v>
      </c>
      <c r="B284" s="1">
        <v>35</v>
      </c>
      <c r="C284" s="1">
        <v>-8</v>
      </c>
      <c r="D284">
        <v>2</v>
      </c>
      <c r="E284" t="s">
        <v>12</v>
      </c>
      <c r="F284" t="s">
        <v>131</v>
      </c>
      <c r="G284" t="s">
        <v>82</v>
      </c>
      <c r="H284">
        <f>IF(Table_Sales[[#This Row],[profit]]&lt;0,1,0)</f>
        <v>1</v>
      </c>
      <c r="I284" t="str" cm="1">
        <f t="array" ref="I284">_xlfn.IFS(Table_Sales[[#This Row],[quantity]]&lt;=3,"1-3",Table_Sales[[#This Row],[quantity]]&lt;=7,"2-7",Table_Sales[[#This Row],[quantity]]&lt;=10,"8-10",TRUE,"11 and above")</f>
        <v>1-3</v>
      </c>
      <c r="J284" t="str" cm="1">
        <f t="array" ref="J284">_xlfn.IFS(Table_Sales[[#This Row],[amount]]&lt;1000,"Under 1000",Table_Sales[[#This Row],[amount]]&lt;3000,"1000 - 2999",Table_Sales[[#This Row],[amount]]&lt;5000,"3000 - 4999",TRUE,"5000 &amp; above")</f>
        <v>Under 1000</v>
      </c>
      <c r="K284">
        <f>IF(COUNTIFS(INDEX(Table_Sales[order_id],1):Table_Sales[[#This Row],[order_id]],Table_Sales[[#This Row],[order_id]])=1,1,0)</f>
        <v>1</v>
      </c>
      <c r="L28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284" t="str">
        <v>B-25737</v>
      </c>
    </row>
    <row r="285" spans="1:14" x14ac:dyDescent="0.25">
      <c r="A285" t="s">
        <v>237</v>
      </c>
      <c r="B285" s="1">
        <v>121</v>
      </c>
      <c r="C285" s="1">
        <v>41</v>
      </c>
      <c r="D285">
        <v>4</v>
      </c>
      <c r="E285" t="s">
        <v>23</v>
      </c>
      <c r="F285" t="s">
        <v>57</v>
      </c>
      <c r="G285" t="s">
        <v>28</v>
      </c>
      <c r="H285">
        <f>IF(Table_Sales[[#This Row],[profit]]&lt;0,1,0)</f>
        <v>0</v>
      </c>
      <c r="I285" t="str" cm="1">
        <f t="array" ref="I285">_xlfn.IFS(Table_Sales[[#This Row],[quantity]]&lt;=3,"1-3",Table_Sales[[#This Row],[quantity]]&lt;=7,"2-7",Table_Sales[[#This Row],[quantity]]&lt;=10,"8-10",TRUE,"11 and above")</f>
        <v>2-7</v>
      </c>
      <c r="J285" t="str" cm="1">
        <f t="array" ref="J285">_xlfn.IFS(Table_Sales[[#This Row],[amount]]&lt;1000,"Under 1000",Table_Sales[[#This Row],[amount]]&lt;3000,"1000 - 2999",Table_Sales[[#This Row],[amount]]&lt;5000,"3000 - 4999",TRUE,"5000 &amp; above")</f>
        <v>Under 1000</v>
      </c>
      <c r="K285">
        <f>IF(COUNTIFS(INDEX(Table_Sales[order_id],1):Table_Sales[[#This Row],[order_id]],Table_Sales[[#This Row],[order_id]])=1,1,0)</f>
        <v>1</v>
      </c>
      <c r="L28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285" t="str">
        <v>B-25875</v>
      </c>
    </row>
    <row r="286" spans="1:14" x14ac:dyDescent="0.25">
      <c r="A286" t="s">
        <v>134</v>
      </c>
      <c r="B286" s="1">
        <v>336</v>
      </c>
      <c r="C286" s="1">
        <v>57</v>
      </c>
      <c r="D286">
        <v>2</v>
      </c>
      <c r="E286" t="s">
        <v>8</v>
      </c>
      <c r="F286" t="s">
        <v>21</v>
      </c>
      <c r="G286" t="s">
        <v>10</v>
      </c>
      <c r="H286">
        <f>IF(Table_Sales[[#This Row],[profit]]&lt;0,1,0)</f>
        <v>0</v>
      </c>
      <c r="I286" t="str" cm="1">
        <f t="array" ref="I286">_xlfn.IFS(Table_Sales[[#This Row],[quantity]]&lt;=3,"1-3",Table_Sales[[#This Row],[quantity]]&lt;=7,"2-7",Table_Sales[[#This Row],[quantity]]&lt;=10,"8-10",TRUE,"11 and above")</f>
        <v>1-3</v>
      </c>
      <c r="J286" t="str" cm="1">
        <f t="array" ref="J286">_xlfn.IFS(Table_Sales[[#This Row],[amount]]&lt;1000,"Under 1000",Table_Sales[[#This Row],[amount]]&lt;3000,"1000 - 2999",Table_Sales[[#This Row],[amount]]&lt;5000,"3000 - 4999",TRUE,"5000 &amp; above")</f>
        <v>Under 1000</v>
      </c>
      <c r="K286">
        <f>IF(COUNTIFS(INDEX(Table_Sales[order_id],1):Table_Sales[[#This Row],[order_id]],Table_Sales[[#This Row],[order_id]])=1,1,0)</f>
        <v>0</v>
      </c>
      <c r="L28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286" t="str">
        <v>B-26031</v>
      </c>
    </row>
    <row r="287" spans="1:14" x14ac:dyDescent="0.25">
      <c r="A287" t="s">
        <v>31</v>
      </c>
      <c r="B287" s="1">
        <v>336</v>
      </c>
      <c r="C287" s="1">
        <v>71</v>
      </c>
      <c r="D287">
        <v>3</v>
      </c>
      <c r="E287" t="s">
        <v>12</v>
      </c>
      <c r="F287" t="s">
        <v>16</v>
      </c>
      <c r="G287" t="s">
        <v>10</v>
      </c>
      <c r="H287">
        <f>IF(Table_Sales[[#This Row],[profit]]&lt;0,1,0)</f>
        <v>0</v>
      </c>
      <c r="I287" t="str" cm="1">
        <f t="array" ref="I287">_xlfn.IFS(Table_Sales[[#This Row],[quantity]]&lt;=3,"1-3",Table_Sales[[#This Row],[quantity]]&lt;=7,"2-7",Table_Sales[[#This Row],[quantity]]&lt;=10,"8-10",TRUE,"11 and above")</f>
        <v>1-3</v>
      </c>
      <c r="J287" t="str" cm="1">
        <f t="array" ref="J287">_xlfn.IFS(Table_Sales[[#This Row],[amount]]&lt;1000,"Under 1000",Table_Sales[[#This Row],[amount]]&lt;3000,"1000 - 2999",Table_Sales[[#This Row],[amount]]&lt;5000,"3000 - 4999",TRUE,"5000 &amp; above")</f>
        <v>Under 1000</v>
      </c>
      <c r="K287">
        <f>IF(COUNTIFS(INDEX(Table_Sales[order_id],1):Table_Sales[[#This Row],[order_id]],Table_Sales[[#This Row],[order_id]])=1,1,0)</f>
        <v>0</v>
      </c>
      <c r="L28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287" t="str">
        <v>B-25908</v>
      </c>
    </row>
    <row r="288" spans="1:14" x14ac:dyDescent="0.25">
      <c r="A288" t="s">
        <v>238</v>
      </c>
      <c r="B288" s="1">
        <v>27</v>
      </c>
      <c r="C288" s="1">
        <v>4</v>
      </c>
      <c r="D288">
        <v>1</v>
      </c>
      <c r="E288" t="s">
        <v>23</v>
      </c>
      <c r="F288" t="s">
        <v>30</v>
      </c>
      <c r="G288" t="s">
        <v>10</v>
      </c>
      <c r="H288">
        <f>IF(Table_Sales[[#This Row],[profit]]&lt;0,1,0)</f>
        <v>0</v>
      </c>
      <c r="I288" t="str" cm="1">
        <f t="array" ref="I288">_xlfn.IFS(Table_Sales[[#This Row],[quantity]]&lt;=3,"1-3",Table_Sales[[#This Row],[quantity]]&lt;=7,"2-7",Table_Sales[[#This Row],[quantity]]&lt;=10,"8-10",TRUE,"11 and above")</f>
        <v>1-3</v>
      </c>
      <c r="J288" t="str" cm="1">
        <f t="array" ref="J288">_xlfn.IFS(Table_Sales[[#This Row],[amount]]&lt;1000,"Under 1000",Table_Sales[[#This Row],[amount]]&lt;3000,"1000 - 2999",Table_Sales[[#This Row],[amount]]&lt;5000,"3000 - 4999",TRUE,"5000 &amp; above")</f>
        <v>Under 1000</v>
      </c>
      <c r="K288">
        <f>IF(COUNTIFS(INDEX(Table_Sales[order_id],1):Table_Sales[[#This Row],[order_id]],Table_Sales[[#This Row],[order_id]])=1,1,0)</f>
        <v>1</v>
      </c>
      <c r="L28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288" t="str">
        <v>B-26041</v>
      </c>
    </row>
    <row r="289" spans="1:14" x14ac:dyDescent="0.25">
      <c r="A289" t="s">
        <v>173</v>
      </c>
      <c r="B289" s="1">
        <v>333</v>
      </c>
      <c r="C289" s="1">
        <v>50</v>
      </c>
      <c r="D289">
        <v>2</v>
      </c>
      <c r="E289" t="s">
        <v>8</v>
      </c>
      <c r="F289" t="s">
        <v>21</v>
      </c>
      <c r="G289" t="s">
        <v>10</v>
      </c>
      <c r="H289">
        <f>IF(Table_Sales[[#This Row],[profit]]&lt;0,1,0)</f>
        <v>0</v>
      </c>
      <c r="I289" t="str" cm="1">
        <f t="array" ref="I289">_xlfn.IFS(Table_Sales[[#This Row],[quantity]]&lt;=3,"1-3",Table_Sales[[#This Row],[quantity]]&lt;=7,"2-7",Table_Sales[[#This Row],[quantity]]&lt;=10,"8-10",TRUE,"11 and above")</f>
        <v>1-3</v>
      </c>
      <c r="J289" t="str" cm="1">
        <f t="array" ref="J289">_xlfn.IFS(Table_Sales[[#This Row],[amount]]&lt;1000,"Under 1000",Table_Sales[[#This Row],[amount]]&lt;3000,"1000 - 2999",Table_Sales[[#This Row],[amount]]&lt;5000,"3000 - 4999",TRUE,"5000 &amp; above")</f>
        <v>Under 1000</v>
      </c>
      <c r="K289">
        <f>IF(COUNTIFS(INDEX(Table_Sales[order_id],1):Table_Sales[[#This Row],[order_id]],Table_Sales[[#This Row],[order_id]])=1,1,0)</f>
        <v>0</v>
      </c>
      <c r="L28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289" t="str">
        <v>B-25794</v>
      </c>
    </row>
    <row r="290" spans="1:14" x14ac:dyDescent="0.25">
      <c r="A290" t="s">
        <v>22</v>
      </c>
      <c r="B290" s="1">
        <v>36</v>
      </c>
      <c r="C290" s="1">
        <v>7</v>
      </c>
      <c r="D290">
        <v>3</v>
      </c>
      <c r="E290" t="s">
        <v>23</v>
      </c>
      <c r="F290" t="s">
        <v>63</v>
      </c>
      <c r="G290" t="s">
        <v>82</v>
      </c>
      <c r="H290">
        <f>IF(Table_Sales[[#This Row],[profit]]&lt;0,1,0)</f>
        <v>0</v>
      </c>
      <c r="I290" t="str" cm="1">
        <f t="array" ref="I290">_xlfn.IFS(Table_Sales[[#This Row],[quantity]]&lt;=3,"1-3",Table_Sales[[#This Row],[quantity]]&lt;=7,"2-7",Table_Sales[[#This Row],[quantity]]&lt;=10,"8-10",TRUE,"11 and above")</f>
        <v>1-3</v>
      </c>
      <c r="J290" t="str" cm="1">
        <f t="array" ref="J290">_xlfn.IFS(Table_Sales[[#This Row],[amount]]&lt;1000,"Under 1000",Table_Sales[[#This Row],[amount]]&lt;3000,"1000 - 2999",Table_Sales[[#This Row],[amount]]&lt;5000,"3000 - 4999",TRUE,"5000 &amp; above")</f>
        <v>Under 1000</v>
      </c>
      <c r="K290">
        <f>IF(COUNTIFS(INDEX(Table_Sales[order_id],1):Table_Sales[[#This Row],[order_id]],Table_Sales[[#This Row],[order_id]])=1,1,0)</f>
        <v>0</v>
      </c>
      <c r="L29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290" t="str">
        <v>B-25615</v>
      </c>
    </row>
    <row r="291" spans="1:14" x14ac:dyDescent="0.25">
      <c r="A291" t="s">
        <v>239</v>
      </c>
      <c r="B291" s="1">
        <v>333</v>
      </c>
      <c r="C291" s="1">
        <v>-15</v>
      </c>
      <c r="D291">
        <v>3</v>
      </c>
      <c r="E291" t="s">
        <v>8</v>
      </c>
      <c r="F291" t="s">
        <v>21</v>
      </c>
      <c r="G291" t="s">
        <v>10</v>
      </c>
      <c r="H291">
        <f>IF(Table_Sales[[#This Row],[profit]]&lt;0,1,0)</f>
        <v>1</v>
      </c>
      <c r="I291" t="str" cm="1">
        <f t="array" ref="I291">_xlfn.IFS(Table_Sales[[#This Row],[quantity]]&lt;=3,"1-3",Table_Sales[[#This Row],[quantity]]&lt;=7,"2-7",Table_Sales[[#This Row],[quantity]]&lt;=10,"8-10",TRUE,"11 and above")</f>
        <v>1-3</v>
      </c>
      <c r="J291" t="str" cm="1">
        <f t="array" ref="J291">_xlfn.IFS(Table_Sales[[#This Row],[amount]]&lt;1000,"Under 1000",Table_Sales[[#This Row],[amount]]&lt;3000,"1000 - 2999",Table_Sales[[#This Row],[amount]]&lt;5000,"3000 - 4999",TRUE,"5000 &amp; above")</f>
        <v>Under 1000</v>
      </c>
      <c r="K291">
        <f>IF(COUNTIFS(INDEX(Table_Sales[order_id],1):Table_Sales[[#This Row],[order_id]],Table_Sales[[#This Row],[order_id]])=1,1,0)</f>
        <v>1</v>
      </c>
      <c r="L29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291" t="str">
        <v>B-25997</v>
      </c>
    </row>
    <row r="292" spans="1:14" x14ac:dyDescent="0.25">
      <c r="A292" t="s">
        <v>240</v>
      </c>
      <c r="B292" s="1">
        <v>327</v>
      </c>
      <c r="C292" s="1">
        <v>114</v>
      </c>
      <c r="D292">
        <v>4</v>
      </c>
      <c r="E292" t="s">
        <v>23</v>
      </c>
      <c r="F292" t="s">
        <v>24</v>
      </c>
      <c r="G292" t="s">
        <v>10</v>
      </c>
      <c r="H292">
        <f>IF(Table_Sales[[#This Row],[profit]]&lt;0,1,0)</f>
        <v>0</v>
      </c>
      <c r="I292" t="str" cm="1">
        <f t="array" ref="I292">_xlfn.IFS(Table_Sales[[#This Row],[quantity]]&lt;=3,"1-3",Table_Sales[[#This Row],[quantity]]&lt;=7,"2-7",Table_Sales[[#This Row],[quantity]]&lt;=10,"8-10",TRUE,"11 and above")</f>
        <v>2-7</v>
      </c>
      <c r="J292" t="str" cm="1">
        <f t="array" ref="J292">_xlfn.IFS(Table_Sales[[#This Row],[amount]]&lt;1000,"Under 1000",Table_Sales[[#This Row],[amount]]&lt;3000,"1000 - 2999",Table_Sales[[#This Row],[amount]]&lt;5000,"3000 - 4999",TRUE,"5000 &amp; above")</f>
        <v>Under 1000</v>
      </c>
      <c r="K292">
        <f>IF(COUNTIFS(INDEX(Table_Sales[order_id],1):Table_Sales[[#This Row],[order_id]],Table_Sales[[#This Row],[order_id]])=1,1,0)</f>
        <v>1</v>
      </c>
      <c r="L29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292" t="str">
        <v>B-25990</v>
      </c>
    </row>
    <row r="293" spans="1:14" x14ac:dyDescent="0.25">
      <c r="A293" t="s">
        <v>241</v>
      </c>
      <c r="B293" s="1">
        <v>18</v>
      </c>
      <c r="C293" s="1">
        <v>6</v>
      </c>
      <c r="D293">
        <v>3</v>
      </c>
      <c r="E293" t="s">
        <v>23</v>
      </c>
      <c r="F293" t="s">
        <v>30</v>
      </c>
      <c r="G293" t="s">
        <v>28</v>
      </c>
      <c r="H293">
        <f>IF(Table_Sales[[#This Row],[profit]]&lt;0,1,0)</f>
        <v>0</v>
      </c>
      <c r="I293" t="str" cm="1">
        <f t="array" ref="I293">_xlfn.IFS(Table_Sales[[#This Row],[quantity]]&lt;=3,"1-3",Table_Sales[[#This Row],[quantity]]&lt;=7,"2-7",Table_Sales[[#This Row],[quantity]]&lt;=10,"8-10",TRUE,"11 and above")</f>
        <v>1-3</v>
      </c>
      <c r="J293" t="str" cm="1">
        <f t="array" ref="J293">_xlfn.IFS(Table_Sales[[#This Row],[amount]]&lt;1000,"Under 1000",Table_Sales[[#This Row],[amount]]&lt;3000,"1000 - 2999",Table_Sales[[#This Row],[amount]]&lt;5000,"3000 - 4999",TRUE,"5000 &amp; above")</f>
        <v>Under 1000</v>
      </c>
      <c r="K293">
        <f>IF(COUNTIFS(INDEX(Table_Sales[order_id],1):Table_Sales[[#This Row],[order_id]],Table_Sales[[#This Row],[order_id]])=1,1,0)</f>
        <v>1</v>
      </c>
      <c r="L29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293" t="str">
        <v>B-26091</v>
      </c>
    </row>
    <row r="294" spans="1:14" x14ac:dyDescent="0.25">
      <c r="A294" t="s">
        <v>230</v>
      </c>
      <c r="B294" s="1">
        <v>325</v>
      </c>
      <c r="C294" s="1">
        <v>32</v>
      </c>
      <c r="D294">
        <v>7</v>
      </c>
      <c r="E294" t="s">
        <v>23</v>
      </c>
      <c r="F294" t="s">
        <v>81</v>
      </c>
      <c r="G294" t="s">
        <v>10</v>
      </c>
      <c r="H294">
        <f>IF(Table_Sales[[#This Row],[profit]]&lt;0,1,0)</f>
        <v>0</v>
      </c>
      <c r="I294" t="str" cm="1">
        <f t="array" ref="I294">_xlfn.IFS(Table_Sales[[#This Row],[quantity]]&lt;=3,"1-3",Table_Sales[[#This Row],[quantity]]&lt;=7,"2-7",Table_Sales[[#This Row],[quantity]]&lt;=10,"8-10",TRUE,"11 and above")</f>
        <v>2-7</v>
      </c>
      <c r="J294" t="str" cm="1">
        <f t="array" ref="J294">_xlfn.IFS(Table_Sales[[#This Row],[amount]]&lt;1000,"Under 1000",Table_Sales[[#This Row],[amount]]&lt;3000,"1000 - 2999",Table_Sales[[#This Row],[amount]]&lt;5000,"3000 - 4999",TRUE,"5000 &amp; above")</f>
        <v>Under 1000</v>
      </c>
      <c r="K294">
        <f>IF(COUNTIFS(INDEX(Table_Sales[order_id],1):Table_Sales[[#This Row],[order_id]],Table_Sales[[#This Row],[order_id]])=1,1,0)</f>
        <v>0</v>
      </c>
      <c r="L29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294" t="str">
        <v>B-25604</v>
      </c>
    </row>
    <row r="295" spans="1:14" x14ac:dyDescent="0.25">
      <c r="A295" t="s">
        <v>242</v>
      </c>
      <c r="B295" s="1">
        <v>482</v>
      </c>
      <c r="C295" s="1">
        <v>-6</v>
      </c>
      <c r="D295">
        <v>7</v>
      </c>
      <c r="E295" t="s">
        <v>8</v>
      </c>
      <c r="F295" t="s">
        <v>9</v>
      </c>
      <c r="G295" t="s">
        <v>14</v>
      </c>
      <c r="H295">
        <f>IF(Table_Sales[[#This Row],[profit]]&lt;0,1,0)</f>
        <v>1</v>
      </c>
      <c r="I295" t="str" cm="1">
        <f t="array" ref="I295">_xlfn.IFS(Table_Sales[[#This Row],[quantity]]&lt;=3,"1-3",Table_Sales[[#This Row],[quantity]]&lt;=7,"2-7",Table_Sales[[#This Row],[quantity]]&lt;=10,"8-10",TRUE,"11 and above")</f>
        <v>2-7</v>
      </c>
      <c r="J295" t="str" cm="1">
        <f t="array" ref="J295">_xlfn.IFS(Table_Sales[[#This Row],[amount]]&lt;1000,"Under 1000",Table_Sales[[#This Row],[amount]]&lt;3000,"1000 - 2999",Table_Sales[[#This Row],[amount]]&lt;5000,"3000 - 4999",TRUE,"5000 &amp; above")</f>
        <v>Under 1000</v>
      </c>
      <c r="K295">
        <f>IF(COUNTIFS(INDEX(Table_Sales[order_id],1):Table_Sales[[#This Row],[order_id]],Table_Sales[[#This Row],[order_id]])=1,1,0)</f>
        <v>1</v>
      </c>
      <c r="L29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295" t="str">
        <v>B-25724</v>
      </c>
    </row>
    <row r="296" spans="1:14" x14ac:dyDescent="0.25">
      <c r="A296" t="s">
        <v>36</v>
      </c>
      <c r="B296" s="1">
        <v>465</v>
      </c>
      <c r="C296" s="1">
        <v>-33</v>
      </c>
      <c r="D296">
        <v>4</v>
      </c>
      <c r="E296" t="s">
        <v>8</v>
      </c>
      <c r="F296" t="s">
        <v>21</v>
      </c>
      <c r="G296" t="s">
        <v>14</v>
      </c>
      <c r="H296">
        <f>IF(Table_Sales[[#This Row],[profit]]&lt;0,1,0)</f>
        <v>1</v>
      </c>
      <c r="I296" t="str" cm="1">
        <f t="array" ref="I296">_xlfn.IFS(Table_Sales[[#This Row],[quantity]]&lt;=3,"1-3",Table_Sales[[#This Row],[quantity]]&lt;=7,"2-7",Table_Sales[[#This Row],[quantity]]&lt;=10,"8-10",TRUE,"11 and above")</f>
        <v>2-7</v>
      </c>
      <c r="J296" t="str" cm="1">
        <f t="array" ref="J296">_xlfn.IFS(Table_Sales[[#This Row],[amount]]&lt;1000,"Under 1000",Table_Sales[[#This Row],[amount]]&lt;3000,"1000 - 2999",Table_Sales[[#This Row],[amount]]&lt;5000,"3000 - 4999",TRUE,"5000 &amp; above")</f>
        <v>Under 1000</v>
      </c>
      <c r="K296">
        <f>IF(COUNTIFS(INDEX(Table_Sales[order_id],1):Table_Sales[[#This Row],[order_id]],Table_Sales[[#This Row],[order_id]])=1,1,0)</f>
        <v>0</v>
      </c>
      <c r="L29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296" t="str">
        <v>B-25748</v>
      </c>
    </row>
    <row r="297" spans="1:14" x14ac:dyDescent="0.25">
      <c r="A297" t="s">
        <v>144</v>
      </c>
      <c r="B297" s="1">
        <v>40</v>
      </c>
      <c r="C297" s="1">
        <v>-12</v>
      </c>
      <c r="D297">
        <v>3</v>
      </c>
      <c r="E297" t="s">
        <v>23</v>
      </c>
      <c r="F297" t="s">
        <v>142</v>
      </c>
      <c r="G297" t="s">
        <v>10</v>
      </c>
      <c r="H297">
        <f>IF(Table_Sales[[#This Row],[profit]]&lt;0,1,0)</f>
        <v>1</v>
      </c>
      <c r="I297" t="str" cm="1">
        <f t="array" ref="I297">_xlfn.IFS(Table_Sales[[#This Row],[quantity]]&lt;=3,"1-3",Table_Sales[[#This Row],[quantity]]&lt;=7,"2-7",Table_Sales[[#This Row],[quantity]]&lt;=10,"8-10",TRUE,"11 and above")</f>
        <v>1-3</v>
      </c>
      <c r="J297" t="str" cm="1">
        <f t="array" ref="J297">_xlfn.IFS(Table_Sales[[#This Row],[amount]]&lt;1000,"Under 1000",Table_Sales[[#This Row],[amount]]&lt;3000,"1000 - 2999",Table_Sales[[#This Row],[amount]]&lt;5000,"3000 - 4999",TRUE,"5000 &amp; above")</f>
        <v>Under 1000</v>
      </c>
      <c r="K297">
        <f>IF(COUNTIFS(INDEX(Table_Sales[order_id],1):Table_Sales[[#This Row],[order_id]],Table_Sales[[#This Row],[order_id]])=1,1,0)</f>
        <v>0</v>
      </c>
      <c r="L29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297" t="str">
        <v>B-26004</v>
      </c>
    </row>
    <row r="298" spans="1:14" x14ac:dyDescent="0.25">
      <c r="A298" t="s">
        <v>149</v>
      </c>
      <c r="B298" s="1">
        <v>107</v>
      </c>
      <c r="C298" s="1">
        <v>36</v>
      </c>
      <c r="D298">
        <v>6</v>
      </c>
      <c r="E298" t="s">
        <v>23</v>
      </c>
      <c r="F298" t="s">
        <v>57</v>
      </c>
      <c r="G298" t="s">
        <v>10</v>
      </c>
      <c r="H298">
        <f>IF(Table_Sales[[#This Row],[profit]]&lt;0,1,0)</f>
        <v>0</v>
      </c>
      <c r="I298" t="str" cm="1">
        <f t="array" ref="I298">_xlfn.IFS(Table_Sales[[#This Row],[quantity]]&lt;=3,"1-3",Table_Sales[[#This Row],[quantity]]&lt;=7,"2-7",Table_Sales[[#This Row],[quantity]]&lt;=10,"8-10",TRUE,"11 and above")</f>
        <v>2-7</v>
      </c>
      <c r="J298" t="str" cm="1">
        <f t="array" ref="J298">_xlfn.IFS(Table_Sales[[#This Row],[amount]]&lt;1000,"Under 1000",Table_Sales[[#This Row],[amount]]&lt;3000,"1000 - 2999",Table_Sales[[#This Row],[amount]]&lt;5000,"3000 - 4999",TRUE,"5000 &amp; above")</f>
        <v>Under 1000</v>
      </c>
      <c r="K298">
        <f>IF(COUNTIFS(INDEX(Table_Sales[order_id],1):Table_Sales[[#This Row],[order_id]],Table_Sales[[#This Row],[order_id]])=1,1,0)</f>
        <v>0</v>
      </c>
      <c r="L29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298" t="str">
        <v>B-25954</v>
      </c>
    </row>
    <row r="299" spans="1:14" x14ac:dyDescent="0.25">
      <c r="A299" t="s">
        <v>38</v>
      </c>
      <c r="B299" s="1">
        <v>312</v>
      </c>
      <c r="C299" s="1">
        <v>-312</v>
      </c>
      <c r="D299">
        <v>7</v>
      </c>
      <c r="E299" t="s">
        <v>12</v>
      </c>
      <c r="F299" t="s">
        <v>13</v>
      </c>
      <c r="G299" t="s">
        <v>10</v>
      </c>
      <c r="H299">
        <f>IF(Table_Sales[[#This Row],[profit]]&lt;0,1,0)</f>
        <v>1</v>
      </c>
      <c r="I299" t="str" cm="1">
        <f t="array" ref="I299">_xlfn.IFS(Table_Sales[[#This Row],[quantity]]&lt;=3,"1-3",Table_Sales[[#This Row],[quantity]]&lt;=7,"2-7",Table_Sales[[#This Row],[quantity]]&lt;=10,"8-10",TRUE,"11 and above")</f>
        <v>2-7</v>
      </c>
      <c r="J299" t="str" cm="1">
        <f t="array" ref="J299">_xlfn.IFS(Table_Sales[[#This Row],[amount]]&lt;1000,"Under 1000",Table_Sales[[#This Row],[amount]]&lt;3000,"1000 - 2999",Table_Sales[[#This Row],[amount]]&lt;5000,"3000 - 4999",TRUE,"5000 &amp; above")</f>
        <v>Under 1000</v>
      </c>
      <c r="K299">
        <f>IF(COUNTIFS(INDEX(Table_Sales[order_id],1):Table_Sales[[#This Row],[order_id]],Table_Sales[[#This Row],[order_id]])=1,1,0)</f>
        <v>0</v>
      </c>
      <c r="L29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299" t="str">
        <v>B-26043</v>
      </c>
    </row>
    <row r="300" spans="1:14" x14ac:dyDescent="0.25">
      <c r="A300" t="s">
        <v>243</v>
      </c>
      <c r="B300" s="1">
        <v>451</v>
      </c>
      <c r="C300" s="1">
        <v>25</v>
      </c>
      <c r="D300">
        <v>3</v>
      </c>
      <c r="E300" t="s">
        <v>8</v>
      </c>
      <c r="F300" t="s">
        <v>21</v>
      </c>
      <c r="G300" t="s">
        <v>14</v>
      </c>
      <c r="H300">
        <f>IF(Table_Sales[[#This Row],[profit]]&lt;0,1,0)</f>
        <v>0</v>
      </c>
      <c r="I300" t="str" cm="1">
        <f t="array" ref="I300">_xlfn.IFS(Table_Sales[[#This Row],[quantity]]&lt;=3,"1-3",Table_Sales[[#This Row],[quantity]]&lt;=7,"2-7",Table_Sales[[#This Row],[quantity]]&lt;=10,"8-10",TRUE,"11 and above")</f>
        <v>1-3</v>
      </c>
      <c r="J300" t="str" cm="1">
        <f t="array" ref="J300">_xlfn.IFS(Table_Sales[[#This Row],[amount]]&lt;1000,"Under 1000",Table_Sales[[#This Row],[amount]]&lt;3000,"1000 - 2999",Table_Sales[[#This Row],[amount]]&lt;5000,"3000 - 4999",TRUE,"5000 &amp; above")</f>
        <v>Under 1000</v>
      </c>
      <c r="K300">
        <f>IF(COUNTIFS(INDEX(Table_Sales[order_id],1):Table_Sales[[#This Row],[order_id]],Table_Sales[[#This Row],[order_id]])=1,1,0)</f>
        <v>1</v>
      </c>
      <c r="L30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300" t="str">
        <v>B-25838</v>
      </c>
    </row>
    <row r="301" spans="1:14" x14ac:dyDescent="0.25">
      <c r="A301" t="s">
        <v>177</v>
      </c>
      <c r="B301" s="1">
        <v>312</v>
      </c>
      <c r="C301" s="1">
        <v>62</v>
      </c>
      <c r="D301">
        <v>1</v>
      </c>
      <c r="E301" t="s">
        <v>8</v>
      </c>
      <c r="F301" t="s">
        <v>9</v>
      </c>
      <c r="G301" t="s">
        <v>10</v>
      </c>
      <c r="H301">
        <f>IF(Table_Sales[[#This Row],[profit]]&lt;0,1,0)</f>
        <v>0</v>
      </c>
      <c r="I301" t="str" cm="1">
        <f t="array" ref="I301">_xlfn.IFS(Table_Sales[[#This Row],[quantity]]&lt;=3,"1-3",Table_Sales[[#This Row],[quantity]]&lt;=7,"2-7",Table_Sales[[#This Row],[quantity]]&lt;=10,"8-10",TRUE,"11 and above")</f>
        <v>1-3</v>
      </c>
      <c r="J301" t="str" cm="1">
        <f t="array" ref="J301">_xlfn.IFS(Table_Sales[[#This Row],[amount]]&lt;1000,"Under 1000",Table_Sales[[#This Row],[amount]]&lt;3000,"1000 - 2999",Table_Sales[[#This Row],[amount]]&lt;5000,"3000 - 4999",TRUE,"5000 &amp; above")</f>
        <v>Under 1000</v>
      </c>
      <c r="K301">
        <f>IF(COUNTIFS(INDEX(Table_Sales[order_id],1):Table_Sales[[#This Row],[order_id]],Table_Sales[[#This Row],[order_id]])=1,1,0)</f>
        <v>0</v>
      </c>
      <c r="L30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301" t="str">
        <v>B-26042</v>
      </c>
    </row>
    <row r="302" spans="1:14" x14ac:dyDescent="0.25">
      <c r="A302" t="s">
        <v>244</v>
      </c>
      <c r="B302" s="1">
        <v>311</v>
      </c>
      <c r="C302" s="1">
        <v>72</v>
      </c>
      <c r="D302">
        <v>2</v>
      </c>
      <c r="E302" t="s">
        <v>12</v>
      </c>
      <c r="F302" t="s">
        <v>16</v>
      </c>
      <c r="G302" t="s">
        <v>10</v>
      </c>
      <c r="H302">
        <f>IF(Table_Sales[[#This Row],[profit]]&lt;0,1,0)</f>
        <v>0</v>
      </c>
      <c r="I302" t="str" cm="1">
        <f t="array" ref="I302">_xlfn.IFS(Table_Sales[[#This Row],[quantity]]&lt;=3,"1-3",Table_Sales[[#This Row],[quantity]]&lt;=7,"2-7",Table_Sales[[#This Row],[quantity]]&lt;=10,"8-10",TRUE,"11 and above")</f>
        <v>1-3</v>
      </c>
      <c r="J302" t="str" cm="1">
        <f t="array" ref="J302">_xlfn.IFS(Table_Sales[[#This Row],[amount]]&lt;1000,"Under 1000",Table_Sales[[#This Row],[amount]]&lt;3000,"1000 - 2999",Table_Sales[[#This Row],[amount]]&lt;5000,"3000 - 4999",TRUE,"5000 &amp; above")</f>
        <v>Under 1000</v>
      </c>
      <c r="K302">
        <f>IF(COUNTIFS(INDEX(Table_Sales[order_id],1):Table_Sales[[#This Row],[order_id]],Table_Sales[[#This Row],[order_id]])=1,1,0)</f>
        <v>1</v>
      </c>
      <c r="L30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302" t="str">
        <v>B-26008</v>
      </c>
    </row>
    <row r="303" spans="1:14" x14ac:dyDescent="0.25">
      <c r="A303" t="s">
        <v>245</v>
      </c>
      <c r="B303" s="1">
        <v>11</v>
      </c>
      <c r="C303" s="1">
        <v>5</v>
      </c>
      <c r="D303">
        <v>2</v>
      </c>
      <c r="E303" t="s">
        <v>23</v>
      </c>
      <c r="F303" t="s">
        <v>30</v>
      </c>
      <c r="G303" t="s">
        <v>28</v>
      </c>
      <c r="H303">
        <f>IF(Table_Sales[[#This Row],[profit]]&lt;0,1,0)</f>
        <v>0</v>
      </c>
      <c r="I303" t="str" cm="1">
        <f t="array" ref="I303">_xlfn.IFS(Table_Sales[[#This Row],[quantity]]&lt;=3,"1-3",Table_Sales[[#This Row],[quantity]]&lt;=7,"2-7",Table_Sales[[#This Row],[quantity]]&lt;=10,"8-10",TRUE,"11 and above")</f>
        <v>1-3</v>
      </c>
      <c r="J303" t="str" cm="1">
        <f t="array" ref="J303">_xlfn.IFS(Table_Sales[[#This Row],[amount]]&lt;1000,"Under 1000",Table_Sales[[#This Row],[amount]]&lt;3000,"1000 - 2999",Table_Sales[[#This Row],[amount]]&lt;5000,"3000 - 4999",TRUE,"5000 &amp; above")</f>
        <v>Under 1000</v>
      </c>
      <c r="K303">
        <f>IF(COUNTIFS(INDEX(Table_Sales[order_id],1):Table_Sales[[#This Row],[order_id]],Table_Sales[[#This Row],[order_id]])=1,1,0)</f>
        <v>1</v>
      </c>
      <c r="L30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303" t="str">
        <v>B-25927</v>
      </c>
    </row>
    <row r="304" spans="1:14" x14ac:dyDescent="0.25">
      <c r="A304" t="s">
        <v>221</v>
      </c>
      <c r="B304" s="1">
        <v>37</v>
      </c>
      <c r="C304" s="1">
        <v>-5</v>
      </c>
      <c r="D304">
        <v>3</v>
      </c>
      <c r="E304" t="s">
        <v>23</v>
      </c>
      <c r="F304" t="s">
        <v>81</v>
      </c>
      <c r="G304" t="s">
        <v>82</v>
      </c>
      <c r="H304">
        <f>IF(Table_Sales[[#This Row],[profit]]&lt;0,1,0)</f>
        <v>1</v>
      </c>
      <c r="I304" t="str" cm="1">
        <f t="array" ref="I304">_xlfn.IFS(Table_Sales[[#This Row],[quantity]]&lt;=3,"1-3",Table_Sales[[#This Row],[quantity]]&lt;=7,"2-7",Table_Sales[[#This Row],[quantity]]&lt;=10,"8-10",TRUE,"11 and above")</f>
        <v>1-3</v>
      </c>
      <c r="J304" t="str" cm="1">
        <f t="array" ref="J304">_xlfn.IFS(Table_Sales[[#This Row],[amount]]&lt;1000,"Under 1000",Table_Sales[[#This Row],[amount]]&lt;3000,"1000 - 2999",Table_Sales[[#This Row],[amount]]&lt;5000,"3000 - 4999",TRUE,"5000 &amp; above")</f>
        <v>Under 1000</v>
      </c>
      <c r="K304">
        <f>IF(COUNTIFS(INDEX(Table_Sales[order_id],1):Table_Sales[[#This Row],[order_id]],Table_Sales[[#This Row],[order_id]])=1,1,0)</f>
        <v>0</v>
      </c>
      <c r="L30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304" t="str">
        <v>B-25948</v>
      </c>
    </row>
    <row r="305" spans="1:14" x14ac:dyDescent="0.25">
      <c r="A305" t="s">
        <v>246</v>
      </c>
      <c r="B305" s="1">
        <v>444</v>
      </c>
      <c r="C305" s="1">
        <v>-200</v>
      </c>
      <c r="D305">
        <v>4</v>
      </c>
      <c r="E305" t="s">
        <v>8</v>
      </c>
      <c r="F305" t="s">
        <v>21</v>
      </c>
      <c r="G305" t="s">
        <v>14</v>
      </c>
      <c r="H305">
        <f>IF(Table_Sales[[#This Row],[profit]]&lt;0,1,0)</f>
        <v>1</v>
      </c>
      <c r="I305" t="str" cm="1">
        <f t="array" ref="I305">_xlfn.IFS(Table_Sales[[#This Row],[quantity]]&lt;=3,"1-3",Table_Sales[[#This Row],[quantity]]&lt;=7,"2-7",Table_Sales[[#This Row],[quantity]]&lt;=10,"8-10",TRUE,"11 and above")</f>
        <v>2-7</v>
      </c>
      <c r="J305" t="str" cm="1">
        <f t="array" ref="J305">_xlfn.IFS(Table_Sales[[#This Row],[amount]]&lt;1000,"Under 1000",Table_Sales[[#This Row],[amount]]&lt;3000,"1000 - 2999",Table_Sales[[#This Row],[amount]]&lt;5000,"3000 - 4999",TRUE,"5000 &amp; above")</f>
        <v>Under 1000</v>
      </c>
      <c r="K305">
        <f>IF(COUNTIFS(INDEX(Table_Sales[order_id],1):Table_Sales[[#This Row],[order_id]],Table_Sales[[#This Row],[order_id]])=1,1,0)</f>
        <v>1</v>
      </c>
      <c r="L30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305" t="str">
        <v>B-26094</v>
      </c>
    </row>
    <row r="306" spans="1:14" x14ac:dyDescent="0.25">
      <c r="A306" t="s">
        <v>247</v>
      </c>
      <c r="B306" s="1">
        <v>434</v>
      </c>
      <c r="C306" s="1">
        <v>26</v>
      </c>
      <c r="D306">
        <v>11</v>
      </c>
      <c r="E306" t="s">
        <v>23</v>
      </c>
      <c r="F306" t="s">
        <v>142</v>
      </c>
      <c r="G306" t="s">
        <v>19</v>
      </c>
      <c r="H306">
        <f>IF(Table_Sales[[#This Row],[profit]]&lt;0,1,0)</f>
        <v>0</v>
      </c>
      <c r="I306" t="str" cm="1">
        <f t="array" ref="I306">_xlfn.IFS(Table_Sales[[#This Row],[quantity]]&lt;=3,"1-3",Table_Sales[[#This Row],[quantity]]&lt;=7,"2-7",Table_Sales[[#This Row],[quantity]]&lt;=10,"8-10",TRUE,"11 and above")</f>
        <v>11 and above</v>
      </c>
      <c r="J306" t="str" cm="1">
        <f t="array" ref="J306">_xlfn.IFS(Table_Sales[[#This Row],[amount]]&lt;1000,"Under 1000",Table_Sales[[#This Row],[amount]]&lt;3000,"1000 - 2999",Table_Sales[[#This Row],[amount]]&lt;5000,"3000 - 4999",TRUE,"5000 &amp; above")</f>
        <v>Under 1000</v>
      </c>
      <c r="K306">
        <f>IF(COUNTIFS(INDEX(Table_Sales[order_id],1):Table_Sales[[#This Row],[order_id]],Table_Sales[[#This Row],[order_id]])=1,1,0)</f>
        <v>1</v>
      </c>
      <c r="L30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306" t="str">
        <v>B-25623</v>
      </c>
    </row>
    <row r="307" spans="1:14" x14ac:dyDescent="0.25">
      <c r="A307" t="s">
        <v>248</v>
      </c>
      <c r="B307" s="1">
        <v>299</v>
      </c>
      <c r="C307" s="1">
        <v>0</v>
      </c>
      <c r="D307">
        <v>6</v>
      </c>
      <c r="E307" t="s">
        <v>23</v>
      </c>
      <c r="F307" t="s">
        <v>57</v>
      </c>
      <c r="G307" t="s">
        <v>10</v>
      </c>
      <c r="H307">
        <f>IF(Table_Sales[[#This Row],[profit]]&lt;0,1,0)</f>
        <v>0</v>
      </c>
      <c r="I307" t="str" cm="1">
        <f t="array" ref="I307">_xlfn.IFS(Table_Sales[[#This Row],[quantity]]&lt;=3,"1-3",Table_Sales[[#This Row],[quantity]]&lt;=7,"2-7",Table_Sales[[#This Row],[quantity]]&lt;=10,"8-10",TRUE,"11 and above")</f>
        <v>2-7</v>
      </c>
      <c r="J307" t="str" cm="1">
        <f t="array" ref="J307">_xlfn.IFS(Table_Sales[[#This Row],[amount]]&lt;1000,"Under 1000",Table_Sales[[#This Row],[amount]]&lt;3000,"1000 - 2999",Table_Sales[[#This Row],[amount]]&lt;5000,"3000 - 4999",TRUE,"5000 &amp; above")</f>
        <v>Under 1000</v>
      </c>
      <c r="K307">
        <f>IF(COUNTIFS(INDEX(Table_Sales[order_id],1):Table_Sales[[#This Row],[order_id]],Table_Sales[[#This Row],[order_id]])=1,1,0)</f>
        <v>1</v>
      </c>
      <c r="L30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307" t="str">
        <v>B-25800</v>
      </c>
    </row>
    <row r="308" spans="1:14" x14ac:dyDescent="0.25">
      <c r="A308" t="s">
        <v>134</v>
      </c>
      <c r="B308" s="1">
        <v>37</v>
      </c>
      <c r="C308" s="1">
        <v>17</v>
      </c>
      <c r="D308">
        <v>3</v>
      </c>
      <c r="E308" t="s">
        <v>23</v>
      </c>
      <c r="F308" t="s">
        <v>30</v>
      </c>
      <c r="G308" t="s">
        <v>82</v>
      </c>
      <c r="H308">
        <f>IF(Table_Sales[[#This Row],[profit]]&lt;0,1,0)</f>
        <v>0</v>
      </c>
      <c r="I308" t="str" cm="1">
        <f t="array" ref="I308">_xlfn.IFS(Table_Sales[[#This Row],[quantity]]&lt;=3,"1-3",Table_Sales[[#This Row],[quantity]]&lt;=7,"2-7",Table_Sales[[#This Row],[quantity]]&lt;=10,"8-10",TRUE,"11 and above")</f>
        <v>1-3</v>
      </c>
      <c r="J308" t="str" cm="1">
        <f t="array" ref="J308">_xlfn.IFS(Table_Sales[[#This Row],[amount]]&lt;1000,"Under 1000",Table_Sales[[#This Row],[amount]]&lt;3000,"1000 - 2999",Table_Sales[[#This Row],[amount]]&lt;5000,"3000 - 4999",TRUE,"5000 &amp; above")</f>
        <v>Under 1000</v>
      </c>
      <c r="K308">
        <f>IF(COUNTIFS(INDEX(Table_Sales[order_id],1):Table_Sales[[#This Row],[order_id]],Table_Sales[[#This Row],[order_id]])=1,1,0)</f>
        <v>0</v>
      </c>
      <c r="L30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308" t="str">
        <v>B-26039</v>
      </c>
    </row>
    <row r="309" spans="1:14" x14ac:dyDescent="0.25">
      <c r="A309" t="s">
        <v>249</v>
      </c>
      <c r="B309" s="1">
        <v>299</v>
      </c>
      <c r="C309" s="1">
        <v>113</v>
      </c>
      <c r="D309">
        <v>2</v>
      </c>
      <c r="E309" t="s">
        <v>12</v>
      </c>
      <c r="F309" t="s">
        <v>16</v>
      </c>
      <c r="G309" t="s">
        <v>10</v>
      </c>
      <c r="H309">
        <f>IF(Table_Sales[[#This Row],[profit]]&lt;0,1,0)</f>
        <v>0</v>
      </c>
      <c r="I309" t="str" cm="1">
        <f t="array" ref="I309">_xlfn.IFS(Table_Sales[[#This Row],[quantity]]&lt;=3,"1-3",Table_Sales[[#This Row],[quantity]]&lt;=7,"2-7",Table_Sales[[#This Row],[quantity]]&lt;=10,"8-10",TRUE,"11 and above")</f>
        <v>1-3</v>
      </c>
      <c r="J309" t="str" cm="1">
        <f t="array" ref="J309">_xlfn.IFS(Table_Sales[[#This Row],[amount]]&lt;1000,"Under 1000",Table_Sales[[#This Row],[amount]]&lt;3000,"1000 - 2999",Table_Sales[[#This Row],[amount]]&lt;5000,"3000 - 4999",TRUE,"5000 &amp; above")</f>
        <v>Under 1000</v>
      </c>
      <c r="K309">
        <f>IF(COUNTIFS(INDEX(Table_Sales[order_id],1):Table_Sales[[#This Row],[order_id]],Table_Sales[[#This Row],[order_id]])=1,1,0)</f>
        <v>1</v>
      </c>
      <c r="L30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309" t="str">
        <v>B-25620</v>
      </c>
    </row>
    <row r="310" spans="1:14" x14ac:dyDescent="0.25">
      <c r="A310" t="s">
        <v>250</v>
      </c>
      <c r="B310" s="1">
        <v>298</v>
      </c>
      <c r="C310" s="1">
        <v>74</v>
      </c>
      <c r="D310">
        <v>2</v>
      </c>
      <c r="E310" t="s">
        <v>12</v>
      </c>
      <c r="F310" t="s">
        <v>16</v>
      </c>
      <c r="G310" t="s">
        <v>10</v>
      </c>
      <c r="H310">
        <f>IF(Table_Sales[[#This Row],[profit]]&lt;0,1,0)</f>
        <v>0</v>
      </c>
      <c r="I310" t="str" cm="1">
        <f t="array" ref="I310">_xlfn.IFS(Table_Sales[[#This Row],[quantity]]&lt;=3,"1-3",Table_Sales[[#This Row],[quantity]]&lt;=7,"2-7",Table_Sales[[#This Row],[quantity]]&lt;=10,"8-10",TRUE,"11 and above")</f>
        <v>1-3</v>
      </c>
      <c r="J310" t="str" cm="1">
        <f t="array" ref="J310">_xlfn.IFS(Table_Sales[[#This Row],[amount]]&lt;1000,"Under 1000",Table_Sales[[#This Row],[amount]]&lt;3000,"1000 - 2999",Table_Sales[[#This Row],[amount]]&lt;5000,"3000 - 4999",TRUE,"5000 &amp; above")</f>
        <v>Under 1000</v>
      </c>
      <c r="K310">
        <f>IF(COUNTIFS(INDEX(Table_Sales[order_id],1):Table_Sales[[#This Row],[order_id]],Table_Sales[[#This Row],[order_id]])=1,1,0)</f>
        <v>1</v>
      </c>
      <c r="L31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310" t="str">
        <v>B-25721</v>
      </c>
    </row>
    <row r="311" spans="1:14" x14ac:dyDescent="0.25">
      <c r="A311" t="s">
        <v>251</v>
      </c>
      <c r="B311" s="1">
        <v>94</v>
      </c>
      <c r="C311" s="1">
        <v>7</v>
      </c>
      <c r="D311">
        <v>7</v>
      </c>
      <c r="E311" t="s">
        <v>23</v>
      </c>
      <c r="F311" t="s">
        <v>63</v>
      </c>
      <c r="G311" t="s">
        <v>28</v>
      </c>
      <c r="H311">
        <f>IF(Table_Sales[[#This Row],[profit]]&lt;0,1,0)</f>
        <v>0</v>
      </c>
      <c r="I311" t="str" cm="1">
        <f t="array" ref="I311">_xlfn.IFS(Table_Sales[[#This Row],[quantity]]&lt;=3,"1-3",Table_Sales[[#This Row],[quantity]]&lt;=7,"2-7",Table_Sales[[#This Row],[quantity]]&lt;=10,"8-10",TRUE,"11 and above")</f>
        <v>2-7</v>
      </c>
      <c r="J311" t="str" cm="1">
        <f t="array" ref="J311">_xlfn.IFS(Table_Sales[[#This Row],[amount]]&lt;1000,"Under 1000",Table_Sales[[#This Row],[amount]]&lt;3000,"1000 - 2999",Table_Sales[[#This Row],[amount]]&lt;5000,"3000 - 4999",TRUE,"5000 &amp; above")</f>
        <v>Under 1000</v>
      </c>
      <c r="K311">
        <f>IF(COUNTIFS(INDEX(Table_Sales[order_id],1):Table_Sales[[#This Row],[order_id]],Table_Sales[[#This Row],[order_id]])=1,1,0)</f>
        <v>1</v>
      </c>
      <c r="L31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311" t="str">
        <v>B-25764</v>
      </c>
    </row>
    <row r="312" spans="1:14" x14ac:dyDescent="0.25">
      <c r="A312" t="s">
        <v>252</v>
      </c>
      <c r="B312" s="1">
        <v>296</v>
      </c>
      <c r="C312" s="1">
        <v>225</v>
      </c>
      <c r="D312">
        <v>11</v>
      </c>
      <c r="E312" t="s">
        <v>23</v>
      </c>
      <c r="F312" t="s">
        <v>26</v>
      </c>
      <c r="G312" t="s">
        <v>10</v>
      </c>
      <c r="H312">
        <f>IF(Table_Sales[[#This Row],[profit]]&lt;0,1,0)</f>
        <v>0</v>
      </c>
      <c r="I312" t="str" cm="1">
        <f t="array" ref="I312">_xlfn.IFS(Table_Sales[[#This Row],[quantity]]&lt;=3,"1-3",Table_Sales[[#This Row],[quantity]]&lt;=7,"2-7",Table_Sales[[#This Row],[quantity]]&lt;=10,"8-10",TRUE,"11 and above")</f>
        <v>11 and above</v>
      </c>
      <c r="J312" t="str" cm="1">
        <f t="array" ref="J312">_xlfn.IFS(Table_Sales[[#This Row],[amount]]&lt;1000,"Under 1000",Table_Sales[[#This Row],[amount]]&lt;3000,"1000 - 2999",Table_Sales[[#This Row],[amount]]&lt;5000,"3000 - 4999",TRUE,"5000 &amp; above")</f>
        <v>Under 1000</v>
      </c>
      <c r="K312">
        <f>IF(COUNTIFS(INDEX(Table_Sales[order_id],1):Table_Sales[[#This Row],[order_id]],Table_Sales[[#This Row],[order_id]])=1,1,0)</f>
        <v>1</v>
      </c>
      <c r="L31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312" t="str">
        <v>B-26066</v>
      </c>
    </row>
    <row r="313" spans="1:14" x14ac:dyDescent="0.25">
      <c r="A313" t="s">
        <v>253</v>
      </c>
      <c r="B313" s="1">
        <v>37</v>
      </c>
      <c r="C313" s="1">
        <v>17</v>
      </c>
      <c r="D313">
        <v>3</v>
      </c>
      <c r="E313" t="s">
        <v>23</v>
      </c>
      <c r="F313" t="s">
        <v>30</v>
      </c>
      <c r="G313" t="s">
        <v>82</v>
      </c>
      <c r="H313">
        <f>IF(Table_Sales[[#This Row],[profit]]&lt;0,1,0)</f>
        <v>0</v>
      </c>
      <c r="I313" t="str" cm="1">
        <f t="array" ref="I313">_xlfn.IFS(Table_Sales[[#This Row],[quantity]]&lt;=3,"1-3",Table_Sales[[#This Row],[quantity]]&lt;=7,"2-7",Table_Sales[[#This Row],[quantity]]&lt;=10,"8-10",TRUE,"11 and above")</f>
        <v>1-3</v>
      </c>
      <c r="J313" t="str" cm="1">
        <f t="array" ref="J313">_xlfn.IFS(Table_Sales[[#This Row],[amount]]&lt;1000,"Under 1000",Table_Sales[[#This Row],[amount]]&lt;3000,"1000 - 2999",Table_Sales[[#This Row],[amount]]&lt;5000,"3000 - 4999",TRUE,"5000 &amp; above")</f>
        <v>Under 1000</v>
      </c>
      <c r="K313">
        <f>IF(COUNTIFS(INDEX(Table_Sales[order_id],1):Table_Sales[[#This Row],[order_id]],Table_Sales[[#This Row],[order_id]])=1,1,0)</f>
        <v>1</v>
      </c>
      <c r="L31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313" t="str">
        <v>B-25712</v>
      </c>
    </row>
    <row r="314" spans="1:14" x14ac:dyDescent="0.25">
      <c r="A314" t="s">
        <v>254</v>
      </c>
      <c r="B314" s="1">
        <v>291</v>
      </c>
      <c r="C314" s="1">
        <v>93</v>
      </c>
      <c r="D314">
        <v>2</v>
      </c>
      <c r="E314" t="s">
        <v>8</v>
      </c>
      <c r="F314" t="s">
        <v>18</v>
      </c>
      <c r="G314" t="s">
        <v>10</v>
      </c>
      <c r="H314">
        <f>IF(Table_Sales[[#This Row],[profit]]&lt;0,1,0)</f>
        <v>0</v>
      </c>
      <c r="I314" t="str" cm="1">
        <f t="array" ref="I314">_xlfn.IFS(Table_Sales[[#This Row],[quantity]]&lt;=3,"1-3",Table_Sales[[#This Row],[quantity]]&lt;=7,"2-7",Table_Sales[[#This Row],[quantity]]&lt;=10,"8-10",TRUE,"11 and above")</f>
        <v>1-3</v>
      </c>
      <c r="J314" t="str" cm="1">
        <f t="array" ref="J314">_xlfn.IFS(Table_Sales[[#This Row],[amount]]&lt;1000,"Under 1000",Table_Sales[[#This Row],[amount]]&lt;3000,"1000 - 2999",Table_Sales[[#This Row],[amount]]&lt;5000,"3000 - 4999",TRUE,"5000 &amp; above")</f>
        <v>Under 1000</v>
      </c>
      <c r="K314">
        <f>IF(COUNTIFS(INDEX(Table_Sales[order_id],1):Table_Sales[[#This Row],[order_id]],Table_Sales[[#This Row],[order_id]])=1,1,0)</f>
        <v>1</v>
      </c>
      <c r="L31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314" t="str">
        <v>B-25738</v>
      </c>
    </row>
    <row r="315" spans="1:14" x14ac:dyDescent="0.25">
      <c r="A315" t="s">
        <v>215</v>
      </c>
      <c r="B315" s="1">
        <v>327</v>
      </c>
      <c r="C315" s="1">
        <v>-39</v>
      </c>
      <c r="D315">
        <v>1</v>
      </c>
      <c r="E315" t="s">
        <v>8</v>
      </c>
      <c r="F315" t="s">
        <v>21</v>
      </c>
      <c r="G315" t="s">
        <v>10</v>
      </c>
      <c r="H315">
        <f>IF(Table_Sales[[#This Row],[profit]]&lt;0,1,0)</f>
        <v>1</v>
      </c>
      <c r="I315" t="str" cm="1">
        <f t="array" ref="I315">_xlfn.IFS(Table_Sales[[#This Row],[quantity]]&lt;=3,"1-3",Table_Sales[[#This Row],[quantity]]&lt;=7,"2-7",Table_Sales[[#This Row],[quantity]]&lt;=10,"8-10",TRUE,"11 and above")</f>
        <v>1-3</v>
      </c>
      <c r="J315" t="str" cm="1">
        <f t="array" ref="J315">_xlfn.IFS(Table_Sales[[#This Row],[amount]]&lt;1000,"Under 1000",Table_Sales[[#This Row],[amount]]&lt;3000,"1000 - 2999",Table_Sales[[#This Row],[amount]]&lt;5000,"3000 - 4999",TRUE,"5000 &amp; above")</f>
        <v>Under 1000</v>
      </c>
      <c r="K315">
        <f>IF(COUNTIFS(INDEX(Table_Sales[order_id],1):Table_Sales[[#This Row],[order_id]],Table_Sales[[#This Row],[order_id]])=1,1,0)</f>
        <v>0</v>
      </c>
      <c r="L31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315" t="str">
        <v>B-25771</v>
      </c>
    </row>
    <row r="316" spans="1:14" x14ac:dyDescent="0.25">
      <c r="A316" t="s">
        <v>231</v>
      </c>
      <c r="B316" s="1">
        <v>291</v>
      </c>
      <c r="C316" s="1">
        <v>119</v>
      </c>
      <c r="D316">
        <v>11</v>
      </c>
      <c r="E316" t="s">
        <v>23</v>
      </c>
      <c r="F316" t="s">
        <v>26</v>
      </c>
      <c r="G316" t="s">
        <v>10</v>
      </c>
      <c r="H316">
        <f>IF(Table_Sales[[#This Row],[profit]]&lt;0,1,0)</f>
        <v>0</v>
      </c>
      <c r="I316" t="str" cm="1">
        <f t="array" ref="I316">_xlfn.IFS(Table_Sales[[#This Row],[quantity]]&lt;=3,"1-3",Table_Sales[[#This Row],[quantity]]&lt;=7,"2-7",Table_Sales[[#This Row],[quantity]]&lt;=10,"8-10",TRUE,"11 and above")</f>
        <v>11 and above</v>
      </c>
      <c r="J316" t="str" cm="1">
        <f t="array" ref="J316">_xlfn.IFS(Table_Sales[[#This Row],[amount]]&lt;1000,"Under 1000",Table_Sales[[#This Row],[amount]]&lt;3000,"1000 - 2999",Table_Sales[[#This Row],[amount]]&lt;5000,"3000 - 4999",TRUE,"5000 &amp; above")</f>
        <v>Under 1000</v>
      </c>
      <c r="K316">
        <f>IF(COUNTIFS(INDEX(Table_Sales[order_id],1):Table_Sales[[#This Row],[order_id]],Table_Sales[[#This Row],[order_id]])=1,1,0)</f>
        <v>0</v>
      </c>
      <c r="L31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316" t="str">
        <v>B-25601</v>
      </c>
    </row>
    <row r="317" spans="1:14" x14ac:dyDescent="0.25">
      <c r="A317" t="s">
        <v>191</v>
      </c>
      <c r="B317" s="1">
        <v>287</v>
      </c>
      <c r="C317" s="1">
        <v>-66</v>
      </c>
      <c r="D317">
        <v>6</v>
      </c>
      <c r="E317" t="s">
        <v>23</v>
      </c>
      <c r="F317" t="s">
        <v>32</v>
      </c>
      <c r="G317" t="s">
        <v>10</v>
      </c>
      <c r="H317">
        <f>IF(Table_Sales[[#This Row],[profit]]&lt;0,1,0)</f>
        <v>1</v>
      </c>
      <c r="I317" t="str" cm="1">
        <f t="array" ref="I317">_xlfn.IFS(Table_Sales[[#This Row],[quantity]]&lt;=3,"1-3",Table_Sales[[#This Row],[quantity]]&lt;=7,"2-7",Table_Sales[[#This Row],[quantity]]&lt;=10,"8-10",TRUE,"11 and above")</f>
        <v>2-7</v>
      </c>
      <c r="J317" t="str" cm="1">
        <f t="array" ref="J317">_xlfn.IFS(Table_Sales[[#This Row],[amount]]&lt;1000,"Under 1000",Table_Sales[[#This Row],[amount]]&lt;3000,"1000 - 2999",Table_Sales[[#This Row],[amount]]&lt;5000,"3000 - 4999",TRUE,"5000 &amp; above")</f>
        <v>Under 1000</v>
      </c>
      <c r="K317">
        <f>IF(COUNTIFS(INDEX(Table_Sales[order_id],1):Table_Sales[[#This Row],[order_id]],Table_Sales[[#This Row],[order_id]])=1,1,0)</f>
        <v>0</v>
      </c>
      <c r="L31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317" t="str">
        <v>B-25844</v>
      </c>
    </row>
    <row r="318" spans="1:14" x14ac:dyDescent="0.25">
      <c r="A318" t="s">
        <v>255</v>
      </c>
      <c r="B318" s="1">
        <v>42</v>
      </c>
      <c r="C318" s="1">
        <v>15</v>
      </c>
      <c r="D318">
        <v>1</v>
      </c>
      <c r="E318" t="s">
        <v>8</v>
      </c>
      <c r="F318" t="s">
        <v>73</v>
      </c>
      <c r="G318" t="s">
        <v>28</v>
      </c>
      <c r="H318">
        <f>IF(Table_Sales[[#This Row],[profit]]&lt;0,1,0)</f>
        <v>0</v>
      </c>
      <c r="I318" t="str" cm="1">
        <f t="array" ref="I318">_xlfn.IFS(Table_Sales[[#This Row],[quantity]]&lt;=3,"1-3",Table_Sales[[#This Row],[quantity]]&lt;=7,"2-7",Table_Sales[[#This Row],[quantity]]&lt;=10,"8-10",TRUE,"11 and above")</f>
        <v>1-3</v>
      </c>
      <c r="J318" t="str" cm="1">
        <f t="array" ref="J318">_xlfn.IFS(Table_Sales[[#This Row],[amount]]&lt;1000,"Under 1000",Table_Sales[[#This Row],[amount]]&lt;3000,"1000 - 2999",Table_Sales[[#This Row],[amount]]&lt;5000,"3000 - 4999",TRUE,"5000 &amp; above")</f>
        <v>Under 1000</v>
      </c>
      <c r="K318">
        <f>IF(COUNTIFS(INDEX(Table_Sales[order_id],1):Table_Sales[[#This Row],[order_id]],Table_Sales[[#This Row],[order_id]])=1,1,0)</f>
        <v>1</v>
      </c>
      <c r="L31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318" t="str">
        <v>B-26065</v>
      </c>
    </row>
    <row r="319" spans="1:14" x14ac:dyDescent="0.25">
      <c r="A319" t="s">
        <v>212</v>
      </c>
      <c r="B319" s="1">
        <v>429</v>
      </c>
      <c r="C319" s="1">
        <v>61</v>
      </c>
      <c r="D319">
        <v>3</v>
      </c>
      <c r="E319" t="s">
        <v>8</v>
      </c>
      <c r="F319" t="s">
        <v>9</v>
      </c>
      <c r="G319" t="s">
        <v>19</v>
      </c>
      <c r="H319">
        <f>IF(Table_Sales[[#This Row],[profit]]&lt;0,1,0)</f>
        <v>0</v>
      </c>
      <c r="I319" t="str" cm="1">
        <f t="array" ref="I319">_xlfn.IFS(Table_Sales[[#This Row],[quantity]]&lt;=3,"1-3",Table_Sales[[#This Row],[quantity]]&lt;=7,"2-7",Table_Sales[[#This Row],[quantity]]&lt;=10,"8-10",TRUE,"11 and above")</f>
        <v>1-3</v>
      </c>
      <c r="J319" t="str" cm="1">
        <f t="array" ref="J319">_xlfn.IFS(Table_Sales[[#This Row],[amount]]&lt;1000,"Under 1000",Table_Sales[[#This Row],[amount]]&lt;3000,"1000 - 2999",Table_Sales[[#This Row],[amount]]&lt;5000,"3000 - 4999",TRUE,"5000 &amp; above")</f>
        <v>Under 1000</v>
      </c>
      <c r="K319">
        <f>IF(COUNTIFS(INDEX(Table_Sales[order_id],1):Table_Sales[[#This Row],[order_id]],Table_Sales[[#This Row],[order_id]])=1,1,0)</f>
        <v>0</v>
      </c>
      <c r="L31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319" t="str">
        <v>B-25825</v>
      </c>
    </row>
    <row r="320" spans="1:14" x14ac:dyDescent="0.25">
      <c r="A320" t="s">
        <v>256</v>
      </c>
      <c r="B320" s="1">
        <v>285</v>
      </c>
      <c r="C320" s="1">
        <v>128</v>
      </c>
      <c r="D320">
        <v>2</v>
      </c>
      <c r="E320" t="s">
        <v>8</v>
      </c>
      <c r="F320" t="s">
        <v>18</v>
      </c>
      <c r="G320" t="s">
        <v>10</v>
      </c>
      <c r="H320">
        <f>IF(Table_Sales[[#This Row],[profit]]&lt;0,1,0)</f>
        <v>0</v>
      </c>
      <c r="I320" t="str" cm="1">
        <f t="array" ref="I320">_xlfn.IFS(Table_Sales[[#This Row],[quantity]]&lt;=3,"1-3",Table_Sales[[#This Row],[quantity]]&lt;=7,"2-7",Table_Sales[[#This Row],[quantity]]&lt;=10,"8-10",TRUE,"11 and above")</f>
        <v>1-3</v>
      </c>
      <c r="J320" t="str" cm="1">
        <f t="array" ref="J320">_xlfn.IFS(Table_Sales[[#This Row],[amount]]&lt;1000,"Under 1000",Table_Sales[[#This Row],[amount]]&lt;3000,"1000 - 2999",Table_Sales[[#This Row],[amount]]&lt;5000,"3000 - 4999",TRUE,"5000 &amp; above")</f>
        <v>Under 1000</v>
      </c>
      <c r="K320">
        <f>IF(COUNTIFS(INDEX(Table_Sales[order_id],1):Table_Sales[[#This Row],[order_id]],Table_Sales[[#This Row],[order_id]])=1,1,0)</f>
        <v>1</v>
      </c>
      <c r="L32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320" t="str">
        <v>B-25765</v>
      </c>
    </row>
    <row r="321" spans="1:14" x14ac:dyDescent="0.25">
      <c r="A321" t="s">
        <v>257</v>
      </c>
      <c r="B321" s="1">
        <v>277</v>
      </c>
      <c r="C321" s="1">
        <v>3</v>
      </c>
      <c r="D321">
        <v>1</v>
      </c>
      <c r="E321" t="s">
        <v>8</v>
      </c>
      <c r="F321" t="s">
        <v>9</v>
      </c>
      <c r="G321" t="s">
        <v>10</v>
      </c>
      <c r="H321">
        <f>IF(Table_Sales[[#This Row],[profit]]&lt;0,1,0)</f>
        <v>0</v>
      </c>
      <c r="I321" t="str" cm="1">
        <f t="array" ref="I321">_xlfn.IFS(Table_Sales[[#This Row],[quantity]]&lt;=3,"1-3",Table_Sales[[#This Row],[quantity]]&lt;=7,"2-7",Table_Sales[[#This Row],[quantity]]&lt;=10,"8-10",TRUE,"11 and above")</f>
        <v>1-3</v>
      </c>
      <c r="J321" t="str" cm="1">
        <f t="array" ref="J321">_xlfn.IFS(Table_Sales[[#This Row],[amount]]&lt;1000,"Under 1000",Table_Sales[[#This Row],[amount]]&lt;3000,"1000 - 2999",Table_Sales[[#This Row],[amount]]&lt;5000,"3000 - 4999",TRUE,"5000 &amp; above")</f>
        <v>Under 1000</v>
      </c>
      <c r="K321">
        <f>IF(COUNTIFS(INDEX(Table_Sales[order_id],1):Table_Sales[[#This Row],[order_id]],Table_Sales[[#This Row],[order_id]])=1,1,0)</f>
        <v>1</v>
      </c>
      <c r="L32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321" t="str">
        <v>B-25709</v>
      </c>
    </row>
    <row r="322" spans="1:14" x14ac:dyDescent="0.25">
      <c r="A322" t="s">
        <v>48</v>
      </c>
      <c r="B322" s="1">
        <v>274</v>
      </c>
      <c r="C322" s="1">
        <v>-7</v>
      </c>
      <c r="D322">
        <v>4</v>
      </c>
      <c r="E322" t="s">
        <v>8</v>
      </c>
      <c r="F322" t="s">
        <v>21</v>
      </c>
      <c r="G322" t="s">
        <v>10</v>
      </c>
      <c r="H322">
        <f>IF(Table_Sales[[#This Row],[profit]]&lt;0,1,0)</f>
        <v>1</v>
      </c>
      <c r="I322" t="str" cm="1">
        <f t="array" ref="I322">_xlfn.IFS(Table_Sales[[#This Row],[quantity]]&lt;=3,"1-3",Table_Sales[[#This Row],[quantity]]&lt;=7,"2-7",Table_Sales[[#This Row],[quantity]]&lt;=10,"8-10",TRUE,"11 and above")</f>
        <v>2-7</v>
      </c>
      <c r="J322" t="str" cm="1">
        <f t="array" ref="J322">_xlfn.IFS(Table_Sales[[#This Row],[amount]]&lt;1000,"Under 1000",Table_Sales[[#This Row],[amount]]&lt;3000,"1000 - 2999",Table_Sales[[#This Row],[amount]]&lt;5000,"3000 - 4999",TRUE,"5000 &amp; above")</f>
        <v>Under 1000</v>
      </c>
      <c r="K322">
        <f>IF(COUNTIFS(INDEX(Table_Sales[order_id],1):Table_Sales[[#This Row],[order_id]],Table_Sales[[#This Row],[order_id]])=1,1,0)</f>
        <v>0</v>
      </c>
      <c r="L32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322" t="str">
        <v>B-25684</v>
      </c>
    </row>
    <row r="323" spans="1:14" x14ac:dyDescent="0.25">
      <c r="A323" t="s">
        <v>258</v>
      </c>
      <c r="B323" s="1">
        <v>273</v>
      </c>
      <c r="C323" s="1">
        <v>-87</v>
      </c>
      <c r="D323">
        <v>4</v>
      </c>
      <c r="E323" t="s">
        <v>8</v>
      </c>
      <c r="F323" t="s">
        <v>21</v>
      </c>
      <c r="G323" t="s">
        <v>10</v>
      </c>
      <c r="H323">
        <f>IF(Table_Sales[[#This Row],[profit]]&lt;0,1,0)</f>
        <v>1</v>
      </c>
      <c r="I323" t="str" cm="1">
        <f t="array" ref="I323">_xlfn.IFS(Table_Sales[[#This Row],[quantity]]&lt;=3,"1-3",Table_Sales[[#This Row],[quantity]]&lt;=7,"2-7",Table_Sales[[#This Row],[quantity]]&lt;=10,"8-10",TRUE,"11 and above")</f>
        <v>2-7</v>
      </c>
      <c r="J323" t="str" cm="1">
        <f t="array" ref="J323">_xlfn.IFS(Table_Sales[[#This Row],[amount]]&lt;1000,"Under 1000",Table_Sales[[#This Row],[amount]]&lt;3000,"1000 - 2999",Table_Sales[[#This Row],[amount]]&lt;5000,"3000 - 4999",TRUE,"5000 &amp; above")</f>
        <v>Under 1000</v>
      </c>
      <c r="K323">
        <f>IF(COUNTIFS(INDEX(Table_Sales[order_id],1):Table_Sales[[#This Row],[order_id]],Table_Sales[[#This Row],[order_id]])=1,1,0)</f>
        <v>1</v>
      </c>
      <c r="L32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323" t="str">
        <v>B-25739</v>
      </c>
    </row>
    <row r="324" spans="1:14" x14ac:dyDescent="0.25">
      <c r="A324" t="s">
        <v>172</v>
      </c>
      <c r="B324" s="1">
        <v>269</v>
      </c>
      <c r="C324" s="1">
        <v>91</v>
      </c>
      <c r="D324">
        <v>1</v>
      </c>
      <c r="E324" t="s">
        <v>8</v>
      </c>
      <c r="F324" t="s">
        <v>9</v>
      </c>
      <c r="G324" t="s">
        <v>10</v>
      </c>
      <c r="H324">
        <f>IF(Table_Sales[[#This Row],[profit]]&lt;0,1,0)</f>
        <v>0</v>
      </c>
      <c r="I324" t="str" cm="1">
        <f t="array" ref="I324">_xlfn.IFS(Table_Sales[[#This Row],[quantity]]&lt;=3,"1-3",Table_Sales[[#This Row],[quantity]]&lt;=7,"2-7",Table_Sales[[#This Row],[quantity]]&lt;=10,"8-10",TRUE,"11 and above")</f>
        <v>1-3</v>
      </c>
      <c r="J324" t="str" cm="1">
        <f t="array" ref="J324">_xlfn.IFS(Table_Sales[[#This Row],[amount]]&lt;1000,"Under 1000",Table_Sales[[#This Row],[amount]]&lt;3000,"1000 - 2999",Table_Sales[[#This Row],[amount]]&lt;5000,"3000 - 4999",TRUE,"5000 &amp; above")</f>
        <v>Under 1000</v>
      </c>
      <c r="K324">
        <f>IF(COUNTIFS(INDEX(Table_Sales[order_id],1):Table_Sales[[#This Row],[order_id]],Table_Sales[[#This Row],[order_id]])=1,1,0)</f>
        <v>0</v>
      </c>
      <c r="L32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324" t="str">
        <v>B-26082</v>
      </c>
    </row>
    <row r="325" spans="1:14" x14ac:dyDescent="0.25">
      <c r="A325" t="s">
        <v>254</v>
      </c>
      <c r="B325" s="1">
        <v>11</v>
      </c>
      <c r="C325" s="1">
        <v>5</v>
      </c>
      <c r="D325">
        <v>1</v>
      </c>
      <c r="E325" t="s">
        <v>23</v>
      </c>
      <c r="F325" t="s">
        <v>43</v>
      </c>
      <c r="G325" t="s">
        <v>10</v>
      </c>
      <c r="H325">
        <f>IF(Table_Sales[[#This Row],[profit]]&lt;0,1,0)</f>
        <v>0</v>
      </c>
      <c r="I325" t="str" cm="1">
        <f t="array" ref="I325">_xlfn.IFS(Table_Sales[[#This Row],[quantity]]&lt;=3,"1-3",Table_Sales[[#This Row],[quantity]]&lt;=7,"2-7",Table_Sales[[#This Row],[quantity]]&lt;=10,"8-10",TRUE,"11 and above")</f>
        <v>1-3</v>
      </c>
      <c r="J325" t="str" cm="1">
        <f t="array" ref="J325">_xlfn.IFS(Table_Sales[[#This Row],[amount]]&lt;1000,"Under 1000",Table_Sales[[#This Row],[amount]]&lt;3000,"1000 - 2999",Table_Sales[[#This Row],[amount]]&lt;5000,"3000 - 4999",TRUE,"5000 &amp; above")</f>
        <v>Under 1000</v>
      </c>
      <c r="K325">
        <f>IF(COUNTIFS(INDEX(Table_Sales[order_id],1):Table_Sales[[#This Row],[order_id]],Table_Sales[[#This Row],[order_id]])=1,1,0)</f>
        <v>0</v>
      </c>
      <c r="L32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325" t="str">
        <v>B-25731</v>
      </c>
    </row>
    <row r="326" spans="1:14" x14ac:dyDescent="0.25">
      <c r="A326" t="s">
        <v>15</v>
      </c>
      <c r="B326" s="1">
        <v>39</v>
      </c>
      <c r="C326" s="1">
        <v>2</v>
      </c>
      <c r="D326">
        <v>2</v>
      </c>
      <c r="E326" t="s">
        <v>23</v>
      </c>
      <c r="F326" t="s">
        <v>26</v>
      </c>
      <c r="G326" t="s">
        <v>82</v>
      </c>
      <c r="H326">
        <f>IF(Table_Sales[[#This Row],[profit]]&lt;0,1,0)</f>
        <v>0</v>
      </c>
      <c r="I326" t="str" cm="1">
        <f t="array" ref="I326">_xlfn.IFS(Table_Sales[[#This Row],[quantity]]&lt;=3,"1-3",Table_Sales[[#This Row],[quantity]]&lt;=7,"2-7",Table_Sales[[#This Row],[quantity]]&lt;=10,"8-10",TRUE,"11 and above")</f>
        <v>1-3</v>
      </c>
      <c r="J326" t="str" cm="1">
        <f t="array" ref="J326">_xlfn.IFS(Table_Sales[[#This Row],[amount]]&lt;1000,"Under 1000",Table_Sales[[#This Row],[amount]]&lt;3000,"1000 - 2999",Table_Sales[[#This Row],[amount]]&lt;5000,"3000 - 4999",TRUE,"5000 &amp; above")</f>
        <v>Under 1000</v>
      </c>
      <c r="K326">
        <f>IF(COUNTIFS(INDEX(Table_Sales[order_id],1):Table_Sales[[#This Row],[order_id]],Table_Sales[[#This Row],[order_id]])=1,1,0)</f>
        <v>0</v>
      </c>
      <c r="L32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326" t="str">
        <v>B-25719</v>
      </c>
    </row>
    <row r="327" spans="1:14" x14ac:dyDescent="0.25">
      <c r="A327" t="s">
        <v>243</v>
      </c>
      <c r="B327" s="1">
        <v>264</v>
      </c>
      <c r="C327" s="1">
        <v>-26</v>
      </c>
      <c r="D327">
        <v>3</v>
      </c>
      <c r="E327" t="s">
        <v>23</v>
      </c>
      <c r="F327" t="s">
        <v>24</v>
      </c>
      <c r="G327" t="s">
        <v>10</v>
      </c>
      <c r="H327">
        <f>IF(Table_Sales[[#This Row],[profit]]&lt;0,1,0)</f>
        <v>1</v>
      </c>
      <c r="I327" t="str" cm="1">
        <f t="array" ref="I327">_xlfn.IFS(Table_Sales[[#This Row],[quantity]]&lt;=3,"1-3",Table_Sales[[#This Row],[quantity]]&lt;=7,"2-7",Table_Sales[[#This Row],[quantity]]&lt;=10,"8-10",TRUE,"11 and above")</f>
        <v>1-3</v>
      </c>
      <c r="J327" t="str" cm="1">
        <f t="array" ref="J327">_xlfn.IFS(Table_Sales[[#This Row],[amount]]&lt;1000,"Under 1000",Table_Sales[[#This Row],[amount]]&lt;3000,"1000 - 2999",Table_Sales[[#This Row],[amount]]&lt;5000,"3000 - 4999",TRUE,"5000 &amp; above")</f>
        <v>Under 1000</v>
      </c>
      <c r="K327">
        <f>IF(COUNTIFS(INDEX(Table_Sales[order_id],1):Table_Sales[[#This Row],[order_id]],Table_Sales[[#This Row],[order_id]])=1,1,0)</f>
        <v>0</v>
      </c>
      <c r="L32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327" t="str">
        <v>B-25646</v>
      </c>
    </row>
    <row r="328" spans="1:14" x14ac:dyDescent="0.25">
      <c r="A328" t="s">
        <v>259</v>
      </c>
      <c r="B328" s="1">
        <v>40</v>
      </c>
      <c r="C328" s="1">
        <v>16</v>
      </c>
      <c r="D328">
        <v>3</v>
      </c>
      <c r="E328" t="s">
        <v>23</v>
      </c>
      <c r="F328" t="s">
        <v>30</v>
      </c>
      <c r="G328" t="s">
        <v>82</v>
      </c>
      <c r="H328">
        <f>IF(Table_Sales[[#This Row],[profit]]&lt;0,1,0)</f>
        <v>0</v>
      </c>
      <c r="I328" t="str" cm="1">
        <f t="array" ref="I328">_xlfn.IFS(Table_Sales[[#This Row],[quantity]]&lt;=3,"1-3",Table_Sales[[#This Row],[quantity]]&lt;=7,"2-7",Table_Sales[[#This Row],[quantity]]&lt;=10,"8-10",TRUE,"11 and above")</f>
        <v>1-3</v>
      </c>
      <c r="J328" t="str" cm="1">
        <f t="array" ref="J328">_xlfn.IFS(Table_Sales[[#This Row],[amount]]&lt;1000,"Under 1000",Table_Sales[[#This Row],[amount]]&lt;3000,"1000 - 2999",Table_Sales[[#This Row],[amount]]&lt;5000,"3000 - 4999",TRUE,"5000 &amp; above")</f>
        <v>Under 1000</v>
      </c>
      <c r="K328">
        <f>IF(COUNTIFS(INDEX(Table_Sales[order_id],1):Table_Sales[[#This Row],[order_id]],Table_Sales[[#This Row],[order_id]])=1,1,0)</f>
        <v>1</v>
      </c>
      <c r="L32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328" t="str">
        <v>B-25874</v>
      </c>
    </row>
    <row r="329" spans="1:14" x14ac:dyDescent="0.25">
      <c r="A329" t="s">
        <v>260</v>
      </c>
      <c r="B329" s="1">
        <v>41</v>
      </c>
      <c r="C329" s="1">
        <v>19</v>
      </c>
      <c r="D329">
        <v>2</v>
      </c>
      <c r="E329" t="s">
        <v>23</v>
      </c>
      <c r="F329" t="s">
        <v>81</v>
      </c>
      <c r="G329" t="s">
        <v>82</v>
      </c>
      <c r="H329">
        <f>IF(Table_Sales[[#This Row],[profit]]&lt;0,1,0)</f>
        <v>0</v>
      </c>
      <c r="I329" t="str" cm="1">
        <f t="array" ref="I329">_xlfn.IFS(Table_Sales[[#This Row],[quantity]]&lt;=3,"1-3",Table_Sales[[#This Row],[quantity]]&lt;=7,"2-7",Table_Sales[[#This Row],[quantity]]&lt;=10,"8-10",TRUE,"11 and above")</f>
        <v>1-3</v>
      </c>
      <c r="J329" t="str" cm="1">
        <f t="array" ref="J329">_xlfn.IFS(Table_Sales[[#This Row],[amount]]&lt;1000,"Under 1000",Table_Sales[[#This Row],[amount]]&lt;3000,"1000 - 2999",Table_Sales[[#This Row],[amount]]&lt;5000,"3000 - 4999",TRUE,"5000 &amp; above")</f>
        <v>Under 1000</v>
      </c>
      <c r="K329">
        <f>IF(COUNTIFS(INDEX(Table_Sales[order_id],1):Table_Sales[[#This Row],[order_id]],Table_Sales[[#This Row],[order_id]])=1,1,0)</f>
        <v>1</v>
      </c>
      <c r="L32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329" t="str">
        <v>B-25638</v>
      </c>
    </row>
    <row r="330" spans="1:14" x14ac:dyDescent="0.25">
      <c r="A330" t="s">
        <v>222</v>
      </c>
      <c r="B330" s="1">
        <v>253</v>
      </c>
      <c r="C330" s="1">
        <v>-63</v>
      </c>
      <c r="D330">
        <v>2</v>
      </c>
      <c r="E330" t="s">
        <v>23</v>
      </c>
      <c r="F330" t="s">
        <v>26</v>
      </c>
      <c r="G330" t="s">
        <v>28</v>
      </c>
      <c r="H330">
        <f>IF(Table_Sales[[#This Row],[profit]]&lt;0,1,0)</f>
        <v>1</v>
      </c>
      <c r="I330" t="str" cm="1">
        <f t="array" ref="I330">_xlfn.IFS(Table_Sales[[#This Row],[quantity]]&lt;=3,"1-3",Table_Sales[[#This Row],[quantity]]&lt;=7,"2-7",Table_Sales[[#This Row],[quantity]]&lt;=10,"8-10",TRUE,"11 and above")</f>
        <v>1-3</v>
      </c>
      <c r="J330" t="str" cm="1">
        <f t="array" ref="J330">_xlfn.IFS(Table_Sales[[#This Row],[amount]]&lt;1000,"Under 1000",Table_Sales[[#This Row],[amount]]&lt;3000,"1000 - 2999",Table_Sales[[#This Row],[amount]]&lt;5000,"3000 - 4999",TRUE,"5000 &amp; above")</f>
        <v>Under 1000</v>
      </c>
      <c r="K330">
        <f>IF(COUNTIFS(INDEX(Table_Sales[order_id],1):Table_Sales[[#This Row],[order_id]],Table_Sales[[#This Row],[order_id]])=1,1,0)</f>
        <v>0</v>
      </c>
      <c r="L33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330" t="str">
        <v>B-25882</v>
      </c>
    </row>
    <row r="331" spans="1:14" x14ac:dyDescent="0.25">
      <c r="A331" t="s">
        <v>261</v>
      </c>
      <c r="B331" s="1">
        <v>406</v>
      </c>
      <c r="C331" s="1">
        <v>97</v>
      </c>
      <c r="D331">
        <v>7</v>
      </c>
      <c r="E331" t="s">
        <v>12</v>
      </c>
      <c r="F331" t="s">
        <v>13</v>
      </c>
      <c r="G331" t="s">
        <v>19</v>
      </c>
      <c r="H331">
        <f>IF(Table_Sales[[#This Row],[profit]]&lt;0,1,0)</f>
        <v>0</v>
      </c>
      <c r="I331" t="str" cm="1">
        <f t="array" ref="I331">_xlfn.IFS(Table_Sales[[#This Row],[quantity]]&lt;=3,"1-3",Table_Sales[[#This Row],[quantity]]&lt;=7,"2-7",Table_Sales[[#This Row],[quantity]]&lt;=10,"8-10",TRUE,"11 and above")</f>
        <v>2-7</v>
      </c>
      <c r="J331" t="str" cm="1">
        <f t="array" ref="J331">_xlfn.IFS(Table_Sales[[#This Row],[amount]]&lt;1000,"Under 1000",Table_Sales[[#This Row],[amount]]&lt;3000,"1000 - 2999",Table_Sales[[#This Row],[amount]]&lt;5000,"3000 - 4999",TRUE,"5000 &amp; above")</f>
        <v>Under 1000</v>
      </c>
      <c r="K331">
        <f>IF(COUNTIFS(INDEX(Table_Sales[order_id],1):Table_Sales[[#This Row],[order_id]],Table_Sales[[#This Row],[order_id]])=1,1,0)</f>
        <v>1</v>
      </c>
      <c r="L33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331" t="str">
        <v>B-26040</v>
      </c>
    </row>
    <row r="332" spans="1:14" x14ac:dyDescent="0.25">
      <c r="A332" t="s">
        <v>262</v>
      </c>
      <c r="B332" s="1">
        <v>32</v>
      </c>
      <c r="C332" s="1">
        <v>7</v>
      </c>
      <c r="D332">
        <v>3</v>
      </c>
      <c r="E332" t="s">
        <v>23</v>
      </c>
      <c r="F332" t="s">
        <v>30</v>
      </c>
      <c r="G332" t="s">
        <v>10</v>
      </c>
      <c r="H332">
        <f>IF(Table_Sales[[#This Row],[profit]]&lt;0,1,0)</f>
        <v>0</v>
      </c>
      <c r="I332" t="str" cm="1">
        <f t="array" ref="I332">_xlfn.IFS(Table_Sales[[#This Row],[quantity]]&lt;=3,"1-3",Table_Sales[[#This Row],[quantity]]&lt;=7,"2-7",Table_Sales[[#This Row],[quantity]]&lt;=10,"8-10",TRUE,"11 and above")</f>
        <v>1-3</v>
      </c>
      <c r="J332" t="str" cm="1">
        <f t="array" ref="J332">_xlfn.IFS(Table_Sales[[#This Row],[amount]]&lt;1000,"Under 1000",Table_Sales[[#This Row],[amount]]&lt;3000,"1000 - 2999",Table_Sales[[#This Row],[amount]]&lt;5000,"3000 - 4999",TRUE,"5000 &amp; above")</f>
        <v>Under 1000</v>
      </c>
      <c r="K332">
        <f>IF(COUNTIFS(INDEX(Table_Sales[order_id],1):Table_Sales[[#This Row],[order_id]],Table_Sales[[#This Row],[order_id]])=1,1,0)</f>
        <v>1</v>
      </c>
      <c r="L33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332" t="str">
        <v>B-26037</v>
      </c>
    </row>
    <row r="333" spans="1:14" x14ac:dyDescent="0.25">
      <c r="A333" t="s">
        <v>177</v>
      </c>
      <c r="B333" s="1">
        <v>260</v>
      </c>
      <c r="C333" s="1">
        <v>68</v>
      </c>
      <c r="D333">
        <v>2</v>
      </c>
      <c r="E333" t="s">
        <v>8</v>
      </c>
      <c r="F333" t="s">
        <v>18</v>
      </c>
      <c r="G333" t="s">
        <v>10</v>
      </c>
      <c r="H333">
        <f>IF(Table_Sales[[#This Row],[profit]]&lt;0,1,0)</f>
        <v>0</v>
      </c>
      <c r="I333" t="str" cm="1">
        <f t="array" ref="I333">_xlfn.IFS(Table_Sales[[#This Row],[quantity]]&lt;=3,"1-3",Table_Sales[[#This Row],[quantity]]&lt;=7,"2-7",Table_Sales[[#This Row],[quantity]]&lt;=10,"8-10",TRUE,"11 and above")</f>
        <v>1-3</v>
      </c>
      <c r="J333" t="str" cm="1">
        <f t="array" ref="J333">_xlfn.IFS(Table_Sales[[#This Row],[amount]]&lt;1000,"Under 1000",Table_Sales[[#This Row],[amount]]&lt;3000,"1000 - 2999",Table_Sales[[#This Row],[amount]]&lt;5000,"3000 - 4999",TRUE,"5000 &amp; above")</f>
        <v>Under 1000</v>
      </c>
      <c r="K333">
        <f>IF(COUNTIFS(INDEX(Table_Sales[order_id],1):Table_Sales[[#This Row],[order_id]],Table_Sales[[#This Row],[order_id]])=1,1,0)</f>
        <v>0</v>
      </c>
      <c r="L33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333" t="str">
        <v>B-25920</v>
      </c>
    </row>
    <row r="334" spans="1:14" x14ac:dyDescent="0.25">
      <c r="A334" t="s">
        <v>263</v>
      </c>
      <c r="B334" s="1">
        <v>41</v>
      </c>
      <c r="C334" s="1">
        <v>19</v>
      </c>
      <c r="D334">
        <v>5</v>
      </c>
      <c r="E334" t="s">
        <v>23</v>
      </c>
      <c r="F334" t="s">
        <v>30</v>
      </c>
      <c r="G334" t="s">
        <v>82</v>
      </c>
      <c r="H334">
        <f>IF(Table_Sales[[#This Row],[profit]]&lt;0,1,0)</f>
        <v>0</v>
      </c>
      <c r="I334" t="str" cm="1">
        <f t="array" ref="I334">_xlfn.IFS(Table_Sales[[#This Row],[quantity]]&lt;=3,"1-3",Table_Sales[[#This Row],[quantity]]&lt;=7,"2-7",Table_Sales[[#This Row],[quantity]]&lt;=10,"8-10",TRUE,"11 and above")</f>
        <v>2-7</v>
      </c>
      <c r="J334" t="str" cm="1">
        <f t="array" ref="J334">_xlfn.IFS(Table_Sales[[#This Row],[amount]]&lt;1000,"Under 1000",Table_Sales[[#This Row],[amount]]&lt;3000,"1000 - 2999",Table_Sales[[#This Row],[amount]]&lt;5000,"3000 - 4999",TRUE,"5000 &amp; above")</f>
        <v>Under 1000</v>
      </c>
      <c r="K334">
        <f>IF(COUNTIFS(INDEX(Table_Sales[order_id],1):Table_Sales[[#This Row],[order_id]],Table_Sales[[#This Row],[order_id]])=1,1,0)</f>
        <v>1</v>
      </c>
      <c r="L33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334" t="str">
        <v>B-25960</v>
      </c>
    </row>
    <row r="335" spans="1:14" x14ac:dyDescent="0.25">
      <c r="A335" t="s">
        <v>55</v>
      </c>
      <c r="B335" s="1">
        <v>401</v>
      </c>
      <c r="C335" s="1">
        <v>13</v>
      </c>
      <c r="D335">
        <v>6</v>
      </c>
      <c r="E335" t="s">
        <v>12</v>
      </c>
      <c r="F335" t="s">
        <v>13</v>
      </c>
      <c r="G335" t="s">
        <v>19</v>
      </c>
      <c r="H335">
        <f>IF(Table_Sales[[#This Row],[profit]]&lt;0,1,0)</f>
        <v>0</v>
      </c>
      <c r="I335" t="str" cm="1">
        <f t="array" ref="I335">_xlfn.IFS(Table_Sales[[#This Row],[quantity]]&lt;=3,"1-3",Table_Sales[[#This Row],[quantity]]&lt;=7,"2-7",Table_Sales[[#This Row],[quantity]]&lt;=10,"8-10",TRUE,"11 and above")</f>
        <v>2-7</v>
      </c>
      <c r="J335" t="str" cm="1">
        <f t="array" ref="J335">_xlfn.IFS(Table_Sales[[#This Row],[amount]]&lt;1000,"Under 1000",Table_Sales[[#This Row],[amount]]&lt;3000,"1000 - 2999",Table_Sales[[#This Row],[amount]]&lt;5000,"3000 - 4999",TRUE,"5000 &amp; above")</f>
        <v>Under 1000</v>
      </c>
      <c r="K335">
        <f>IF(COUNTIFS(INDEX(Table_Sales[order_id],1):Table_Sales[[#This Row],[order_id]],Table_Sales[[#This Row],[order_id]])=1,1,0)</f>
        <v>0</v>
      </c>
      <c r="L33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335" t="str">
        <v>B-25917</v>
      </c>
    </row>
    <row r="336" spans="1:14" x14ac:dyDescent="0.25">
      <c r="A336" t="s">
        <v>259</v>
      </c>
      <c r="B336" s="1">
        <v>382</v>
      </c>
      <c r="C336" s="1">
        <v>30</v>
      </c>
      <c r="D336">
        <v>3</v>
      </c>
      <c r="E336" t="s">
        <v>23</v>
      </c>
      <c r="F336" t="s">
        <v>26</v>
      </c>
      <c r="G336" t="s">
        <v>19</v>
      </c>
      <c r="H336">
        <f>IF(Table_Sales[[#This Row],[profit]]&lt;0,1,0)</f>
        <v>0</v>
      </c>
      <c r="I336" t="str" cm="1">
        <f t="array" ref="I336">_xlfn.IFS(Table_Sales[[#This Row],[quantity]]&lt;=3,"1-3",Table_Sales[[#This Row],[quantity]]&lt;=7,"2-7",Table_Sales[[#This Row],[quantity]]&lt;=10,"8-10",TRUE,"11 and above")</f>
        <v>1-3</v>
      </c>
      <c r="J336" t="str" cm="1">
        <f t="array" ref="J336">_xlfn.IFS(Table_Sales[[#This Row],[amount]]&lt;1000,"Under 1000",Table_Sales[[#This Row],[amount]]&lt;3000,"1000 - 2999",Table_Sales[[#This Row],[amount]]&lt;5000,"3000 - 4999",TRUE,"5000 &amp; above")</f>
        <v>Under 1000</v>
      </c>
      <c r="K336">
        <f>IF(COUNTIFS(INDEX(Table_Sales[order_id],1):Table_Sales[[#This Row],[order_id]],Table_Sales[[#This Row],[order_id]])=1,1,0)</f>
        <v>0</v>
      </c>
      <c r="L33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336" t="str">
        <v>B-25972</v>
      </c>
    </row>
    <row r="337" spans="1:14" x14ac:dyDescent="0.25">
      <c r="A337" t="s">
        <v>264</v>
      </c>
      <c r="B337" s="1">
        <v>867</v>
      </c>
      <c r="C337" s="1">
        <v>251</v>
      </c>
      <c r="D337">
        <v>5</v>
      </c>
      <c r="E337" t="s">
        <v>8</v>
      </c>
      <c r="F337" t="s">
        <v>21</v>
      </c>
      <c r="G337" t="s">
        <v>10</v>
      </c>
      <c r="H337">
        <f>IF(Table_Sales[[#This Row],[profit]]&lt;0,1,0)</f>
        <v>0</v>
      </c>
      <c r="I337" t="str" cm="1">
        <f t="array" ref="I337">_xlfn.IFS(Table_Sales[[#This Row],[quantity]]&lt;=3,"1-3",Table_Sales[[#This Row],[quantity]]&lt;=7,"2-7",Table_Sales[[#This Row],[quantity]]&lt;=10,"8-10",TRUE,"11 and above")</f>
        <v>2-7</v>
      </c>
      <c r="J337" t="str" cm="1">
        <f t="array" ref="J337">_xlfn.IFS(Table_Sales[[#This Row],[amount]]&lt;1000,"Under 1000",Table_Sales[[#This Row],[amount]]&lt;3000,"1000 - 2999",Table_Sales[[#This Row],[amount]]&lt;5000,"3000 - 4999",TRUE,"5000 &amp; above")</f>
        <v>Under 1000</v>
      </c>
      <c r="K337">
        <f>IF(COUNTIFS(INDEX(Table_Sales[order_id],1):Table_Sales[[#This Row],[order_id]],Table_Sales[[#This Row],[order_id]])=1,1,0)</f>
        <v>1</v>
      </c>
      <c r="L33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337" t="str">
        <v>B-25736</v>
      </c>
    </row>
    <row r="338" spans="1:14" x14ac:dyDescent="0.25">
      <c r="A338" t="s">
        <v>265</v>
      </c>
      <c r="B338" s="1">
        <v>43</v>
      </c>
      <c r="C338" s="1">
        <v>0</v>
      </c>
      <c r="D338">
        <v>3</v>
      </c>
      <c r="E338" t="s">
        <v>23</v>
      </c>
      <c r="F338" t="s">
        <v>26</v>
      </c>
      <c r="G338" t="s">
        <v>82</v>
      </c>
      <c r="H338">
        <f>IF(Table_Sales[[#This Row],[profit]]&lt;0,1,0)</f>
        <v>0</v>
      </c>
      <c r="I338" t="str" cm="1">
        <f t="array" ref="I338">_xlfn.IFS(Table_Sales[[#This Row],[quantity]]&lt;=3,"1-3",Table_Sales[[#This Row],[quantity]]&lt;=7,"2-7",Table_Sales[[#This Row],[quantity]]&lt;=10,"8-10",TRUE,"11 and above")</f>
        <v>1-3</v>
      </c>
      <c r="J338" t="str" cm="1">
        <f t="array" ref="J338">_xlfn.IFS(Table_Sales[[#This Row],[amount]]&lt;1000,"Under 1000",Table_Sales[[#This Row],[amount]]&lt;3000,"1000 - 2999",Table_Sales[[#This Row],[amount]]&lt;5000,"3000 - 4999",TRUE,"5000 &amp; above")</f>
        <v>Under 1000</v>
      </c>
      <c r="K338">
        <f>IF(COUNTIFS(INDEX(Table_Sales[order_id],1):Table_Sales[[#This Row],[order_id]],Table_Sales[[#This Row],[order_id]])=1,1,0)</f>
        <v>1</v>
      </c>
      <c r="L33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338" t="str">
        <v>B-25742</v>
      </c>
    </row>
    <row r="339" spans="1:14" x14ac:dyDescent="0.25">
      <c r="A339" t="s">
        <v>266</v>
      </c>
      <c r="B339" s="1">
        <v>43</v>
      </c>
      <c r="C339" s="1">
        <v>-43</v>
      </c>
      <c r="D339">
        <v>7</v>
      </c>
      <c r="E339" t="s">
        <v>23</v>
      </c>
      <c r="F339" t="s">
        <v>57</v>
      </c>
      <c r="G339" t="s">
        <v>82</v>
      </c>
      <c r="H339">
        <f>IF(Table_Sales[[#This Row],[profit]]&lt;0,1,0)</f>
        <v>1</v>
      </c>
      <c r="I339" t="str" cm="1">
        <f t="array" ref="I339">_xlfn.IFS(Table_Sales[[#This Row],[quantity]]&lt;=3,"1-3",Table_Sales[[#This Row],[quantity]]&lt;=7,"2-7",Table_Sales[[#This Row],[quantity]]&lt;=10,"8-10",TRUE,"11 and above")</f>
        <v>2-7</v>
      </c>
      <c r="J339" t="str" cm="1">
        <f t="array" ref="J339">_xlfn.IFS(Table_Sales[[#This Row],[amount]]&lt;1000,"Under 1000",Table_Sales[[#This Row],[amount]]&lt;3000,"1000 - 2999",Table_Sales[[#This Row],[amount]]&lt;5000,"3000 - 4999",TRUE,"5000 &amp; above")</f>
        <v>Under 1000</v>
      </c>
      <c r="K339">
        <f>IF(COUNTIFS(INDEX(Table_Sales[order_id],1):Table_Sales[[#This Row],[order_id]],Table_Sales[[#This Row],[order_id]])=1,1,0)</f>
        <v>1</v>
      </c>
      <c r="L33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339" t="str">
        <v>B-25641</v>
      </c>
    </row>
    <row r="340" spans="1:14" x14ac:dyDescent="0.25">
      <c r="A340" t="s">
        <v>217</v>
      </c>
      <c r="B340" s="1">
        <v>74</v>
      </c>
      <c r="C340" s="1">
        <v>29</v>
      </c>
      <c r="D340">
        <v>3</v>
      </c>
      <c r="E340" t="s">
        <v>23</v>
      </c>
      <c r="F340" t="s">
        <v>57</v>
      </c>
      <c r="G340" t="s">
        <v>10</v>
      </c>
      <c r="H340">
        <f>IF(Table_Sales[[#This Row],[profit]]&lt;0,1,0)</f>
        <v>0</v>
      </c>
      <c r="I340" t="str" cm="1">
        <f t="array" ref="I340">_xlfn.IFS(Table_Sales[[#This Row],[quantity]]&lt;=3,"1-3",Table_Sales[[#This Row],[quantity]]&lt;=7,"2-7",Table_Sales[[#This Row],[quantity]]&lt;=10,"8-10",TRUE,"11 and above")</f>
        <v>1-3</v>
      </c>
      <c r="J340" t="str" cm="1">
        <f t="array" ref="J340">_xlfn.IFS(Table_Sales[[#This Row],[amount]]&lt;1000,"Under 1000",Table_Sales[[#This Row],[amount]]&lt;3000,"1000 - 2999",Table_Sales[[#This Row],[amount]]&lt;5000,"3000 - 4999",TRUE,"5000 &amp; above")</f>
        <v>Under 1000</v>
      </c>
      <c r="K340">
        <f>IF(COUNTIFS(INDEX(Table_Sales[order_id],1):Table_Sales[[#This Row],[order_id]],Table_Sales[[#This Row],[order_id]])=1,1,0)</f>
        <v>0</v>
      </c>
      <c r="L34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340" t="str">
        <v>B-25958</v>
      </c>
    </row>
    <row r="341" spans="1:14" x14ac:dyDescent="0.25">
      <c r="A341" t="s">
        <v>38</v>
      </c>
      <c r="B341" s="1">
        <v>44</v>
      </c>
      <c r="C341" s="1">
        <v>-26</v>
      </c>
      <c r="D341">
        <v>3</v>
      </c>
      <c r="E341" t="s">
        <v>23</v>
      </c>
      <c r="F341" t="s">
        <v>30</v>
      </c>
      <c r="G341" t="s">
        <v>82</v>
      </c>
      <c r="H341">
        <f>IF(Table_Sales[[#This Row],[profit]]&lt;0,1,0)</f>
        <v>1</v>
      </c>
      <c r="I341" t="str" cm="1">
        <f t="array" ref="I341">_xlfn.IFS(Table_Sales[[#This Row],[quantity]]&lt;=3,"1-3",Table_Sales[[#This Row],[quantity]]&lt;=7,"2-7",Table_Sales[[#This Row],[quantity]]&lt;=10,"8-10",TRUE,"11 and above")</f>
        <v>1-3</v>
      </c>
      <c r="J341" t="str" cm="1">
        <f t="array" ref="J341">_xlfn.IFS(Table_Sales[[#This Row],[amount]]&lt;1000,"Under 1000",Table_Sales[[#This Row],[amount]]&lt;3000,"1000 - 2999",Table_Sales[[#This Row],[amount]]&lt;5000,"3000 - 4999",TRUE,"5000 &amp; above")</f>
        <v>Under 1000</v>
      </c>
      <c r="K341">
        <f>IF(COUNTIFS(INDEX(Table_Sales[order_id],1):Table_Sales[[#This Row],[order_id]],Table_Sales[[#This Row],[order_id]])=1,1,0)</f>
        <v>0</v>
      </c>
      <c r="L34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341" t="str">
        <v>B-25802</v>
      </c>
    </row>
    <row r="342" spans="1:14" x14ac:dyDescent="0.25">
      <c r="A342" t="s">
        <v>267</v>
      </c>
      <c r="B342" s="1">
        <v>259</v>
      </c>
      <c r="C342" s="1">
        <v>-55</v>
      </c>
      <c r="D342">
        <v>2</v>
      </c>
      <c r="E342" t="s">
        <v>12</v>
      </c>
      <c r="F342" t="s">
        <v>13</v>
      </c>
      <c r="G342" t="s">
        <v>10</v>
      </c>
      <c r="H342">
        <f>IF(Table_Sales[[#This Row],[profit]]&lt;0,1,0)</f>
        <v>1</v>
      </c>
      <c r="I342" t="str" cm="1">
        <f t="array" ref="I342">_xlfn.IFS(Table_Sales[[#This Row],[quantity]]&lt;=3,"1-3",Table_Sales[[#This Row],[quantity]]&lt;=7,"2-7",Table_Sales[[#This Row],[quantity]]&lt;=10,"8-10",TRUE,"11 and above")</f>
        <v>1-3</v>
      </c>
      <c r="J342" t="str" cm="1">
        <f t="array" ref="J342">_xlfn.IFS(Table_Sales[[#This Row],[amount]]&lt;1000,"Under 1000",Table_Sales[[#This Row],[amount]]&lt;3000,"1000 - 2999",Table_Sales[[#This Row],[amount]]&lt;5000,"3000 - 4999",TRUE,"5000 &amp; above")</f>
        <v>Under 1000</v>
      </c>
      <c r="K342">
        <f>IF(COUNTIFS(INDEX(Table_Sales[order_id],1):Table_Sales[[#This Row],[order_id]],Table_Sales[[#This Row],[order_id]])=1,1,0)</f>
        <v>1</v>
      </c>
      <c r="L34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342" t="str">
        <v>B-25834</v>
      </c>
    </row>
    <row r="343" spans="1:14" x14ac:dyDescent="0.25">
      <c r="A343" t="s">
        <v>87</v>
      </c>
      <c r="B343" s="1">
        <v>257</v>
      </c>
      <c r="C343" s="1">
        <v>23</v>
      </c>
      <c r="D343">
        <v>5</v>
      </c>
      <c r="E343" t="s">
        <v>23</v>
      </c>
      <c r="F343" t="s">
        <v>30</v>
      </c>
      <c r="G343" t="s">
        <v>10</v>
      </c>
      <c r="H343">
        <f>IF(Table_Sales[[#This Row],[profit]]&lt;0,1,0)</f>
        <v>0</v>
      </c>
      <c r="I343" t="str" cm="1">
        <f t="array" ref="I343">_xlfn.IFS(Table_Sales[[#This Row],[quantity]]&lt;=3,"1-3",Table_Sales[[#This Row],[quantity]]&lt;=7,"2-7",Table_Sales[[#This Row],[quantity]]&lt;=10,"8-10",TRUE,"11 and above")</f>
        <v>2-7</v>
      </c>
      <c r="J343" t="str" cm="1">
        <f t="array" ref="J343">_xlfn.IFS(Table_Sales[[#This Row],[amount]]&lt;1000,"Under 1000",Table_Sales[[#This Row],[amount]]&lt;3000,"1000 - 2999",Table_Sales[[#This Row],[amount]]&lt;5000,"3000 - 4999",TRUE,"5000 &amp; above")</f>
        <v>Under 1000</v>
      </c>
      <c r="K343">
        <f>IF(COUNTIFS(INDEX(Table_Sales[order_id],1):Table_Sales[[#This Row],[order_id]],Table_Sales[[#This Row],[order_id]])=1,1,0)</f>
        <v>0</v>
      </c>
      <c r="L34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343" t="str">
        <v>B-25774</v>
      </c>
    </row>
    <row r="344" spans="1:14" x14ac:dyDescent="0.25">
      <c r="A344" t="s">
        <v>127</v>
      </c>
      <c r="B344" s="1">
        <v>76</v>
      </c>
      <c r="C344" s="1">
        <v>27</v>
      </c>
      <c r="D344">
        <v>5</v>
      </c>
      <c r="E344" t="s">
        <v>23</v>
      </c>
      <c r="F344" t="s">
        <v>57</v>
      </c>
      <c r="G344" t="s">
        <v>10</v>
      </c>
      <c r="H344">
        <f>IF(Table_Sales[[#This Row],[profit]]&lt;0,1,0)</f>
        <v>0</v>
      </c>
      <c r="I344" t="str" cm="1">
        <f t="array" ref="I344">_xlfn.IFS(Table_Sales[[#This Row],[quantity]]&lt;=3,"1-3",Table_Sales[[#This Row],[quantity]]&lt;=7,"2-7",Table_Sales[[#This Row],[quantity]]&lt;=10,"8-10",TRUE,"11 and above")</f>
        <v>2-7</v>
      </c>
      <c r="J344" t="str" cm="1">
        <f t="array" ref="J344">_xlfn.IFS(Table_Sales[[#This Row],[amount]]&lt;1000,"Under 1000",Table_Sales[[#This Row],[amount]]&lt;3000,"1000 - 2999",Table_Sales[[#This Row],[amount]]&lt;5000,"3000 - 4999",TRUE,"5000 &amp; above")</f>
        <v>Under 1000</v>
      </c>
      <c r="K344">
        <f>IF(COUNTIFS(INDEX(Table_Sales[order_id],1):Table_Sales[[#This Row],[order_id]],Table_Sales[[#This Row],[order_id]])=1,1,0)</f>
        <v>0</v>
      </c>
      <c r="L34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344" t="str">
        <v>B-25904</v>
      </c>
    </row>
    <row r="345" spans="1:14" x14ac:dyDescent="0.25">
      <c r="A345" t="s">
        <v>268</v>
      </c>
      <c r="B345" s="1">
        <v>44</v>
      </c>
      <c r="C345" s="1">
        <v>-32</v>
      </c>
      <c r="D345">
        <v>3</v>
      </c>
      <c r="E345" t="s">
        <v>23</v>
      </c>
      <c r="F345" t="s">
        <v>57</v>
      </c>
      <c r="G345" t="s">
        <v>82</v>
      </c>
      <c r="H345">
        <f>IF(Table_Sales[[#This Row],[profit]]&lt;0,1,0)</f>
        <v>1</v>
      </c>
      <c r="I345" t="str" cm="1">
        <f t="array" ref="I345">_xlfn.IFS(Table_Sales[[#This Row],[quantity]]&lt;=3,"1-3",Table_Sales[[#This Row],[quantity]]&lt;=7,"2-7",Table_Sales[[#This Row],[quantity]]&lt;=10,"8-10",TRUE,"11 and above")</f>
        <v>1-3</v>
      </c>
      <c r="J345" t="str" cm="1">
        <f t="array" ref="J345">_xlfn.IFS(Table_Sales[[#This Row],[amount]]&lt;1000,"Under 1000",Table_Sales[[#This Row],[amount]]&lt;3000,"1000 - 2999",Table_Sales[[#This Row],[amount]]&lt;5000,"3000 - 4999",TRUE,"5000 &amp; above")</f>
        <v>Under 1000</v>
      </c>
      <c r="K345">
        <f>IF(COUNTIFS(INDEX(Table_Sales[order_id],1):Table_Sales[[#This Row],[order_id]],Table_Sales[[#This Row],[order_id]])=1,1,0)</f>
        <v>1</v>
      </c>
      <c r="L34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345" t="str">
        <v>B-25934</v>
      </c>
    </row>
    <row r="346" spans="1:14" x14ac:dyDescent="0.25">
      <c r="A346" t="s">
        <v>269</v>
      </c>
      <c r="B346" s="1">
        <v>257</v>
      </c>
      <c r="C346" s="1">
        <v>3</v>
      </c>
      <c r="D346">
        <v>2</v>
      </c>
      <c r="E346" t="s">
        <v>23</v>
      </c>
      <c r="F346" t="s">
        <v>26</v>
      </c>
      <c r="G346" t="s">
        <v>10</v>
      </c>
      <c r="H346">
        <f>IF(Table_Sales[[#This Row],[profit]]&lt;0,1,0)</f>
        <v>0</v>
      </c>
      <c r="I346" t="str" cm="1">
        <f t="array" ref="I346">_xlfn.IFS(Table_Sales[[#This Row],[quantity]]&lt;=3,"1-3",Table_Sales[[#This Row],[quantity]]&lt;=7,"2-7",Table_Sales[[#This Row],[quantity]]&lt;=10,"8-10",TRUE,"11 and above")</f>
        <v>1-3</v>
      </c>
      <c r="J346" t="str" cm="1">
        <f t="array" ref="J346">_xlfn.IFS(Table_Sales[[#This Row],[amount]]&lt;1000,"Under 1000",Table_Sales[[#This Row],[amount]]&lt;3000,"1000 - 2999",Table_Sales[[#This Row],[amount]]&lt;5000,"3000 - 4999",TRUE,"5000 &amp; above")</f>
        <v>Under 1000</v>
      </c>
      <c r="K346">
        <f>IF(COUNTIFS(INDEX(Table_Sales[order_id],1):Table_Sales[[#This Row],[order_id]],Table_Sales[[#This Row],[order_id]])=1,1,0)</f>
        <v>1</v>
      </c>
      <c r="L34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346" t="str">
        <v>B-25912</v>
      </c>
    </row>
    <row r="347" spans="1:14" x14ac:dyDescent="0.25">
      <c r="A347" t="s">
        <v>270</v>
      </c>
      <c r="B347" s="1">
        <v>255</v>
      </c>
      <c r="C347" s="1">
        <v>76</v>
      </c>
      <c r="D347">
        <v>9</v>
      </c>
      <c r="E347" t="s">
        <v>23</v>
      </c>
      <c r="F347" t="s">
        <v>30</v>
      </c>
      <c r="G347" t="s">
        <v>10</v>
      </c>
      <c r="H347">
        <f>IF(Table_Sales[[#This Row],[profit]]&lt;0,1,0)</f>
        <v>0</v>
      </c>
      <c r="I347" t="str" cm="1">
        <f t="array" ref="I347">_xlfn.IFS(Table_Sales[[#This Row],[quantity]]&lt;=3,"1-3",Table_Sales[[#This Row],[quantity]]&lt;=7,"2-7",Table_Sales[[#This Row],[quantity]]&lt;=10,"8-10",TRUE,"11 and above")</f>
        <v>8-10</v>
      </c>
      <c r="J347" t="str" cm="1">
        <f t="array" ref="J347">_xlfn.IFS(Table_Sales[[#This Row],[amount]]&lt;1000,"Under 1000",Table_Sales[[#This Row],[amount]]&lt;3000,"1000 - 2999",Table_Sales[[#This Row],[amount]]&lt;5000,"3000 - 4999",TRUE,"5000 &amp; above")</f>
        <v>Under 1000</v>
      </c>
      <c r="K347">
        <f>IF(COUNTIFS(INDEX(Table_Sales[order_id],1):Table_Sales[[#This Row],[order_id]],Table_Sales[[#This Row],[order_id]])=1,1,0)</f>
        <v>1</v>
      </c>
      <c r="L34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347" t="str">
        <v>B-25647</v>
      </c>
    </row>
    <row r="348" spans="1:14" x14ac:dyDescent="0.25">
      <c r="A348" t="s">
        <v>271</v>
      </c>
      <c r="B348" s="1">
        <v>44</v>
      </c>
      <c r="C348" s="1">
        <v>14</v>
      </c>
      <c r="D348">
        <v>3</v>
      </c>
      <c r="E348" t="s">
        <v>23</v>
      </c>
      <c r="F348" t="s">
        <v>30</v>
      </c>
      <c r="G348" t="s">
        <v>82</v>
      </c>
      <c r="H348">
        <f>IF(Table_Sales[[#This Row],[profit]]&lt;0,1,0)</f>
        <v>0</v>
      </c>
      <c r="I348" t="str" cm="1">
        <f t="array" ref="I348">_xlfn.IFS(Table_Sales[[#This Row],[quantity]]&lt;=3,"1-3",Table_Sales[[#This Row],[quantity]]&lt;=7,"2-7",Table_Sales[[#This Row],[quantity]]&lt;=10,"8-10",TRUE,"11 and above")</f>
        <v>1-3</v>
      </c>
      <c r="J348" t="str" cm="1">
        <f t="array" ref="J348">_xlfn.IFS(Table_Sales[[#This Row],[amount]]&lt;1000,"Under 1000",Table_Sales[[#This Row],[amount]]&lt;3000,"1000 - 2999",Table_Sales[[#This Row],[amount]]&lt;5000,"3000 - 4999",TRUE,"5000 &amp; above")</f>
        <v>Under 1000</v>
      </c>
      <c r="K348">
        <f>IF(COUNTIFS(INDEX(Table_Sales[order_id],1):Table_Sales[[#This Row],[order_id]],Table_Sales[[#This Row],[order_id]])=1,1,0)</f>
        <v>1</v>
      </c>
      <c r="L34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348" t="str">
        <v>B-25901</v>
      </c>
    </row>
    <row r="349" spans="1:14" x14ac:dyDescent="0.25">
      <c r="A349" t="s">
        <v>221</v>
      </c>
      <c r="B349" s="1">
        <v>45</v>
      </c>
      <c r="C349" s="1">
        <v>-2</v>
      </c>
      <c r="D349">
        <v>4</v>
      </c>
      <c r="E349" t="s">
        <v>23</v>
      </c>
      <c r="F349" t="s">
        <v>142</v>
      </c>
      <c r="G349" t="s">
        <v>10</v>
      </c>
      <c r="H349">
        <f>IF(Table_Sales[[#This Row],[profit]]&lt;0,1,0)</f>
        <v>1</v>
      </c>
      <c r="I349" t="str" cm="1">
        <f t="array" ref="I349">_xlfn.IFS(Table_Sales[[#This Row],[quantity]]&lt;=3,"1-3",Table_Sales[[#This Row],[quantity]]&lt;=7,"2-7",Table_Sales[[#This Row],[quantity]]&lt;=10,"8-10",TRUE,"11 and above")</f>
        <v>2-7</v>
      </c>
      <c r="J349" t="str" cm="1">
        <f t="array" ref="J349">_xlfn.IFS(Table_Sales[[#This Row],[amount]]&lt;1000,"Under 1000",Table_Sales[[#This Row],[amount]]&lt;3000,"1000 - 2999",Table_Sales[[#This Row],[amount]]&lt;5000,"3000 - 4999",TRUE,"5000 &amp; above")</f>
        <v>Under 1000</v>
      </c>
      <c r="K349">
        <f>IF(COUNTIFS(INDEX(Table_Sales[order_id],1):Table_Sales[[#This Row],[order_id]],Table_Sales[[#This Row],[order_id]])=1,1,0)</f>
        <v>0</v>
      </c>
      <c r="L34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349" t="str">
        <v>B-25804</v>
      </c>
    </row>
    <row r="350" spans="1:14" x14ac:dyDescent="0.25">
      <c r="A350" t="s">
        <v>7</v>
      </c>
      <c r="B350" s="1">
        <v>44</v>
      </c>
      <c r="C350" s="1">
        <v>-3</v>
      </c>
      <c r="D350">
        <v>1</v>
      </c>
      <c r="E350" t="s">
        <v>23</v>
      </c>
      <c r="F350" t="s">
        <v>26</v>
      </c>
      <c r="G350" t="s">
        <v>82</v>
      </c>
      <c r="H350">
        <f>IF(Table_Sales[[#This Row],[profit]]&lt;0,1,0)</f>
        <v>1</v>
      </c>
      <c r="I350" t="str" cm="1">
        <f t="array" ref="I350">_xlfn.IFS(Table_Sales[[#This Row],[quantity]]&lt;=3,"1-3",Table_Sales[[#This Row],[quantity]]&lt;=7,"2-7",Table_Sales[[#This Row],[quantity]]&lt;=10,"8-10",TRUE,"11 and above")</f>
        <v>1-3</v>
      </c>
      <c r="J350" t="str" cm="1">
        <f t="array" ref="J350">_xlfn.IFS(Table_Sales[[#This Row],[amount]]&lt;1000,"Under 1000",Table_Sales[[#This Row],[amount]]&lt;3000,"1000 - 2999",Table_Sales[[#This Row],[amount]]&lt;5000,"3000 - 4999",TRUE,"5000 &amp; above")</f>
        <v>Under 1000</v>
      </c>
      <c r="K350">
        <f>IF(COUNTIFS(INDEX(Table_Sales[order_id],1):Table_Sales[[#This Row],[order_id]],Table_Sales[[#This Row],[order_id]])=1,1,0)</f>
        <v>0</v>
      </c>
      <c r="L35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350" t="str">
        <v>B-25734</v>
      </c>
    </row>
    <row r="351" spans="1:14" x14ac:dyDescent="0.25">
      <c r="A351" t="s">
        <v>88</v>
      </c>
      <c r="B351" s="1">
        <v>382</v>
      </c>
      <c r="C351" s="1">
        <v>119</v>
      </c>
      <c r="D351">
        <v>2</v>
      </c>
      <c r="E351" t="s">
        <v>23</v>
      </c>
      <c r="F351" t="s">
        <v>26</v>
      </c>
      <c r="G351" t="s">
        <v>19</v>
      </c>
      <c r="H351">
        <f>IF(Table_Sales[[#This Row],[profit]]&lt;0,1,0)</f>
        <v>0</v>
      </c>
      <c r="I351" t="str" cm="1">
        <f t="array" ref="I351">_xlfn.IFS(Table_Sales[[#This Row],[quantity]]&lt;=3,"1-3",Table_Sales[[#This Row],[quantity]]&lt;=7,"2-7",Table_Sales[[#This Row],[quantity]]&lt;=10,"8-10",TRUE,"11 and above")</f>
        <v>1-3</v>
      </c>
      <c r="J351" t="str" cm="1">
        <f t="array" ref="J351">_xlfn.IFS(Table_Sales[[#This Row],[amount]]&lt;1000,"Under 1000",Table_Sales[[#This Row],[amount]]&lt;3000,"1000 - 2999",Table_Sales[[#This Row],[amount]]&lt;5000,"3000 - 4999",TRUE,"5000 &amp; above")</f>
        <v>Under 1000</v>
      </c>
      <c r="K351">
        <f>IF(COUNTIFS(INDEX(Table_Sales[order_id],1):Table_Sales[[#This Row],[order_id]],Table_Sales[[#This Row],[order_id]])=1,1,0)</f>
        <v>0</v>
      </c>
      <c r="L35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351" t="str">
        <v>B-25711</v>
      </c>
    </row>
    <row r="352" spans="1:14" x14ac:dyDescent="0.25">
      <c r="A352" t="s">
        <v>179</v>
      </c>
      <c r="B352" s="1">
        <v>250</v>
      </c>
      <c r="C352" s="1">
        <v>100</v>
      </c>
      <c r="D352">
        <v>3</v>
      </c>
      <c r="E352" t="s">
        <v>23</v>
      </c>
      <c r="F352" t="s">
        <v>24</v>
      </c>
      <c r="G352" t="s">
        <v>10</v>
      </c>
      <c r="H352">
        <f>IF(Table_Sales[[#This Row],[profit]]&lt;0,1,0)</f>
        <v>0</v>
      </c>
      <c r="I352" t="str" cm="1">
        <f t="array" ref="I352">_xlfn.IFS(Table_Sales[[#This Row],[quantity]]&lt;=3,"1-3",Table_Sales[[#This Row],[quantity]]&lt;=7,"2-7",Table_Sales[[#This Row],[quantity]]&lt;=10,"8-10",TRUE,"11 and above")</f>
        <v>1-3</v>
      </c>
      <c r="J352" t="str" cm="1">
        <f t="array" ref="J352">_xlfn.IFS(Table_Sales[[#This Row],[amount]]&lt;1000,"Under 1000",Table_Sales[[#This Row],[amount]]&lt;3000,"1000 - 2999",Table_Sales[[#This Row],[amount]]&lt;5000,"3000 - 4999",TRUE,"5000 &amp; above")</f>
        <v>Under 1000</v>
      </c>
      <c r="K352">
        <f>IF(COUNTIFS(INDEX(Table_Sales[order_id],1):Table_Sales[[#This Row],[order_id]],Table_Sales[[#This Row],[order_id]])=1,1,0)</f>
        <v>0</v>
      </c>
      <c r="L35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352" t="str">
        <v>B-25864</v>
      </c>
    </row>
    <row r="353" spans="1:14" x14ac:dyDescent="0.25">
      <c r="A353" t="s">
        <v>272</v>
      </c>
      <c r="B353" s="1">
        <v>45</v>
      </c>
      <c r="C353" s="1">
        <v>-15</v>
      </c>
      <c r="D353">
        <v>2</v>
      </c>
      <c r="E353" t="s">
        <v>12</v>
      </c>
      <c r="F353" t="s">
        <v>13</v>
      </c>
      <c r="G353" t="s">
        <v>10</v>
      </c>
      <c r="H353">
        <f>IF(Table_Sales[[#This Row],[profit]]&lt;0,1,0)</f>
        <v>1</v>
      </c>
      <c r="I353" t="str" cm="1">
        <f t="array" ref="I353">_xlfn.IFS(Table_Sales[[#This Row],[quantity]]&lt;=3,"1-3",Table_Sales[[#This Row],[quantity]]&lt;=7,"2-7",Table_Sales[[#This Row],[quantity]]&lt;=10,"8-10",TRUE,"11 and above")</f>
        <v>1-3</v>
      </c>
      <c r="J353" t="str" cm="1">
        <f t="array" ref="J353">_xlfn.IFS(Table_Sales[[#This Row],[amount]]&lt;1000,"Under 1000",Table_Sales[[#This Row],[amount]]&lt;3000,"1000 - 2999",Table_Sales[[#This Row],[amount]]&lt;5000,"3000 - 4999",TRUE,"5000 &amp; above")</f>
        <v>Under 1000</v>
      </c>
      <c r="K353">
        <f>IF(COUNTIFS(INDEX(Table_Sales[order_id],1):Table_Sales[[#This Row],[order_id]],Table_Sales[[#This Row],[order_id]])=1,1,0)</f>
        <v>1</v>
      </c>
      <c r="L35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353" t="str">
        <v>B-25949</v>
      </c>
    </row>
    <row r="354" spans="1:14" x14ac:dyDescent="0.25">
      <c r="A354" t="s">
        <v>167</v>
      </c>
      <c r="B354" s="1">
        <v>246</v>
      </c>
      <c r="C354" s="1">
        <v>61</v>
      </c>
      <c r="D354">
        <v>2</v>
      </c>
      <c r="E354" t="s">
        <v>12</v>
      </c>
      <c r="F354" t="s">
        <v>16</v>
      </c>
      <c r="G354" t="s">
        <v>10</v>
      </c>
      <c r="H354">
        <f>IF(Table_Sales[[#This Row],[profit]]&lt;0,1,0)</f>
        <v>0</v>
      </c>
      <c r="I354" t="str" cm="1">
        <f t="array" ref="I354">_xlfn.IFS(Table_Sales[[#This Row],[quantity]]&lt;=3,"1-3",Table_Sales[[#This Row],[quantity]]&lt;=7,"2-7",Table_Sales[[#This Row],[quantity]]&lt;=10,"8-10",TRUE,"11 and above")</f>
        <v>1-3</v>
      </c>
      <c r="J354" t="str" cm="1">
        <f t="array" ref="J354">_xlfn.IFS(Table_Sales[[#This Row],[amount]]&lt;1000,"Under 1000",Table_Sales[[#This Row],[amount]]&lt;3000,"1000 - 2999",Table_Sales[[#This Row],[amount]]&lt;5000,"3000 - 4999",TRUE,"5000 &amp; above")</f>
        <v>Under 1000</v>
      </c>
      <c r="K354">
        <f>IF(COUNTIFS(INDEX(Table_Sales[order_id],1):Table_Sales[[#This Row],[order_id]],Table_Sales[[#This Row],[order_id]])=1,1,0)</f>
        <v>0</v>
      </c>
      <c r="L35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354" t="str">
        <v>B-25805</v>
      </c>
    </row>
    <row r="355" spans="1:14" x14ac:dyDescent="0.25">
      <c r="A355" t="s">
        <v>254</v>
      </c>
      <c r="B355" s="1">
        <v>50</v>
      </c>
      <c r="C355" s="1">
        <v>25</v>
      </c>
      <c r="D355">
        <v>5</v>
      </c>
      <c r="E355" t="s">
        <v>23</v>
      </c>
      <c r="F355" t="s">
        <v>57</v>
      </c>
      <c r="G355" t="s">
        <v>10</v>
      </c>
      <c r="H355">
        <f>IF(Table_Sales[[#This Row],[profit]]&lt;0,1,0)</f>
        <v>0</v>
      </c>
      <c r="I355" t="str" cm="1">
        <f t="array" ref="I355">_xlfn.IFS(Table_Sales[[#This Row],[quantity]]&lt;=3,"1-3",Table_Sales[[#This Row],[quantity]]&lt;=7,"2-7",Table_Sales[[#This Row],[quantity]]&lt;=10,"8-10",TRUE,"11 and above")</f>
        <v>2-7</v>
      </c>
      <c r="J355" t="str" cm="1">
        <f t="array" ref="J355">_xlfn.IFS(Table_Sales[[#This Row],[amount]]&lt;1000,"Under 1000",Table_Sales[[#This Row],[amount]]&lt;3000,"1000 - 2999",Table_Sales[[#This Row],[amount]]&lt;5000,"3000 - 4999",TRUE,"5000 &amp; above")</f>
        <v>Under 1000</v>
      </c>
      <c r="K355">
        <f>IF(COUNTIFS(INDEX(Table_Sales[order_id],1):Table_Sales[[#This Row],[order_id]],Table_Sales[[#This Row],[order_id]])=1,1,0)</f>
        <v>0</v>
      </c>
      <c r="L35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355" t="str">
        <v>B-25919</v>
      </c>
    </row>
    <row r="356" spans="1:14" x14ac:dyDescent="0.25">
      <c r="A356" t="s">
        <v>273</v>
      </c>
      <c r="B356" s="1">
        <v>246</v>
      </c>
      <c r="C356" s="1">
        <v>98</v>
      </c>
      <c r="D356">
        <v>5</v>
      </c>
      <c r="E356" t="s">
        <v>23</v>
      </c>
      <c r="F356" t="s">
        <v>30</v>
      </c>
      <c r="G356" t="s">
        <v>10</v>
      </c>
      <c r="H356">
        <f>IF(Table_Sales[[#This Row],[profit]]&lt;0,1,0)</f>
        <v>0</v>
      </c>
      <c r="I356" t="str" cm="1">
        <f t="array" ref="I356">_xlfn.IFS(Table_Sales[[#This Row],[quantity]]&lt;=3,"1-3",Table_Sales[[#This Row],[quantity]]&lt;=7,"2-7",Table_Sales[[#This Row],[quantity]]&lt;=10,"8-10",TRUE,"11 and above")</f>
        <v>2-7</v>
      </c>
      <c r="J356" t="str" cm="1">
        <f t="array" ref="J356">_xlfn.IFS(Table_Sales[[#This Row],[amount]]&lt;1000,"Under 1000",Table_Sales[[#This Row],[amount]]&lt;3000,"1000 - 2999",Table_Sales[[#This Row],[amount]]&lt;5000,"3000 - 4999",TRUE,"5000 &amp; above")</f>
        <v>Under 1000</v>
      </c>
      <c r="K356">
        <f>IF(COUNTIFS(INDEX(Table_Sales[order_id],1):Table_Sales[[#This Row],[order_id]],Table_Sales[[#This Row],[order_id]])=1,1,0)</f>
        <v>1</v>
      </c>
      <c r="L35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356" t="str">
        <v>B-25889</v>
      </c>
    </row>
    <row r="357" spans="1:14" x14ac:dyDescent="0.25">
      <c r="A357" t="s">
        <v>25</v>
      </c>
      <c r="B357" s="1">
        <v>44</v>
      </c>
      <c r="C357" s="1">
        <v>99</v>
      </c>
      <c r="D357">
        <v>3</v>
      </c>
      <c r="E357" t="s">
        <v>23</v>
      </c>
      <c r="F357" t="s">
        <v>32</v>
      </c>
      <c r="G357" t="s">
        <v>82</v>
      </c>
      <c r="H357">
        <f>IF(Table_Sales[[#This Row],[profit]]&lt;0,1,0)</f>
        <v>0</v>
      </c>
      <c r="I357" t="str" cm="1">
        <f t="array" ref="I357">_xlfn.IFS(Table_Sales[[#This Row],[quantity]]&lt;=3,"1-3",Table_Sales[[#This Row],[quantity]]&lt;=7,"2-7",Table_Sales[[#This Row],[quantity]]&lt;=10,"8-10",TRUE,"11 and above")</f>
        <v>1-3</v>
      </c>
      <c r="J357" t="str" cm="1">
        <f t="array" ref="J357">_xlfn.IFS(Table_Sales[[#This Row],[amount]]&lt;1000,"Under 1000",Table_Sales[[#This Row],[amount]]&lt;3000,"1000 - 2999",Table_Sales[[#This Row],[amount]]&lt;5000,"3000 - 4999",TRUE,"5000 &amp; above")</f>
        <v>Under 1000</v>
      </c>
      <c r="K357">
        <f>IF(COUNTIFS(INDEX(Table_Sales[order_id],1):Table_Sales[[#This Row],[order_id]],Table_Sales[[#This Row],[order_id]])=1,1,0)</f>
        <v>0</v>
      </c>
      <c r="L35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0</v>
      </c>
      <c r="N357" t="str">
        <v>B-25637</v>
      </c>
    </row>
    <row r="358" spans="1:14" x14ac:dyDescent="0.25">
      <c r="A358" t="s">
        <v>274</v>
      </c>
      <c r="B358" s="1">
        <v>245</v>
      </c>
      <c r="C358" s="1">
        <v>-78</v>
      </c>
      <c r="D358">
        <v>3</v>
      </c>
      <c r="E358" t="s">
        <v>23</v>
      </c>
      <c r="F358" t="s">
        <v>26</v>
      </c>
      <c r="G358" t="s">
        <v>10</v>
      </c>
      <c r="H358">
        <f>IF(Table_Sales[[#This Row],[profit]]&lt;0,1,0)</f>
        <v>1</v>
      </c>
      <c r="I358" t="str" cm="1">
        <f t="array" ref="I358">_xlfn.IFS(Table_Sales[[#This Row],[quantity]]&lt;=3,"1-3",Table_Sales[[#This Row],[quantity]]&lt;=7,"2-7",Table_Sales[[#This Row],[quantity]]&lt;=10,"8-10",TRUE,"11 and above")</f>
        <v>1-3</v>
      </c>
      <c r="J358" t="str" cm="1">
        <f t="array" ref="J358">_xlfn.IFS(Table_Sales[[#This Row],[amount]]&lt;1000,"Under 1000",Table_Sales[[#This Row],[amount]]&lt;3000,"1000 - 2999",Table_Sales[[#This Row],[amount]]&lt;5000,"3000 - 4999",TRUE,"5000 &amp; above")</f>
        <v>Under 1000</v>
      </c>
      <c r="K358">
        <f>IF(COUNTIFS(INDEX(Table_Sales[order_id],1):Table_Sales[[#This Row],[order_id]],Table_Sales[[#This Row],[order_id]])=1,1,0)</f>
        <v>1</v>
      </c>
      <c r="L35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358" t="str">
        <v>B-25783</v>
      </c>
    </row>
    <row r="359" spans="1:14" x14ac:dyDescent="0.25">
      <c r="A359" t="s">
        <v>187</v>
      </c>
      <c r="B359" s="1">
        <v>245</v>
      </c>
      <c r="C359" s="1">
        <v>30</v>
      </c>
      <c r="D359">
        <v>2</v>
      </c>
      <c r="E359" t="s">
        <v>23</v>
      </c>
      <c r="F359" t="s">
        <v>26</v>
      </c>
      <c r="G359" t="s">
        <v>10</v>
      </c>
      <c r="H359">
        <f>IF(Table_Sales[[#This Row],[profit]]&lt;0,1,0)</f>
        <v>0</v>
      </c>
      <c r="I359" t="str" cm="1">
        <f t="array" ref="I359">_xlfn.IFS(Table_Sales[[#This Row],[quantity]]&lt;=3,"1-3",Table_Sales[[#This Row],[quantity]]&lt;=7,"2-7",Table_Sales[[#This Row],[quantity]]&lt;=10,"8-10",TRUE,"11 and above")</f>
        <v>1-3</v>
      </c>
      <c r="J359" t="str" cm="1">
        <f t="array" ref="J359">_xlfn.IFS(Table_Sales[[#This Row],[amount]]&lt;1000,"Under 1000",Table_Sales[[#This Row],[amount]]&lt;3000,"1000 - 2999",Table_Sales[[#This Row],[amount]]&lt;5000,"3000 - 4999",TRUE,"5000 &amp; above")</f>
        <v>Under 1000</v>
      </c>
      <c r="K359">
        <f>IF(COUNTIFS(INDEX(Table_Sales[order_id],1):Table_Sales[[#This Row],[order_id]],Table_Sales[[#This Row],[order_id]])=1,1,0)</f>
        <v>0</v>
      </c>
      <c r="L35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359" t="str">
        <v>B-25938</v>
      </c>
    </row>
    <row r="360" spans="1:14" x14ac:dyDescent="0.25">
      <c r="A360" t="s">
        <v>275</v>
      </c>
      <c r="B360" s="1">
        <v>376</v>
      </c>
      <c r="C360" s="1">
        <v>0</v>
      </c>
      <c r="D360">
        <v>7</v>
      </c>
      <c r="E360" t="s">
        <v>23</v>
      </c>
      <c r="F360" t="s">
        <v>57</v>
      </c>
      <c r="G360" t="s">
        <v>19</v>
      </c>
      <c r="H360">
        <f>IF(Table_Sales[[#This Row],[profit]]&lt;0,1,0)</f>
        <v>0</v>
      </c>
      <c r="I360" t="str" cm="1">
        <f t="array" ref="I360">_xlfn.IFS(Table_Sales[[#This Row],[quantity]]&lt;=3,"1-3",Table_Sales[[#This Row],[quantity]]&lt;=7,"2-7",Table_Sales[[#This Row],[quantity]]&lt;=10,"8-10",TRUE,"11 and above")</f>
        <v>2-7</v>
      </c>
      <c r="J360" t="str" cm="1">
        <f t="array" ref="J360">_xlfn.IFS(Table_Sales[[#This Row],[amount]]&lt;1000,"Under 1000",Table_Sales[[#This Row],[amount]]&lt;3000,"1000 - 2999",Table_Sales[[#This Row],[amount]]&lt;5000,"3000 - 4999",TRUE,"5000 &amp; above")</f>
        <v>Under 1000</v>
      </c>
      <c r="K360">
        <f>IF(COUNTIFS(INDEX(Table_Sales[order_id],1):Table_Sales[[#This Row],[order_id]],Table_Sales[[#This Row],[order_id]])=1,1,0)</f>
        <v>1</v>
      </c>
      <c r="L36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360" t="str">
        <v>B-25820</v>
      </c>
    </row>
    <row r="361" spans="1:14" x14ac:dyDescent="0.25">
      <c r="A361" t="s">
        <v>111</v>
      </c>
      <c r="B361" s="1">
        <v>45</v>
      </c>
      <c r="C361" s="1">
        <v>1</v>
      </c>
      <c r="D361">
        <v>3</v>
      </c>
      <c r="E361" t="s">
        <v>23</v>
      </c>
      <c r="F361" t="s">
        <v>81</v>
      </c>
      <c r="G361" t="s">
        <v>82</v>
      </c>
      <c r="H361">
        <f>IF(Table_Sales[[#This Row],[profit]]&lt;0,1,0)</f>
        <v>0</v>
      </c>
      <c r="I361" t="str" cm="1">
        <f t="array" ref="I361">_xlfn.IFS(Table_Sales[[#This Row],[quantity]]&lt;=3,"1-3",Table_Sales[[#This Row],[quantity]]&lt;=7,"2-7",Table_Sales[[#This Row],[quantity]]&lt;=10,"8-10",TRUE,"11 and above")</f>
        <v>1-3</v>
      </c>
      <c r="J361" t="str" cm="1">
        <f t="array" ref="J361">_xlfn.IFS(Table_Sales[[#This Row],[amount]]&lt;1000,"Under 1000",Table_Sales[[#This Row],[amount]]&lt;3000,"1000 - 2999",Table_Sales[[#This Row],[amount]]&lt;5000,"3000 - 4999",TRUE,"5000 &amp; above")</f>
        <v>Under 1000</v>
      </c>
      <c r="K361">
        <f>IF(COUNTIFS(INDEX(Table_Sales[order_id],1):Table_Sales[[#This Row],[order_id]],Table_Sales[[#This Row],[order_id]])=1,1,0)</f>
        <v>0</v>
      </c>
      <c r="L36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361" t="str">
        <v>B-25924</v>
      </c>
    </row>
    <row r="362" spans="1:14" x14ac:dyDescent="0.25">
      <c r="A362" t="s">
        <v>276</v>
      </c>
      <c r="B362" s="1">
        <v>45</v>
      </c>
      <c r="C362" s="1">
        <v>-28</v>
      </c>
      <c r="D362">
        <v>2</v>
      </c>
      <c r="E362" t="s">
        <v>23</v>
      </c>
      <c r="F362" t="s">
        <v>57</v>
      </c>
      <c r="G362" t="s">
        <v>82</v>
      </c>
      <c r="H362">
        <f>IF(Table_Sales[[#This Row],[profit]]&lt;0,1,0)</f>
        <v>1</v>
      </c>
      <c r="I362" t="str" cm="1">
        <f t="array" ref="I362">_xlfn.IFS(Table_Sales[[#This Row],[quantity]]&lt;=3,"1-3",Table_Sales[[#This Row],[quantity]]&lt;=7,"2-7",Table_Sales[[#This Row],[quantity]]&lt;=10,"8-10",TRUE,"11 and above")</f>
        <v>1-3</v>
      </c>
      <c r="J362" t="str" cm="1">
        <f t="array" ref="J362">_xlfn.IFS(Table_Sales[[#This Row],[amount]]&lt;1000,"Under 1000",Table_Sales[[#This Row],[amount]]&lt;3000,"1000 - 2999",Table_Sales[[#This Row],[amount]]&lt;5000,"3000 - 4999",TRUE,"5000 &amp; above")</f>
        <v>Under 1000</v>
      </c>
      <c r="K362">
        <f>IF(COUNTIFS(INDEX(Table_Sales[order_id],1):Table_Sales[[#This Row],[order_id]],Table_Sales[[#This Row],[order_id]])=1,1,0)</f>
        <v>1</v>
      </c>
      <c r="L36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362" t="str">
        <v>B-25814</v>
      </c>
    </row>
    <row r="363" spans="1:14" x14ac:dyDescent="0.25">
      <c r="A363" t="s">
        <v>277</v>
      </c>
      <c r="B363" s="1">
        <v>244</v>
      </c>
      <c r="C363" s="1">
        <v>-122</v>
      </c>
      <c r="D363">
        <v>5</v>
      </c>
      <c r="E363" t="s">
        <v>12</v>
      </c>
      <c r="F363" t="s">
        <v>131</v>
      </c>
      <c r="G363" t="s">
        <v>10</v>
      </c>
      <c r="H363">
        <f>IF(Table_Sales[[#This Row],[profit]]&lt;0,1,0)</f>
        <v>1</v>
      </c>
      <c r="I363" t="str" cm="1">
        <f t="array" ref="I363">_xlfn.IFS(Table_Sales[[#This Row],[quantity]]&lt;=3,"1-3",Table_Sales[[#This Row],[quantity]]&lt;=7,"2-7",Table_Sales[[#This Row],[quantity]]&lt;=10,"8-10",TRUE,"11 and above")</f>
        <v>2-7</v>
      </c>
      <c r="J363" t="str" cm="1">
        <f t="array" ref="J363">_xlfn.IFS(Table_Sales[[#This Row],[amount]]&lt;1000,"Under 1000",Table_Sales[[#This Row],[amount]]&lt;3000,"1000 - 2999",Table_Sales[[#This Row],[amount]]&lt;5000,"3000 - 4999",TRUE,"5000 &amp; above")</f>
        <v>Under 1000</v>
      </c>
      <c r="K363">
        <f>IF(COUNTIFS(INDEX(Table_Sales[order_id],1):Table_Sales[[#This Row],[order_id]],Table_Sales[[#This Row],[order_id]])=1,1,0)</f>
        <v>1</v>
      </c>
      <c r="L36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363" t="str">
        <v>B-25631</v>
      </c>
    </row>
    <row r="364" spans="1:14" x14ac:dyDescent="0.25">
      <c r="A364" t="s">
        <v>278</v>
      </c>
      <c r="B364" s="1">
        <v>244</v>
      </c>
      <c r="C364" s="1">
        <v>83</v>
      </c>
      <c r="D364">
        <v>2</v>
      </c>
      <c r="E364" t="s">
        <v>12</v>
      </c>
      <c r="F364" t="s">
        <v>16</v>
      </c>
      <c r="G364" t="s">
        <v>10</v>
      </c>
      <c r="H364">
        <f>IF(Table_Sales[[#This Row],[profit]]&lt;0,1,0)</f>
        <v>0</v>
      </c>
      <c r="I364" t="str" cm="1">
        <f t="array" ref="I364">_xlfn.IFS(Table_Sales[[#This Row],[quantity]]&lt;=3,"1-3",Table_Sales[[#This Row],[quantity]]&lt;=7,"2-7",Table_Sales[[#This Row],[quantity]]&lt;=10,"8-10",TRUE,"11 and above")</f>
        <v>1-3</v>
      </c>
      <c r="J364" t="str" cm="1">
        <f t="array" ref="J364">_xlfn.IFS(Table_Sales[[#This Row],[amount]]&lt;1000,"Under 1000",Table_Sales[[#This Row],[amount]]&lt;3000,"1000 - 2999",Table_Sales[[#This Row],[amount]]&lt;5000,"3000 - 4999",TRUE,"5000 &amp; above")</f>
        <v>Under 1000</v>
      </c>
      <c r="K364">
        <f>IF(COUNTIFS(INDEX(Table_Sales[order_id],1):Table_Sales[[#This Row],[order_id]],Table_Sales[[#This Row],[order_id]])=1,1,0)</f>
        <v>1</v>
      </c>
      <c r="L36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364" t="str">
        <v>B-25956</v>
      </c>
    </row>
    <row r="365" spans="1:14" x14ac:dyDescent="0.25">
      <c r="A365" t="s">
        <v>170</v>
      </c>
      <c r="B365" s="1">
        <v>10</v>
      </c>
      <c r="C365" s="1">
        <v>4</v>
      </c>
      <c r="D365">
        <v>1</v>
      </c>
      <c r="E365" t="s">
        <v>23</v>
      </c>
      <c r="F365" t="s">
        <v>32</v>
      </c>
      <c r="G365" t="s">
        <v>28</v>
      </c>
      <c r="H365">
        <f>IF(Table_Sales[[#This Row],[profit]]&lt;0,1,0)</f>
        <v>0</v>
      </c>
      <c r="I365" t="str" cm="1">
        <f t="array" ref="I365">_xlfn.IFS(Table_Sales[[#This Row],[quantity]]&lt;=3,"1-3",Table_Sales[[#This Row],[quantity]]&lt;=7,"2-7",Table_Sales[[#This Row],[quantity]]&lt;=10,"8-10",TRUE,"11 and above")</f>
        <v>1-3</v>
      </c>
      <c r="J365" t="str" cm="1">
        <f t="array" ref="J365">_xlfn.IFS(Table_Sales[[#This Row],[amount]]&lt;1000,"Under 1000",Table_Sales[[#This Row],[amount]]&lt;3000,"1000 - 2999",Table_Sales[[#This Row],[amount]]&lt;5000,"3000 - 4999",TRUE,"5000 &amp; above")</f>
        <v>Under 1000</v>
      </c>
      <c r="K365">
        <f>IF(COUNTIFS(INDEX(Table_Sales[order_id],1):Table_Sales[[#This Row],[order_id]],Table_Sales[[#This Row],[order_id]])=1,1,0)</f>
        <v>0</v>
      </c>
      <c r="L36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365" t="str">
        <v>B-25862</v>
      </c>
    </row>
    <row r="366" spans="1:14" x14ac:dyDescent="0.25">
      <c r="A366" t="s">
        <v>249</v>
      </c>
      <c r="B366" s="1">
        <v>375</v>
      </c>
      <c r="C366" s="1">
        <v>180</v>
      </c>
      <c r="D366">
        <v>3</v>
      </c>
      <c r="E366" t="s">
        <v>12</v>
      </c>
      <c r="F366" t="s">
        <v>16</v>
      </c>
      <c r="G366" t="s">
        <v>19</v>
      </c>
      <c r="H366">
        <f>IF(Table_Sales[[#This Row],[profit]]&lt;0,1,0)</f>
        <v>0</v>
      </c>
      <c r="I366" t="str" cm="1">
        <f t="array" ref="I366">_xlfn.IFS(Table_Sales[[#This Row],[quantity]]&lt;=3,"1-3",Table_Sales[[#This Row],[quantity]]&lt;=7,"2-7",Table_Sales[[#This Row],[quantity]]&lt;=10,"8-10",TRUE,"11 and above")</f>
        <v>1-3</v>
      </c>
      <c r="J366" t="str" cm="1">
        <f t="array" ref="J366">_xlfn.IFS(Table_Sales[[#This Row],[amount]]&lt;1000,"Under 1000",Table_Sales[[#This Row],[amount]]&lt;3000,"1000 - 2999",Table_Sales[[#This Row],[amount]]&lt;5000,"3000 - 4999",TRUE,"5000 &amp; above")</f>
        <v>Under 1000</v>
      </c>
      <c r="K366">
        <f>IF(COUNTIFS(INDEX(Table_Sales[order_id],1):Table_Sales[[#This Row],[order_id]],Table_Sales[[#This Row],[order_id]])=1,1,0)</f>
        <v>0</v>
      </c>
      <c r="L36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366" t="str">
        <v>B-25606</v>
      </c>
    </row>
    <row r="367" spans="1:14" x14ac:dyDescent="0.25">
      <c r="A367" t="s">
        <v>104</v>
      </c>
      <c r="B367" s="1">
        <v>46</v>
      </c>
      <c r="C367" s="1">
        <v>14</v>
      </c>
      <c r="D367">
        <v>5</v>
      </c>
      <c r="E367" t="s">
        <v>23</v>
      </c>
      <c r="F367" t="s">
        <v>43</v>
      </c>
      <c r="G367" t="s">
        <v>82</v>
      </c>
      <c r="H367">
        <f>IF(Table_Sales[[#This Row],[profit]]&lt;0,1,0)</f>
        <v>0</v>
      </c>
      <c r="I367" t="str" cm="1">
        <f t="array" ref="I367">_xlfn.IFS(Table_Sales[[#This Row],[quantity]]&lt;=3,"1-3",Table_Sales[[#This Row],[quantity]]&lt;=7,"2-7",Table_Sales[[#This Row],[quantity]]&lt;=10,"8-10",TRUE,"11 and above")</f>
        <v>2-7</v>
      </c>
      <c r="J367" t="str" cm="1">
        <f t="array" ref="J367">_xlfn.IFS(Table_Sales[[#This Row],[amount]]&lt;1000,"Under 1000",Table_Sales[[#This Row],[amount]]&lt;3000,"1000 - 2999",Table_Sales[[#This Row],[amount]]&lt;5000,"3000 - 4999",TRUE,"5000 &amp; above")</f>
        <v>Under 1000</v>
      </c>
      <c r="K367">
        <f>IF(COUNTIFS(INDEX(Table_Sales[order_id],1):Table_Sales[[#This Row],[order_id]],Table_Sales[[#This Row],[order_id]])=1,1,0)</f>
        <v>0</v>
      </c>
      <c r="L36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367" t="str">
        <v>B-25928</v>
      </c>
    </row>
    <row r="368" spans="1:14" x14ac:dyDescent="0.25">
      <c r="A368" t="s">
        <v>279</v>
      </c>
      <c r="B368" s="1">
        <v>49</v>
      </c>
      <c r="C368" s="1">
        <v>-31</v>
      </c>
      <c r="D368">
        <v>2</v>
      </c>
      <c r="E368" t="s">
        <v>23</v>
      </c>
      <c r="F368" t="s">
        <v>57</v>
      </c>
      <c r="G368" t="s">
        <v>28</v>
      </c>
      <c r="H368">
        <f>IF(Table_Sales[[#This Row],[profit]]&lt;0,1,0)</f>
        <v>1</v>
      </c>
      <c r="I368" t="str" cm="1">
        <f t="array" ref="I368">_xlfn.IFS(Table_Sales[[#This Row],[quantity]]&lt;=3,"1-3",Table_Sales[[#This Row],[quantity]]&lt;=7,"2-7",Table_Sales[[#This Row],[quantity]]&lt;=10,"8-10",TRUE,"11 and above")</f>
        <v>1-3</v>
      </c>
      <c r="J368" t="str" cm="1">
        <f t="array" ref="J368">_xlfn.IFS(Table_Sales[[#This Row],[amount]]&lt;1000,"Under 1000",Table_Sales[[#This Row],[amount]]&lt;3000,"1000 - 2999",Table_Sales[[#This Row],[amount]]&lt;5000,"3000 - 4999",TRUE,"5000 &amp; above")</f>
        <v>Under 1000</v>
      </c>
      <c r="K368">
        <f>IF(COUNTIFS(INDEX(Table_Sales[order_id],1):Table_Sales[[#This Row],[order_id]],Table_Sales[[#This Row],[order_id]])=1,1,0)</f>
        <v>1</v>
      </c>
      <c r="L36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368" t="str">
        <v>B-26005</v>
      </c>
    </row>
    <row r="369" spans="1:14" x14ac:dyDescent="0.25">
      <c r="A369" t="s">
        <v>280</v>
      </c>
      <c r="B369" s="1">
        <v>47</v>
      </c>
      <c r="C369" s="1">
        <v>-20</v>
      </c>
      <c r="D369">
        <v>2</v>
      </c>
      <c r="E369" t="s">
        <v>23</v>
      </c>
      <c r="F369" t="s">
        <v>32</v>
      </c>
      <c r="G369" t="s">
        <v>82</v>
      </c>
      <c r="H369">
        <f>IF(Table_Sales[[#This Row],[profit]]&lt;0,1,0)</f>
        <v>1</v>
      </c>
      <c r="I369" t="str" cm="1">
        <f t="array" ref="I369">_xlfn.IFS(Table_Sales[[#This Row],[quantity]]&lt;=3,"1-3",Table_Sales[[#This Row],[quantity]]&lt;=7,"2-7",Table_Sales[[#This Row],[quantity]]&lt;=10,"8-10",TRUE,"11 and above")</f>
        <v>1-3</v>
      </c>
      <c r="J369" t="str" cm="1">
        <f t="array" ref="J369">_xlfn.IFS(Table_Sales[[#This Row],[amount]]&lt;1000,"Under 1000",Table_Sales[[#This Row],[amount]]&lt;3000,"1000 - 2999",Table_Sales[[#This Row],[amount]]&lt;5000,"3000 - 4999",TRUE,"5000 &amp; above")</f>
        <v>Under 1000</v>
      </c>
      <c r="K369">
        <f>IF(COUNTIFS(INDEX(Table_Sales[order_id],1):Table_Sales[[#This Row],[order_id]],Table_Sales[[#This Row],[order_id]])=1,1,0)</f>
        <v>1</v>
      </c>
      <c r="L36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369" t="str">
        <v>B-25963</v>
      </c>
    </row>
    <row r="370" spans="1:14" x14ac:dyDescent="0.25">
      <c r="A370" t="s">
        <v>202</v>
      </c>
      <c r="B370" s="1">
        <v>355</v>
      </c>
      <c r="C370" s="1">
        <v>-114</v>
      </c>
      <c r="D370">
        <v>7</v>
      </c>
      <c r="E370" t="s">
        <v>23</v>
      </c>
      <c r="F370" t="s">
        <v>57</v>
      </c>
      <c r="G370" t="s">
        <v>19</v>
      </c>
      <c r="H370">
        <f>IF(Table_Sales[[#This Row],[profit]]&lt;0,1,0)</f>
        <v>1</v>
      </c>
      <c r="I370" t="str" cm="1">
        <f t="array" ref="I370">_xlfn.IFS(Table_Sales[[#This Row],[quantity]]&lt;=3,"1-3",Table_Sales[[#This Row],[quantity]]&lt;=7,"2-7",Table_Sales[[#This Row],[quantity]]&lt;=10,"8-10",TRUE,"11 and above")</f>
        <v>2-7</v>
      </c>
      <c r="J370" t="str" cm="1">
        <f t="array" ref="J370">_xlfn.IFS(Table_Sales[[#This Row],[amount]]&lt;1000,"Under 1000",Table_Sales[[#This Row],[amount]]&lt;3000,"1000 - 2999",Table_Sales[[#This Row],[amount]]&lt;5000,"3000 - 4999",TRUE,"5000 &amp; above")</f>
        <v>Under 1000</v>
      </c>
      <c r="K370">
        <f>IF(COUNTIFS(INDEX(Table_Sales[order_id],1):Table_Sales[[#This Row],[order_id]],Table_Sales[[#This Row],[order_id]])=1,1,0)</f>
        <v>0</v>
      </c>
      <c r="L37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370" t="str">
        <v>B-25683</v>
      </c>
    </row>
    <row r="371" spans="1:14" x14ac:dyDescent="0.25">
      <c r="A371" t="s">
        <v>281</v>
      </c>
      <c r="B371" s="1">
        <v>32</v>
      </c>
      <c r="C371" s="1">
        <v>8</v>
      </c>
      <c r="D371">
        <v>5</v>
      </c>
      <c r="E371" t="s">
        <v>23</v>
      </c>
      <c r="F371" t="s">
        <v>30</v>
      </c>
      <c r="G371" t="s">
        <v>28</v>
      </c>
      <c r="H371">
        <f>IF(Table_Sales[[#This Row],[profit]]&lt;0,1,0)</f>
        <v>0</v>
      </c>
      <c r="I371" t="str" cm="1">
        <f t="array" ref="I371">_xlfn.IFS(Table_Sales[[#This Row],[quantity]]&lt;=3,"1-3",Table_Sales[[#This Row],[quantity]]&lt;=7,"2-7",Table_Sales[[#This Row],[quantity]]&lt;=10,"8-10",TRUE,"11 and above")</f>
        <v>2-7</v>
      </c>
      <c r="J371" t="str" cm="1">
        <f t="array" ref="J371">_xlfn.IFS(Table_Sales[[#This Row],[amount]]&lt;1000,"Under 1000",Table_Sales[[#This Row],[amount]]&lt;3000,"1000 - 2999",Table_Sales[[#This Row],[amount]]&lt;5000,"3000 - 4999",TRUE,"5000 &amp; above")</f>
        <v>Under 1000</v>
      </c>
      <c r="K371">
        <f>IF(COUNTIFS(INDEX(Table_Sales[order_id],1):Table_Sales[[#This Row],[order_id]],Table_Sales[[#This Row],[order_id]])=1,1,0)</f>
        <v>1</v>
      </c>
      <c r="L37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371" t="str">
        <v>B-25914</v>
      </c>
    </row>
    <row r="372" spans="1:14" x14ac:dyDescent="0.25">
      <c r="A372" t="s">
        <v>7</v>
      </c>
      <c r="B372" s="1">
        <v>243</v>
      </c>
      <c r="C372" s="1">
        <v>-14</v>
      </c>
      <c r="D372">
        <v>2</v>
      </c>
      <c r="E372" t="s">
        <v>12</v>
      </c>
      <c r="F372" t="s">
        <v>13</v>
      </c>
      <c r="G372" t="s">
        <v>10</v>
      </c>
      <c r="H372">
        <f>IF(Table_Sales[[#This Row],[profit]]&lt;0,1,0)</f>
        <v>1</v>
      </c>
      <c r="I372" t="str" cm="1">
        <f t="array" ref="I372">_xlfn.IFS(Table_Sales[[#This Row],[quantity]]&lt;=3,"1-3",Table_Sales[[#This Row],[quantity]]&lt;=7,"2-7",Table_Sales[[#This Row],[quantity]]&lt;=10,"8-10",TRUE,"11 and above")</f>
        <v>1-3</v>
      </c>
      <c r="J372" t="str" cm="1">
        <f t="array" ref="J372">_xlfn.IFS(Table_Sales[[#This Row],[amount]]&lt;1000,"Under 1000",Table_Sales[[#This Row],[amount]]&lt;3000,"1000 - 2999",Table_Sales[[#This Row],[amount]]&lt;5000,"3000 - 4999",TRUE,"5000 &amp; above")</f>
        <v>Under 1000</v>
      </c>
      <c r="K372">
        <f>IF(COUNTIFS(INDEX(Table_Sales[order_id],1):Table_Sales[[#This Row],[order_id]],Table_Sales[[#This Row],[order_id]])=1,1,0)</f>
        <v>0</v>
      </c>
      <c r="L37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372" t="str">
        <v>B-25869</v>
      </c>
    </row>
    <row r="373" spans="1:14" x14ac:dyDescent="0.25">
      <c r="A373" t="s">
        <v>282</v>
      </c>
      <c r="B373" s="1">
        <v>241</v>
      </c>
      <c r="C373" s="1">
        <v>-77</v>
      </c>
      <c r="D373">
        <v>4</v>
      </c>
      <c r="E373" t="s">
        <v>8</v>
      </c>
      <c r="F373" t="s">
        <v>9</v>
      </c>
      <c r="G373" t="s">
        <v>10</v>
      </c>
      <c r="H373">
        <f>IF(Table_Sales[[#This Row],[profit]]&lt;0,1,0)</f>
        <v>1</v>
      </c>
      <c r="I373" t="str" cm="1">
        <f t="array" ref="I373">_xlfn.IFS(Table_Sales[[#This Row],[quantity]]&lt;=3,"1-3",Table_Sales[[#This Row],[quantity]]&lt;=7,"2-7",Table_Sales[[#This Row],[quantity]]&lt;=10,"8-10",TRUE,"11 and above")</f>
        <v>2-7</v>
      </c>
      <c r="J373" t="str" cm="1">
        <f t="array" ref="J373">_xlfn.IFS(Table_Sales[[#This Row],[amount]]&lt;1000,"Under 1000",Table_Sales[[#This Row],[amount]]&lt;3000,"1000 - 2999",Table_Sales[[#This Row],[amount]]&lt;5000,"3000 - 4999",TRUE,"5000 &amp; above")</f>
        <v>Under 1000</v>
      </c>
      <c r="K373">
        <f>IF(COUNTIFS(INDEX(Table_Sales[order_id],1):Table_Sales[[#This Row],[order_id]],Table_Sales[[#This Row],[order_id]])=1,1,0)</f>
        <v>1</v>
      </c>
      <c r="L37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373" t="str">
        <v>B-25921</v>
      </c>
    </row>
    <row r="374" spans="1:14" x14ac:dyDescent="0.25">
      <c r="A374" t="s">
        <v>283</v>
      </c>
      <c r="B374" s="1">
        <v>47</v>
      </c>
      <c r="C374" s="1">
        <v>15</v>
      </c>
      <c r="D374">
        <v>5</v>
      </c>
      <c r="E374" t="s">
        <v>23</v>
      </c>
      <c r="F374" t="s">
        <v>26</v>
      </c>
      <c r="G374" t="s">
        <v>82</v>
      </c>
      <c r="H374">
        <f>IF(Table_Sales[[#This Row],[profit]]&lt;0,1,0)</f>
        <v>0</v>
      </c>
      <c r="I374" t="str" cm="1">
        <f t="array" ref="I374">_xlfn.IFS(Table_Sales[[#This Row],[quantity]]&lt;=3,"1-3",Table_Sales[[#This Row],[quantity]]&lt;=7,"2-7",Table_Sales[[#This Row],[quantity]]&lt;=10,"8-10",TRUE,"11 and above")</f>
        <v>2-7</v>
      </c>
      <c r="J374" t="str" cm="1">
        <f t="array" ref="J374">_xlfn.IFS(Table_Sales[[#This Row],[amount]]&lt;1000,"Under 1000",Table_Sales[[#This Row],[amount]]&lt;3000,"1000 - 2999",Table_Sales[[#This Row],[amount]]&lt;5000,"3000 - 4999",TRUE,"5000 &amp; above")</f>
        <v>Under 1000</v>
      </c>
      <c r="K374">
        <f>IF(COUNTIFS(INDEX(Table_Sales[order_id],1):Table_Sales[[#This Row],[order_id]],Table_Sales[[#This Row],[order_id]])=1,1,0)</f>
        <v>1</v>
      </c>
      <c r="L37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374" t="str">
        <v>B-25849</v>
      </c>
    </row>
    <row r="375" spans="1:14" x14ac:dyDescent="0.25">
      <c r="A375" t="s">
        <v>49</v>
      </c>
      <c r="B375" s="1">
        <v>50</v>
      </c>
      <c r="C375" s="1">
        <v>-10</v>
      </c>
      <c r="D375">
        <v>6</v>
      </c>
      <c r="E375" t="s">
        <v>23</v>
      </c>
      <c r="F375" t="s">
        <v>43</v>
      </c>
      <c r="G375" t="s">
        <v>82</v>
      </c>
      <c r="H375">
        <f>IF(Table_Sales[[#This Row],[profit]]&lt;0,1,0)</f>
        <v>1</v>
      </c>
      <c r="I375" t="str" cm="1">
        <f t="array" ref="I375">_xlfn.IFS(Table_Sales[[#This Row],[quantity]]&lt;=3,"1-3",Table_Sales[[#This Row],[quantity]]&lt;=7,"2-7",Table_Sales[[#This Row],[quantity]]&lt;=10,"8-10",TRUE,"11 and above")</f>
        <v>2-7</v>
      </c>
      <c r="J375" t="str" cm="1">
        <f t="array" ref="J375">_xlfn.IFS(Table_Sales[[#This Row],[amount]]&lt;1000,"Under 1000",Table_Sales[[#This Row],[amount]]&lt;3000,"1000 - 2999",Table_Sales[[#This Row],[amount]]&lt;5000,"3000 - 4999",TRUE,"5000 &amp; above")</f>
        <v>Under 1000</v>
      </c>
      <c r="K375">
        <f>IF(COUNTIFS(INDEX(Table_Sales[order_id],1):Table_Sales[[#This Row],[order_id]],Table_Sales[[#This Row],[order_id]])=1,1,0)</f>
        <v>0</v>
      </c>
      <c r="L37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375" t="str">
        <v>B-25780</v>
      </c>
    </row>
    <row r="376" spans="1:14" x14ac:dyDescent="0.25">
      <c r="A376" t="s">
        <v>211</v>
      </c>
      <c r="B376" s="1">
        <v>15</v>
      </c>
      <c r="C376" s="1">
        <v>6</v>
      </c>
      <c r="D376">
        <v>2</v>
      </c>
      <c r="E376" t="s">
        <v>23</v>
      </c>
      <c r="F376" t="s">
        <v>30</v>
      </c>
      <c r="G376" t="s">
        <v>10</v>
      </c>
      <c r="H376">
        <f>IF(Table_Sales[[#This Row],[profit]]&lt;0,1,0)</f>
        <v>0</v>
      </c>
      <c r="I376" t="str" cm="1">
        <f t="array" ref="I376">_xlfn.IFS(Table_Sales[[#This Row],[quantity]]&lt;=3,"1-3",Table_Sales[[#This Row],[quantity]]&lt;=7,"2-7",Table_Sales[[#This Row],[quantity]]&lt;=10,"8-10",TRUE,"11 and above")</f>
        <v>1-3</v>
      </c>
      <c r="J376" t="str" cm="1">
        <f t="array" ref="J376">_xlfn.IFS(Table_Sales[[#This Row],[amount]]&lt;1000,"Under 1000",Table_Sales[[#This Row],[amount]]&lt;3000,"1000 - 2999",Table_Sales[[#This Row],[amount]]&lt;5000,"3000 - 4999",TRUE,"5000 &amp; above")</f>
        <v>Under 1000</v>
      </c>
      <c r="K376">
        <f>IF(COUNTIFS(INDEX(Table_Sales[order_id],1):Table_Sales[[#This Row],[order_id]],Table_Sales[[#This Row],[order_id]])=1,1,0)</f>
        <v>0</v>
      </c>
      <c r="L37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376" t="str">
        <v>B-25892</v>
      </c>
    </row>
    <row r="377" spans="1:14" x14ac:dyDescent="0.25">
      <c r="A377" t="s">
        <v>111</v>
      </c>
      <c r="B377" s="1">
        <v>148</v>
      </c>
      <c r="C377" s="1">
        <v>24</v>
      </c>
      <c r="D377">
        <v>3</v>
      </c>
      <c r="E377" t="s">
        <v>23</v>
      </c>
      <c r="F377" t="s">
        <v>57</v>
      </c>
      <c r="G377" t="s">
        <v>10</v>
      </c>
      <c r="H377">
        <f>IF(Table_Sales[[#This Row],[profit]]&lt;0,1,0)</f>
        <v>0</v>
      </c>
      <c r="I377" t="str" cm="1">
        <f t="array" ref="I377">_xlfn.IFS(Table_Sales[[#This Row],[quantity]]&lt;=3,"1-3",Table_Sales[[#This Row],[quantity]]&lt;=7,"2-7",Table_Sales[[#This Row],[quantity]]&lt;=10,"8-10",TRUE,"11 and above")</f>
        <v>1-3</v>
      </c>
      <c r="J377" t="str" cm="1">
        <f t="array" ref="J377">_xlfn.IFS(Table_Sales[[#This Row],[amount]]&lt;1000,"Under 1000",Table_Sales[[#This Row],[amount]]&lt;3000,"1000 - 2999",Table_Sales[[#This Row],[amount]]&lt;5000,"3000 - 4999",TRUE,"5000 &amp; above")</f>
        <v>Under 1000</v>
      </c>
      <c r="K377">
        <f>IF(COUNTIFS(INDEX(Table_Sales[order_id],1):Table_Sales[[#This Row],[order_id]],Table_Sales[[#This Row],[order_id]])=1,1,0)</f>
        <v>0</v>
      </c>
      <c r="L37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377" t="str">
        <v>B-25988</v>
      </c>
    </row>
    <row r="378" spans="1:14" x14ac:dyDescent="0.25">
      <c r="A378" t="s">
        <v>284</v>
      </c>
      <c r="B378" s="1">
        <v>299</v>
      </c>
      <c r="C378" s="1">
        <v>-28</v>
      </c>
      <c r="D378">
        <v>3</v>
      </c>
      <c r="E378" t="s">
        <v>8</v>
      </c>
      <c r="F378" t="s">
        <v>9</v>
      </c>
      <c r="G378" t="s">
        <v>28</v>
      </c>
      <c r="H378">
        <f>IF(Table_Sales[[#This Row],[profit]]&lt;0,1,0)</f>
        <v>1</v>
      </c>
      <c r="I378" t="str" cm="1">
        <f t="array" ref="I378">_xlfn.IFS(Table_Sales[[#This Row],[quantity]]&lt;=3,"1-3",Table_Sales[[#This Row],[quantity]]&lt;=7,"2-7",Table_Sales[[#This Row],[quantity]]&lt;=10,"8-10",TRUE,"11 and above")</f>
        <v>1-3</v>
      </c>
      <c r="J378" t="str" cm="1">
        <f t="array" ref="J378">_xlfn.IFS(Table_Sales[[#This Row],[amount]]&lt;1000,"Under 1000",Table_Sales[[#This Row],[amount]]&lt;3000,"1000 - 2999",Table_Sales[[#This Row],[amount]]&lt;5000,"3000 - 4999",TRUE,"5000 &amp; above")</f>
        <v>Under 1000</v>
      </c>
      <c r="K378">
        <f>IF(COUNTIFS(INDEX(Table_Sales[order_id],1):Table_Sales[[#This Row],[order_id]],Table_Sales[[#This Row],[order_id]])=1,1,0)</f>
        <v>1</v>
      </c>
      <c r="L37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378" t="str">
        <v>B-25939</v>
      </c>
    </row>
    <row r="379" spans="1:14" x14ac:dyDescent="0.25">
      <c r="A379" t="s">
        <v>112</v>
      </c>
      <c r="B379" s="1">
        <v>68</v>
      </c>
      <c r="C379" s="1">
        <v>-30</v>
      </c>
      <c r="D379">
        <v>1</v>
      </c>
      <c r="E379" t="s">
        <v>8</v>
      </c>
      <c r="F379" t="s">
        <v>21</v>
      </c>
      <c r="G379" t="s">
        <v>28</v>
      </c>
      <c r="H379">
        <f>IF(Table_Sales[[#This Row],[profit]]&lt;0,1,0)</f>
        <v>1</v>
      </c>
      <c r="I379" t="str" cm="1">
        <f t="array" ref="I379">_xlfn.IFS(Table_Sales[[#This Row],[quantity]]&lt;=3,"1-3",Table_Sales[[#This Row],[quantity]]&lt;=7,"2-7",Table_Sales[[#This Row],[quantity]]&lt;=10,"8-10",TRUE,"11 and above")</f>
        <v>1-3</v>
      </c>
      <c r="J379" t="str" cm="1">
        <f t="array" ref="J379">_xlfn.IFS(Table_Sales[[#This Row],[amount]]&lt;1000,"Under 1000",Table_Sales[[#This Row],[amount]]&lt;3000,"1000 - 2999",Table_Sales[[#This Row],[amount]]&lt;5000,"3000 - 4999",TRUE,"5000 &amp; above")</f>
        <v>Under 1000</v>
      </c>
      <c r="K379">
        <f>IF(COUNTIFS(INDEX(Table_Sales[order_id],1):Table_Sales[[#This Row],[order_id]],Table_Sales[[#This Row],[order_id]])=1,1,0)</f>
        <v>0</v>
      </c>
      <c r="L37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379" t="str">
        <v>B-25906</v>
      </c>
    </row>
    <row r="380" spans="1:14" x14ac:dyDescent="0.25">
      <c r="A380" t="s">
        <v>111</v>
      </c>
      <c r="B380" s="1">
        <v>52</v>
      </c>
      <c r="C380" s="1">
        <v>18</v>
      </c>
      <c r="D380">
        <v>5</v>
      </c>
      <c r="E380" t="s">
        <v>23</v>
      </c>
      <c r="F380" t="s">
        <v>63</v>
      </c>
      <c r="G380" t="s">
        <v>82</v>
      </c>
      <c r="H380">
        <f>IF(Table_Sales[[#This Row],[profit]]&lt;0,1,0)</f>
        <v>0</v>
      </c>
      <c r="I380" t="str" cm="1">
        <f t="array" ref="I380">_xlfn.IFS(Table_Sales[[#This Row],[quantity]]&lt;=3,"1-3",Table_Sales[[#This Row],[quantity]]&lt;=7,"2-7",Table_Sales[[#This Row],[quantity]]&lt;=10,"8-10",TRUE,"11 and above")</f>
        <v>2-7</v>
      </c>
      <c r="J380" t="str" cm="1">
        <f t="array" ref="J380">_xlfn.IFS(Table_Sales[[#This Row],[amount]]&lt;1000,"Under 1000",Table_Sales[[#This Row],[amount]]&lt;3000,"1000 - 2999",Table_Sales[[#This Row],[amount]]&lt;5000,"3000 - 4999",TRUE,"5000 &amp; above")</f>
        <v>Under 1000</v>
      </c>
      <c r="K380">
        <f>IF(COUNTIFS(INDEX(Table_Sales[order_id],1):Table_Sales[[#This Row],[order_id]],Table_Sales[[#This Row],[order_id]])=1,1,0)</f>
        <v>0</v>
      </c>
      <c r="L38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380" t="str">
        <v>B-26017</v>
      </c>
    </row>
    <row r="381" spans="1:14" x14ac:dyDescent="0.25">
      <c r="A381" t="s">
        <v>163</v>
      </c>
      <c r="B381" s="1">
        <v>239</v>
      </c>
      <c r="C381" s="1">
        <v>-162</v>
      </c>
      <c r="D381">
        <v>5</v>
      </c>
      <c r="E381" t="s">
        <v>12</v>
      </c>
      <c r="F381" t="s">
        <v>13</v>
      </c>
      <c r="G381" t="s">
        <v>10</v>
      </c>
      <c r="H381">
        <f>IF(Table_Sales[[#This Row],[profit]]&lt;0,1,0)</f>
        <v>1</v>
      </c>
      <c r="I381" t="str" cm="1">
        <f t="array" ref="I381">_xlfn.IFS(Table_Sales[[#This Row],[quantity]]&lt;=3,"1-3",Table_Sales[[#This Row],[quantity]]&lt;=7,"2-7",Table_Sales[[#This Row],[quantity]]&lt;=10,"8-10",TRUE,"11 and above")</f>
        <v>2-7</v>
      </c>
      <c r="J381" t="str" cm="1">
        <f t="array" ref="J381">_xlfn.IFS(Table_Sales[[#This Row],[amount]]&lt;1000,"Under 1000",Table_Sales[[#This Row],[amount]]&lt;3000,"1000 - 2999",Table_Sales[[#This Row],[amount]]&lt;5000,"3000 - 4999",TRUE,"5000 &amp; above")</f>
        <v>Under 1000</v>
      </c>
      <c r="K381">
        <f>IF(COUNTIFS(INDEX(Table_Sales[order_id],1):Table_Sales[[#This Row],[order_id]],Table_Sales[[#This Row],[order_id]])=1,1,0)</f>
        <v>0</v>
      </c>
      <c r="L38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381" t="str">
        <v>B-25644</v>
      </c>
    </row>
    <row r="382" spans="1:14" x14ac:dyDescent="0.25">
      <c r="A382" t="s">
        <v>167</v>
      </c>
      <c r="B382" s="1">
        <v>27</v>
      </c>
      <c r="C382" s="1">
        <v>6</v>
      </c>
      <c r="D382">
        <v>3</v>
      </c>
      <c r="E382" t="s">
        <v>23</v>
      </c>
      <c r="F382" t="s">
        <v>43</v>
      </c>
      <c r="G382" t="s">
        <v>10</v>
      </c>
      <c r="H382">
        <f>IF(Table_Sales[[#This Row],[profit]]&lt;0,1,0)</f>
        <v>0</v>
      </c>
      <c r="I382" t="str" cm="1">
        <f t="array" ref="I382">_xlfn.IFS(Table_Sales[[#This Row],[quantity]]&lt;=3,"1-3",Table_Sales[[#This Row],[quantity]]&lt;=7,"2-7",Table_Sales[[#This Row],[quantity]]&lt;=10,"8-10",TRUE,"11 and above")</f>
        <v>1-3</v>
      </c>
      <c r="J382" t="str" cm="1">
        <f t="array" ref="J382">_xlfn.IFS(Table_Sales[[#This Row],[amount]]&lt;1000,"Under 1000",Table_Sales[[#This Row],[amount]]&lt;3000,"1000 - 2999",Table_Sales[[#This Row],[amount]]&lt;5000,"3000 - 4999",TRUE,"5000 &amp; above")</f>
        <v>Under 1000</v>
      </c>
      <c r="K382">
        <f>IF(COUNTIFS(INDEX(Table_Sales[order_id],1):Table_Sales[[#This Row],[order_id]],Table_Sales[[#This Row],[order_id]])=1,1,0)</f>
        <v>0</v>
      </c>
      <c r="L38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382" t="str">
        <v>B-25679</v>
      </c>
    </row>
    <row r="383" spans="1:14" x14ac:dyDescent="0.25">
      <c r="A383" t="s">
        <v>135</v>
      </c>
      <c r="B383" s="1">
        <v>238</v>
      </c>
      <c r="C383" s="1">
        <v>20</v>
      </c>
      <c r="D383">
        <v>2</v>
      </c>
      <c r="E383" t="s">
        <v>23</v>
      </c>
      <c r="F383" t="s">
        <v>26</v>
      </c>
      <c r="G383" t="s">
        <v>10</v>
      </c>
      <c r="H383">
        <f>IF(Table_Sales[[#This Row],[profit]]&lt;0,1,0)</f>
        <v>0</v>
      </c>
      <c r="I383" t="str" cm="1">
        <f t="array" ref="I383">_xlfn.IFS(Table_Sales[[#This Row],[quantity]]&lt;=3,"1-3",Table_Sales[[#This Row],[quantity]]&lt;=7,"2-7",Table_Sales[[#This Row],[quantity]]&lt;=10,"8-10",TRUE,"11 and above")</f>
        <v>1-3</v>
      </c>
      <c r="J383" t="str" cm="1">
        <f t="array" ref="J383">_xlfn.IFS(Table_Sales[[#This Row],[amount]]&lt;1000,"Under 1000",Table_Sales[[#This Row],[amount]]&lt;3000,"1000 - 2999",Table_Sales[[#This Row],[amount]]&lt;5000,"3000 - 4999",TRUE,"5000 &amp; above")</f>
        <v>Under 1000</v>
      </c>
      <c r="K383">
        <f>IF(COUNTIFS(INDEX(Table_Sales[order_id],1):Table_Sales[[#This Row],[order_id]],Table_Sales[[#This Row],[order_id]])=1,1,0)</f>
        <v>0</v>
      </c>
      <c r="L38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383" t="str">
        <v>B-25792</v>
      </c>
    </row>
    <row r="384" spans="1:14" x14ac:dyDescent="0.25">
      <c r="A384" t="s">
        <v>209</v>
      </c>
      <c r="B384" s="1">
        <v>48</v>
      </c>
      <c r="C384" s="1">
        <v>16</v>
      </c>
      <c r="D384">
        <v>3</v>
      </c>
      <c r="E384" t="s">
        <v>23</v>
      </c>
      <c r="F384" t="s">
        <v>142</v>
      </c>
      <c r="G384" t="s">
        <v>10</v>
      </c>
      <c r="H384">
        <f>IF(Table_Sales[[#This Row],[profit]]&lt;0,1,0)</f>
        <v>0</v>
      </c>
      <c r="I384" t="str" cm="1">
        <f t="array" ref="I384">_xlfn.IFS(Table_Sales[[#This Row],[quantity]]&lt;=3,"1-3",Table_Sales[[#This Row],[quantity]]&lt;=7,"2-7",Table_Sales[[#This Row],[quantity]]&lt;=10,"8-10",TRUE,"11 and above")</f>
        <v>1-3</v>
      </c>
      <c r="J384" t="str" cm="1">
        <f t="array" ref="J384">_xlfn.IFS(Table_Sales[[#This Row],[amount]]&lt;1000,"Under 1000",Table_Sales[[#This Row],[amount]]&lt;3000,"1000 - 2999",Table_Sales[[#This Row],[amount]]&lt;5000,"3000 - 4999",TRUE,"5000 &amp; above")</f>
        <v>Under 1000</v>
      </c>
      <c r="K384">
        <f>IF(COUNTIFS(INDEX(Table_Sales[order_id],1):Table_Sales[[#This Row],[order_id]],Table_Sales[[#This Row],[order_id]])=1,1,0)</f>
        <v>0</v>
      </c>
      <c r="L38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384" t="str">
        <v>B-25946</v>
      </c>
    </row>
    <row r="385" spans="1:14" x14ac:dyDescent="0.25">
      <c r="A385" t="s">
        <v>285</v>
      </c>
      <c r="B385" s="1">
        <v>66</v>
      </c>
      <c r="C385" s="1">
        <v>22</v>
      </c>
      <c r="D385">
        <v>3</v>
      </c>
      <c r="E385" t="s">
        <v>23</v>
      </c>
      <c r="F385" t="s">
        <v>57</v>
      </c>
      <c r="G385" t="s">
        <v>28</v>
      </c>
      <c r="H385">
        <f>IF(Table_Sales[[#This Row],[profit]]&lt;0,1,0)</f>
        <v>0</v>
      </c>
      <c r="I385" t="str" cm="1">
        <f t="array" ref="I385">_xlfn.IFS(Table_Sales[[#This Row],[quantity]]&lt;=3,"1-3",Table_Sales[[#This Row],[quantity]]&lt;=7,"2-7",Table_Sales[[#This Row],[quantity]]&lt;=10,"8-10",TRUE,"11 and above")</f>
        <v>1-3</v>
      </c>
      <c r="J385" t="str" cm="1">
        <f t="array" ref="J385">_xlfn.IFS(Table_Sales[[#This Row],[amount]]&lt;1000,"Under 1000",Table_Sales[[#This Row],[amount]]&lt;3000,"1000 - 2999",Table_Sales[[#This Row],[amount]]&lt;5000,"3000 - 4999",TRUE,"5000 &amp; above")</f>
        <v>Under 1000</v>
      </c>
      <c r="K385">
        <f>IF(COUNTIFS(INDEX(Table_Sales[order_id],1):Table_Sales[[#This Row],[order_id]],Table_Sales[[#This Row],[order_id]])=1,1,0)</f>
        <v>1</v>
      </c>
      <c r="L38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385" t="str">
        <v>B-25992</v>
      </c>
    </row>
    <row r="386" spans="1:14" x14ac:dyDescent="0.25">
      <c r="A386" t="s">
        <v>286</v>
      </c>
      <c r="B386" s="1">
        <v>53</v>
      </c>
      <c r="C386" s="1">
        <v>24</v>
      </c>
      <c r="D386">
        <v>1</v>
      </c>
      <c r="E386" t="s">
        <v>23</v>
      </c>
      <c r="F386" t="s">
        <v>30</v>
      </c>
      <c r="G386" t="s">
        <v>82</v>
      </c>
      <c r="H386">
        <f>IF(Table_Sales[[#This Row],[profit]]&lt;0,1,0)</f>
        <v>0</v>
      </c>
      <c r="I386" t="str" cm="1">
        <f t="array" ref="I386">_xlfn.IFS(Table_Sales[[#This Row],[quantity]]&lt;=3,"1-3",Table_Sales[[#This Row],[quantity]]&lt;=7,"2-7",Table_Sales[[#This Row],[quantity]]&lt;=10,"8-10",TRUE,"11 and above")</f>
        <v>1-3</v>
      </c>
      <c r="J386" t="str" cm="1">
        <f t="array" ref="J386">_xlfn.IFS(Table_Sales[[#This Row],[amount]]&lt;1000,"Under 1000",Table_Sales[[#This Row],[amount]]&lt;3000,"1000 - 2999",Table_Sales[[#This Row],[amount]]&lt;5000,"3000 - 4999",TRUE,"5000 &amp; above")</f>
        <v>Under 1000</v>
      </c>
      <c r="K386">
        <f>IF(COUNTIFS(INDEX(Table_Sales[order_id],1):Table_Sales[[#This Row],[order_id]],Table_Sales[[#This Row],[order_id]])=1,1,0)</f>
        <v>1</v>
      </c>
      <c r="L38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386" t="str">
        <v>B-25659</v>
      </c>
    </row>
    <row r="387" spans="1:14" x14ac:dyDescent="0.25">
      <c r="A387" t="s">
        <v>239</v>
      </c>
      <c r="B387" s="1">
        <v>233</v>
      </c>
      <c r="C387" s="1">
        <v>-10</v>
      </c>
      <c r="D387">
        <v>5</v>
      </c>
      <c r="E387" t="s">
        <v>8</v>
      </c>
      <c r="F387" t="s">
        <v>9</v>
      </c>
      <c r="G387" t="s">
        <v>10</v>
      </c>
      <c r="H387">
        <f>IF(Table_Sales[[#This Row],[profit]]&lt;0,1,0)</f>
        <v>1</v>
      </c>
      <c r="I387" t="str" cm="1">
        <f t="array" ref="I387">_xlfn.IFS(Table_Sales[[#This Row],[quantity]]&lt;=3,"1-3",Table_Sales[[#This Row],[quantity]]&lt;=7,"2-7",Table_Sales[[#This Row],[quantity]]&lt;=10,"8-10",TRUE,"11 and above")</f>
        <v>2-7</v>
      </c>
      <c r="J387" t="str" cm="1">
        <f t="array" ref="J387">_xlfn.IFS(Table_Sales[[#This Row],[amount]]&lt;1000,"Under 1000",Table_Sales[[#This Row],[amount]]&lt;3000,"1000 - 2999",Table_Sales[[#This Row],[amount]]&lt;5000,"3000 - 4999",TRUE,"5000 &amp; above")</f>
        <v>Under 1000</v>
      </c>
      <c r="K387">
        <f>IF(COUNTIFS(INDEX(Table_Sales[order_id],1):Table_Sales[[#This Row],[order_id]],Table_Sales[[#This Row],[order_id]])=1,1,0)</f>
        <v>0</v>
      </c>
      <c r="L38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387" t="str">
        <v>B-25716</v>
      </c>
    </row>
    <row r="388" spans="1:14" x14ac:dyDescent="0.25">
      <c r="A388" t="s">
        <v>234</v>
      </c>
      <c r="B388" s="1">
        <v>53</v>
      </c>
      <c r="C388" s="1">
        <v>-2</v>
      </c>
      <c r="D388">
        <v>3</v>
      </c>
      <c r="E388" t="s">
        <v>23</v>
      </c>
      <c r="F388" t="s">
        <v>26</v>
      </c>
      <c r="G388" t="s">
        <v>82</v>
      </c>
      <c r="H388">
        <f>IF(Table_Sales[[#This Row],[profit]]&lt;0,1,0)</f>
        <v>1</v>
      </c>
      <c r="I388" t="str" cm="1">
        <f t="array" ref="I388">_xlfn.IFS(Table_Sales[[#This Row],[quantity]]&lt;=3,"1-3",Table_Sales[[#This Row],[quantity]]&lt;=7,"2-7",Table_Sales[[#This Row],[quantity]]&lt;=10,"8-10",TRUE,"11 and above")</f>
        <v>1-3</v>
      </c>
      <c r="J388" t="str" cm="1">
        <f t="array" ref="J388">_xlfn.IFS(Table_Sales[[#This Row],[amount]]&lt;1000,"Under 1000",Table_Sales[[#This Row],[amount]]&lt;3000,"1000 - 2999",Table_Sales[[#This Row],[amount]]&lt;5000,"3000 - 4999",TRUE,"5000 &amp; above")</f>
        <v>Under 1000</v>
      </c>
      <c r="K388">
        <f>IF(COUNTIFS(INDEX(Table_Sales[order_id],1):Table_Sales[[#This Row],[order_id]],Table_Sales[[#This Row],[order_id]])=1,1,0)</f>
        <v>0</v>
      </c>
      <c r="L38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388" t="str">
        <v>B-25725</v>
      </c>
    </row>
    <row r="389" spans="1:14" x14ac:dyDescent="0.25">
      <c r="A389" t="s">
        <v>207</v>
      </c>
      <c r="B389" s="1">
        <v>54</v>
      </c>
      <c r="C389" s="1">
        <v>8</v>
      </c>
      <c r="D389">
        <v>4</v>
      </c>
      <c r="E389" t="s">
        <v>23</v>
      </c>
      <c r="F389" t="s">
        <v>81</v>
      </c>
      <c r="G389" t="s">
        <v>82</v>
      </c>
      <c r="H389">
        <f>IF(Table_Sales[[#This Row],[profit]]&lt;0,1,0)</f>
        <v>0</v>
      </c>
      <c r="I389" t="str" cm="1">
        <f t="array" ref="I389">_xlfn.IFS(Table_Sales[[#This Row],[quantity]]&lt;=3,"1-3",Table_Sales[[#This Row],[quantity]]&lt;=7,"2-7",Table_Sales[[#This Row],[quantity]]&lt;=10,"8-10",TRUE,"11 and above")</f>
        <v>2-7</v>
      </c>
      <c r="J389" t="str" cm="1">
        <f t="array" ref="J389">_xlfn.IFS(Table_Sales[[#This Row],[amount]]&lt;1000,"Under 1000",Table_Sales[[#This Row],[amount]]&lt;3000,"1000 - 2999",Table_Sales[[#This Row],[amount]]&lt;5000,"3000 - 4999",TRUE,"5000 &amp; above")</f>
        <v>Under 1000</v>
      </c>
      <c r="K389">
        <f>IF(COUNTIFS(INDEX(Table_Sales[order_id],1):Table_Sales[[#This Row],[order_id]],Table_Sales[[#This Row],[order_id]])=1,1,0)</f>
        <v>0</v>
      </c>
      <c r="L38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389" t="str">
        <v>B-25932</v>
      </c>
    </row>
    <row r="390" spans="1:14" x14ac:dyDescent="0.25">
      <c r="A390" t="s">
        <v>287</v>
      </c>
      <c r="B390" s="1">
        <v>352</v>
      </c>
      <c r="C390" s="1">
        <v>-345</v>
      </c>
      <c r="D390">
        <v>5</v>
      </c>
      <c r="E390" t="s">
        <v>23</v>
      </c>
      <c r="F390" t="s">
        <v>26</v>
      </c>
      <c r="G390" t="s">
        <v>19</v>
      </c>
      <c r="H390">
        <f>IF(Table_Sales[[#This Row],[profit]]&lt;0,1,0)</f>
        <v>1</v>
      </c>
      <c r="I390" t="str" cm="1">
        <f t="array" ref="I390">_xlfn.IFS(Table_Sales[[#This Row],[quantity]]&lt;=3,"1-3",Table_Sales[[#This Row],[quantity]]&lt;=7,"2-7",Table_Sales[[#This Row],[quantity]]&lt;=10,"8-10",TRUE,"11 and above")</f>
        <v>2-7</v>
      </c>
      <c r="J390" t="str" cm="1">
        <f t="array" ref="J390">_xlfn.IFS(Table_Sales[[#This Row],[amount]]&lt;1000,"Under 1000",Table_Sales[[#This Row],[amount]]&lt;3000,"1000 - 2999",Table_Sales[[#This Row],[amount]]&lt;5000,"3000 - 4999",TRUE,"5000 &amp; above")</f>
        <v>Under 1000</v>
      </c>
      <c r="K390">
        <f>IF(COUNTIFS(INDEX(Table_Sales[order_id],1):Table_Sales[[#This Row],[order_id]],Table_Sales[[#This Row],[order_id]])=1,1,0)</f>
        <v>1</v>
      </c>
      <c r="L39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390" t="str">
        <v>B-25789</v>
      </c>
    </row>
    <row r="391" spans="1:14" x14ac:dyDescent="0.25">
      <c r="A391" t="s">
        <v>146</v>
      </c>
      <c r="B391" s="1">
        <v>349</v>
      </c>
      <c r="C391" s="1">
        <v>0</v>
      </c>
      <c r="D391">
        <v>7</v>
      </c>
      <c r="E391" t="s">
        <v>23</v>
      </c>
      <c r="F391" t="s">
        <v>57</v>
      </c>
      <c r="G391" t="s">
        <v>19</v>
      </c>
      <c r="H391">
        <f>IF(Table_Sales[[#This Row],[profit]]&lt;0,1,0)</f>
        <v>0</v>
      </c>
      <c r="I391" t="str" cm="1">
        <f t="array" ref="I391">_xlfn.IFS(Table_Sales[[#This Row],[quantity]]&lt;=3,"1-3",Table_Sales[[#This Row],[quantity]]&lt;=7,"2-7",Table_Sales[[#This Row],[quantity]]&lt;=10,"8-10",TRUE,"11 and above")</f>
        <v>2-7</v>
      </c>
      <c r="J391" t="str" cm="1">
        <f t="array" ref="J391">_xlfn.IFS(Table_Sales[[#This Row],[amount]]&lt;1000,"Under 1000",Table_Sales[[#This Row],[amount]]&lt;3000,"1000 - 2999",Table_Sales[[#This Row],[amount]]&lt;5000,"3000 - 4999",TRUE,"5000 &amp; above")</f>
        <v>Under 1000</v>
      </c>
      <c r="K391">
        <f>IF(COUNTIFS(INDEX(Table_Sales[order_id],1):Table_Sales[[#This Row],[order_id]],Table_Sales[[#This Row],[order_id]])=1,1,0)</f>
        <v>0</v>
      </c>
      <c r="L39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391" t="str">
        <v>B-25732</v>
      </c>
    </row>
    <row r="392" spans="1:14" x14ac:dyDescent="0.25">
      <c r="A392" t="s">
        <v>288</v>
      </c>
      <c r="B392" s="1">
        <v>341</v>
      </c>
      <c r="C392" s="1">
        <v>-85</v>
      </c>
      <c r="D392">
        <v>6</v>
      </c>
      <c r="E392" t="s">
        <v>23</v>
      </c>
      <c r="F392" t="s">
        <v>24</v>
      </c>
      <c r="G392" t="s">
        <v>19</v>
      </c>
      <c r="H392">
        <f>IF(Table_Sales[[#This Row],[profit]]&lt;0,1,0)</f>
        <v>1</v>
      </c>
      <c r="I392" t="str" cm="1">
        <f t="array" ref="I392">_xlfn.IFS(Table_Sales[[#This Row],[quantity]]&lt;=3,"1-3",Table_Sales[[#This Row],[quantity]]&lt;=7,"2-7",Table_Sales[[#This Row],[quantity]]&lt;=10,"8-10",TRUE,"11 and above")</f>
        <v>2-7</v>
      </c>
      <c r="J392" t="str" cm="1">
        <f t="array" ref="J392">_xlfn.IFS(Table_Sales[[#This Row],[amount]]&lt;1000,"Under 1000",Table_Sales[[#This Row],[amount]]&lt;3000,"1000 - 2999",Table_Sales[[#This Row],[amount]]&lt;5000,"3000 - 4999",TRUE,"5000 &amp; above")</f>
        <v>Under 1000</v>
      </c>
      <c r="K392">
        <f>IF(COUNTIFS(INDEX(Table_Sales[order_id],1):Table_Sales[[#This Row],[order_id]],Table_Sales[[#This Row],[order_id]])=1,1,0)</f>
        <v>1</v>
      </c>
      <c r="L39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392" t="str">
        <v>B-25871</v>
      </c>
    </row>
    <row r="393" spans="1:14" x14ac:dyDescent="0.25">
      <c r="A393" t="s">
        <v>264</v>
      </c>
      <c r="B393" s="1">
        <v>54</v>
      </c>
      <c r="C393" s="1">
        <v>12</v>
      </c>
      <c r="D393">
        <v>3</v>
      </c>
      <c r="E393" t="s">
        <v>23</v>
      </c>
      <c r="F393" t="s">
        <v>26</v>
      </c>
      <c r="G393" t="s">
        <v>82</v>
      </c>
      <c r="H393">
        <f>IF(Table_Sales[[#This Row],[profit]]&lt;0,1,0)</f>
        <v>0</v>
      </c>
      <c r="I393" t="str" cm="1">
        <f t="array" ref="I393">_xlfn.IFS(Table_Sales[[#This Row],[quantity]]&lt;=3,"1-3",Table_Sales[[#This Row],[quantity]]&lt;=7,"2-7",Table_Sales[[#This Row],[quantity]]&lt;=10,"8-10",TRUE,"11 and above")</f>
        <v>1-3</v>
      </c>
      <c r="J393" t="str" cm="1">
        <f t="array" ref="J393">_xlfn.IFS(Table_Sales[[#This Row],[amount]]&lt;1000,"Under 1000",Table_Sales[[#This Row],[amount]]&lt;3000,"1000 - 2999",Table_Sales[[#This Row],[amount]]&lt;5000,"3000 - 4999",TRUE,"5000 &amp; above")</f>
        <v>Under 1000</v>
      </c>
      <c r="K393">
        <f>IF(COUNTIFS(INDEX(Table_Sales[order_id],1):Table_Sales[[#This Row],[order_id]],Table_Sales[[#This Row],[order_id]])=1,1,0)</f>
        <v>0</v>
      </c>
      <c r="L39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393" t="str">
        <v>B-25611</v>
      </c>
    </row>
    <row r="394" spans="1:14" x14ac:dyDescent="0.25">
      <c r="A394" t="s">
        <v>11</v>
      </c>
      <c r="B394" s="1">
        <v>57</v>
      </c>
      <c r="C394" s="1">
        <v>7</v>
      </c>
      <c r="D394">
        <v>2</v>
      </c>
      <c r="E394" t="s">
        <v>23</v>
      </c>
      <c r="F394" t="s">
        <v>142</v>
      </c>
      <c r="G394" t="s">
        <v>28</v>
      </c>
      <c r="H394">
        <f>IF(Table_Sales[[#This Row],[profit]]&lt;0,1,0)</f>
        <v>0</v>
      </c>
      <c r="I394" t="str" cm="1">
        <f t="array" ref="I394">_xlfn.IFS(Table_Sales[[#This Row],[quantity]]&lt;=3,"1-3",Table_Sales[[#This Row],[quantity]]&lt;=7,"2-7",Table_Sales[[#This Row],[quantity]]&lt;=10,"8-10",TRUE,"11 and above")</f>
        <v>1-3</v>
      </c>
      <c r="J394" t="str" cm="1">
        <f t="array" ref="J394">_xlfn.IFS(Table_Sales[[#This Row],[amount]]&lt;1000,"Under 1000",Table_Sales[[#This Row],[amount]]&lt;3000,"1000 - 2999",Table_Sales[[#This Row],[amount]]&lt;5000,"3000 - 4999",TRUE,"5000 &amp; above")</f>
        <v>Under 1000</v>
      </c>
      <c r="K394">
        <f>IF(COUNTIFS(INDEX(Table_Sales[order_id],1):Table_Sales[[#This Row],[order_id]],Table_Sales[[#This Row],[order_id]])=1,1,0)</f>
        <v>0</v>
      </c>
      <c r="L39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394" t="str">
        <v>B-25833</v>
      </c>
    </row>
    <row r="395" spans="1:14" x14ac:dyDescent="0.25">
      <c r="A395" t="s">
        <v>85</v>
      </c>
      <c r="B395" s="1">
        <v>340</v>
      </c>
      <c r="C395" s="1">
        <v>20</v>
      </c>
      <c r="D395">
        <v>7</v>
      </c>
      <c r="E395" t="s">
        <v>23</v>
      </c>
      <c r="F395" t="s">
        <v>142</v>
      </c>
      <c r="G395" t="s">
        <v>19</v>
      </c>
      <c r="H395">
        <f>IF(Table_Sales[[#This Row],[profit]]&lt;0,1,0)</f>
        <v>0</v>
      </c>
      <c r="I395" t="str" cm="1">
        <f t="array" ref="I395">_xlfn.IFS(Table_Sales[[#This Row],[quantity]]&lt;=3,"1-3",Table_Sales[[#This Row],[quantity]]&lt;=7,"2-7",Table_Sales[[#This Row],[quantity]]&lt;=10,"8-10",TRUE,"11 and above")</f>
        <v>2-7</v>
      </c>
      <c r="J395" t="str" cm="1">
        <f t="array" ref="J395">_xlfn.IFS(Table_Sales[[#This Row],[amount]]&lt;1000,"Under 1000",Table_Sales[[#This Row],[amount]]&lt;3000,"1000 - 2999",Table_Sales[[#This Row],[amount]]&lt;5000,"3000 - 4999",TRUE,"5000 &amp; above")</f>
        <v>Under 1000</v>
      </c>
      <c r="K395">
        <f>IF(COUNTIFS(INDEX(Table_Sales[order_id],1):Table_Sales[[#This Row],[order_id]],Table_Sales[[#This Row],[order_id]])=1,1,0)</f>
        <v>0</v>
      </c>
      <c r="L39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395" t="str">
        <v>B-25665</v>
      </c>
    </row>
    <row r="396" spans="1:14" x14ac:dyDescent="0.25">
      <c r="A396" t="s">
        <v>11</v>
      </c>
      <c r="B396" s="1">
        <v>227</v>
      </c>
      <c r="C396" s="1">
        <v>48</v>
      </c>
      <c r="D396">
        <v>5</v>
      </c>
      <c r="E396" t="s">
        <v>23</v>
      </c>
      <c r="F396" t="s">
        <v>57</v>
      </c>
      <c r="G396" t="s">
        <v>10</v>
      </c>
      <c r="H396">
        <f>IF(Table_Sales[[#This Row],[profit]]&lt;0,1,0)</f>
        <v>0</v>
      </c>
      <c r="I396" t="str" cm="1">
        <f t="array" ref="I396">_xlfn.IFS(Table_Sales[[#This Row],[quantity]]&lt;=3,"1-3",Table_Sales[[#This Row],[quantity]]&lt;=7,"2-7",Table_Sales[[#This Row],[quantity]]&lt;=10,"8-10",TRUE,"11 and above")</f>
        <v>2-7</v>
      </c>
      <c r="J396" t="str" cm="1">
        <f t="array" ref="J396">_xlfn.IFS(Table_Sales[[#This Row],[amount]]&lt;1000,"Under 1000",Table_Sales[[#This Row],[amount]]&lt;3000,"1000 - 2999",Table_Sales[[#This Row],[amount]]&lt;5000,"3000 - 4999",TRUE,"5000 &amp; above")</f>
        <v>Under 1000</v>
      </c>
      <c r="K396">
        <f>IF(COUNTIFS(INDEX(Table_Sales[order_id],1):Table_Sales[[#This Row],[order_id]],Table_Sales[[#This Row],[order_id]])=1,1,0)</f>
        <v>0</v>
      </c>
      <c r="L39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396" t="str">
        <v>B-25694</v>
      </c>
    </row>
    <row r="397" spans="1:14" x14ac:dyDescent="0.25">
      <c r="A397" t="s">
        <v>255</v>
      </c>
      <c r="B397" s="1">
        <v>330</v>
      </c>
      <c r="C397" s="1">
        <v>81</v>
      </c>
      <c r="D397">
        <v>1</v>
      </c>
      <c r="E397" t="s">
        <v>12</v>
      </c>
      <c r="F397" t="s">
        <v>16</v>
      </c>
      <c r="G397" t="s">
        <v>19</v>
      </c>
      <c r="H397">
        <f>IF(Table_Sales[[#This Row],[profit]]&lt;0,1,0)</f>
        <v>0</v>
      </c>
      <c r="I397" t="str" cm="1">
        <f t="array" ref="I397">_xlfn.IFS(Table_Sales[[#This Row],[quantity]]&lt;=3,"1-3",Table_Sales[[#This Row],[quantity]]&lt;=7,"2-7",Table_Sales[[#This Row],[quantity]]&lt;=10,"8-10",TRUE,"11 and above")</f>
        <v>1-3</v>
      </c>
      <c r="J397" t="str" cm="1">
        <f t="array" ref="J397">_xlfn.IFS(Table_Sales[[#This Row],[amount]]&lt;1000,"Under 1000",Table_Sales[[#This Row],[amount]]&lt;3000,"1000 - 2999",Table_Sales[[#This Row],[amount]]&lt;5000,"3000 - 4999",TRUE,"5000 &amp; above")</f>
        <v>Under 1000</v>
      </c>
      <c r="K397">
        <f>IF(COUNTIFS(INDEX(Table_Sales[order_id],1):Table_Sales[[#This Row],[order_id]],Table_Sales[[#This Row],[order_id]])=1,1,0)</f>
        <v>0</v>
      </c>
      <c r="L39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397" t="str">
        <v>B-25668</v>
      </c>
    </row>
    <row r="398" spans="1:14" x14ac:dyDescent="0.25">
      <c r="A398" t="s">
        <v>62</v>
      </c>
      <c r="B398" s="1">
        <v>216</v>
      </c>
      <c r="C398" s="1">
        <v>-38</v>
      </c>
      <c r="D398">
        <v>6</v>
      </c>
      <c r="E398" t="s">
        <v>12</v>
      </c>
      <c r="F398" t="s">
        <v>131</v>
      </c>
      <c r="G398" t="s">
        <v>28</v>
      </c>
      <c r="H398">
        <f>IF(Table_Sales[[#This Row],[profit]]&lt;0,1,0)</f>
        <v>1</v>
      </c>
      <c r="I398" t="str" cm="1">
        <f t="array" ref="I398">_xlfn.IFS(Table_Sales[[#This Row],[quantity]]&lt;=3,"1-3",Table_Sales[[#This Row],[quantity]]&lt;=7,"2-7",Table_Sales[[#This Row],[quantity]]&lt;=10,"8-10",TRUE,"11 and above")</f>
        <v>2-7</v>
      </c>
      <c r="J398" t="str" cm="1">
        <f t="array" ref="J398">_xlfn.IFS(Table_Sales[[#This Row],[amount]]&lt;1000,"Under 1000",Table_Sales[[#This Row],[amount]]&lt;3000,"1000 - 2999",Table_Sales[[#This Row],[amount]]&lt;5000,"3000 - 4999",TRUE,"5000 &amp; above")</f>
        <v>Under 1000</v>
      </c>
      <c r="K398">
        <f>IF(COUNTIFS(INDEX(Table_Sales[order_id],1):Table_Sales[[#This Row],[order_id]],Table_Sales[[#This Row],[order_id]])=1,1,0)</f>
        <v>0</v>
      </c>
      <c r="L39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398" t="str">
        <v>B-26024</v>
      </c>
    </row>
    <row r="399" spans="1:14" x14ac:dyDescent="0.25">
      <c r="A399" t="s">
        <v>289</v>
      </c>
      <c r="B399" s="1">
        <v>224</v>
      </c>
      <c r="C399" s="1">
        <v>-143</v>
      </c>
      <c r="D399">
        <v>3</v>
      </c>
      <c r="E399" t="s">
        <v>12</v>
      </c>
      <c r="F399" t="s">
        <v>13</v>
      </c>
      <c r="G399" t="s">
        <v>10</v>
      </c>
      <c r="H399">
        <f>IF(Table_Sales[[#This Row],[profit]]&lt;0,1,0)</f>
        <v>1</v>
      </c>
      <c r="I399" t="str" cm="1">
        <f t="array" ref="I399">_xlfn.IFS(Table_Sales[[#This Row],[quantity]]&lt;=3,"1-3",Table_Sales[[#This Row],[quantity]]&lt;=7,"2-7",Table_Sales[[#This Row],[quantity]]&lt;=10,"8-10",TRUE,"11 and above")</f>
        <v>1-3</v>
      </c>
      <c r="J399" t="str" cm="1">
        <f t="array" ref="J399">_xlfn.IFS(Table_Sales[[#This Row],[amount]]&lt;1000,"Under 1000",Table_Sales[[#This Row],[amount]]&lt;3000,"1000 - 2999",Table_Sales[[#This Row],[amount]]&lt;5000,"3000 - 4999",TRUE,"5000 &amp; above")</f>
        <v>Under 1000</v>
      </c>
      <c r="K399">
        <f>IF(COUNTIFS(INDEX(Table_Sales[order_id],1):Table_Sales[[#This Row],[order_id]],Table_Sales[[#This Row],[order_id]])=1,1,0)</f>
        <v>1</v>
      </c>
      <c r="L39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399" t="str">
        <v>B-25827</v>
      </c>
    </row>
    <row r="400" spans="1:14" x14ac:dyDescent="0.25">
      <c r="A400" t="s">
        <v>290</v>
      </c>
      <c r="B400" s="1">
        <v>55</v>
      </c>
      <c r="C400" s="1">
        <v>-33</v>
      </c>
      <c r="D400">
        <v>2</v>
      </c>
      <c r="E400" t="s">
        <v>12</v>
      </c>
      <c r="F400" t="s">
        <v>13</v>
      </c>
      <c r="G400" t="s">
        <v>82</v>
      </c>
      <c r="H400">
        <f>IF(Table_Sales[[#This Row],[profit]]&lt;0,1,0)</f>
        <v>1</v>
      </c>
      <c r="I400" t="str" cm="1">
        <f t="array" ref="I400">_xlfn.IFS(Table_Sales[[#This Row],[quantity]]&lt;=3,"1-3",Table_Sales[[#This Row],[quantity]]&lt;=7,"2-7",Table_Sales[[#This Row],[quantity]]&lt;=10,"8-10",TRUE,"11 and above")</f>
        <v>1-3</v>
      </c>
      <c r="J400" t="str" cm="1">
        <f t="array" ref="J400">_xlfn.IFS(Table_Sales[[#This Row],[amount]]&lt;1000,"Under 1000",Table_Sales[[#This Row],[amount]]&lt;3000,"1000 - 2999",Table_Sales[[#This Row],[amount]]&lt;5000,"3000 - 4999",TRUE,"5000 &amp; above")</f>
        <v>Under 1000</v>
      </c>
      <c r="K400">
        <f>IF(COUNTIFS(INDEX(Table_Sales[order_id],1):Table_Sales[[#This Row],[order_id]],Table_Sales[[#This Row],[order_id]])=1,1,0)</f>
        <v>1</v>
      </c>
      <c r="L40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400" t="str">
        <v>B-25713</v>
      </c>
    </row>
    <row r="401" spans="1:14" x14ac:dyDescent="0.25">
      <c r="A401" t="s">
        <v>153</v>
      </c>
      <c r="B401" s="1">
        <v>49</v>
      </c>
      <c r="C401" s="1">
        <v>21</v>
      </c>
      <c r="D401">
        <v>1</v>
      </c>
      <c r="E401" t="s">
        <v>23</v>
      </c>
      <c r="F401" t="s">
        <v>57</v>
      </c>
      <c r="G401" t="s">
        <v>28</v>
      </c>
      <c r="H401">
        <f>IF(Table_Sales[[#This Row],[profit]]&lt;0,1,0)</f>
        <v>0</v>
      </c>
      <c r="I401" t="str" cm="1">
        <f t="array" ref="I401">_xlfn.IFS(Table_Sales[[#This Row],[quantity]]&lt;=3,"1-3",Table_Sales[[#This Row],[quantity]]&lt;=7,"2-7",Table_Sales[[#This Row],[quantity]]&lt;=10,"8-10",TRUE,"11 and above")</f>
        <v>1-3</v>
      </c>
      <c r="J401" t="str" cm="1">
        <f t="array" ref="J401">_xlfn.IFS(Table_Sales[[#This Row],[amount]]&lt;1000,"Under 1000",Table_Sales[[#This Row],[amount]]&lt;3000,"1000 - 2999",Table_Sales[[#This Row],[amount]]&lt;5000,"3000 - 4999",TRUE,"5000 &amp; above")</f>
        <v>Under 1000</v>
      </c>
      <c r="K401">
        <f>IF(COUNTIFS(INDEX(Table_Sales[order_id],1):Table_Sales[[#This Row],[order_id]],Table_Sales[[#This Row],[order_id]])=1,1,0)</f>
        <v>0</v>
      </c>
      <c r="L40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401" t="str">
        <v>B-25944</v>
      </c>
    </row>
    <row r="402" spans="1:14" x14ac:dyDescent="0.25">
      <c r="A402" t="s">
        <v>207</v>
      </c>
      <c r="B402" s="1">
        <v>224</v>
      </c>
      <c r="C402" s="1">
        <v>87</v>
      </c>
      <c r="D402">
        <v>3</v>
      </c>
      <c r="E402" t="s">
        <v>23</v>
      </c>
      <c r="F402" t="s">
        <v>24</v>
      </c>
      <c r="G402" t="s">
        <v>10</v>
      </c>
      <c r="H402">
        <f>IF(Table_Sales[[#This Row],[profit]]&lt;0,1,0)</f>
        <v>0</v>
      </c>
      <c r="I402" t="str" cm="1">
        <f t="array" ref="I402">_xlfn.IFS(Table_Sales[[#This Row],[quantity]]&lt;=3,"1-3",Table_Sales[[#This Row],[quantity]]&lt;=7,"2-7",Table_Sales[[#This Row],[quantity]]&lt;=10,"8-10",TRUE,"11 and above")</f>
        <v>1-3</v>
      </c>
      <c r="J402" t="str" cm="1">
        <f t="array" ref="J402">_xlfn.IFS(Table_Sales[[#This Row],[amount]]&lt;1000,"Under 1000",Table_Sales[[#This Row],[amount]]&lt;3000,"1000 - 2999",Table_Sales[[#This Row],[amount]]&lt;5000,"3000 - 4999",TRUE,"5000 &amp; above")</f>
        <v>Under 1000</v>
      </c>
      <c r="K402">
        <f>IF(COUNTIFS(INDEX(Table_Sales[order_id],1):Table_Sales[[#This Row],[order_id]],Table_Sales[[#This Row],[order_id]])=1,1,0)</f>
        <v>0</v>
      </c>
      <c r="L40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402" t="str">
        <v>B-25695</v>
      </c>
    </row>
    <row r="403" spans="1:14" x14ac:dyDescent="0.25">
      <c r="A403" t="s">
        <v>187</v>
      </c>
      <c r="B403" s="1">
        <v>223</v>
      </c>
      <c r="C403" s="1">
        <v>27</v>
      </c>
      <c r="D403">
        <v>2</v>
      </c>
      <c r="E403" t="s">
        <v>12</v>
      </c>
      <c r="F403" t="s">
        <v>16</v>
      </c>
      <c r="G403" t="s">
        <v>10</v>
      </c>
      <c r="H403">
        <f>IF(Table_Sales[[#This Row],[profit]]&lt;0,1,0)</f>
        <v>0</v>
      </c>
      <c r="I403" t="str" cm="1">
        <f t="array" ref="I403">_xlfn.IFS(Table_Sales[[#This Row],[quantity]]&lt;=3,"1-3",Table_Sales[[#This Row],[quantity]]&lt;=7,"2-7",Table_Sales[[#This Row],[quantity]]&lt;=10,"8-10",TRUE,"11 and above")</f>
        <v>1-3</v>
      </c>
      <c r="J403" t="str" cm="1">
        <f t="array" ref="J403">_xlfn.IFS(Table_Sales[[#This Row],[amount]]&lt;1000,"Under 1000",Table_Sales[[#This Row],[amount]]&lt;3000,"1000 - 2999",Table_Sales[[#This Row],[amount]]&lt;5000,"3000 - 4999",TRUE,"5000 &amp; above")</f>
        <v>Under 1000</v>
      </c>
      <c r="K403">
        <f>IF(COUNTIFS(INDEX(Table_Sales[order_id],1):Table_Sales[[#This Row],[order_id]],Table_Sales[[#This Row],[order_id]])=1,1,0)</f>
        <v>0</v>
      </c>
      <c r="L40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403" t="str">
        <v>B-25880</v>
      </c>
    </row>
    <row r="404" spans="1:14" x14ac:dyDescent="0.25">
      <c r="A404" t="s">
        <v>291</v>
      </c>
      <c r="B404" s="1">
        <v>324</v>
      </c>
      <c r="C404" s="1">
        <v>39</v>
      </c>
      <c r="D404">
        <v>8</v>
      </c>
      <c r="E404" t="s">
        <v>8</v>
      </c>
      <c r="F404" t="s">
        <v>73</v>
      </c>
      <c r="G404" t="s">
        <v>19</v>
      </c>
      <c r="H404">
        <f>IF(Table_Sales[[#This Row],[profit]]&lt;0,1,0)</f>
        <v>0</v>
      </c>
      <c r="I404" t="str" cm="1">
        <f t="array" ref="I404">_xlfn.IFS(Table_Sales[[#This Row],[quantity]]&lt;=3,"1-3",Table_Sales[[#This Row],[quantity]]&lt;=7,"2-7",Table_Sales[[#This Row],[quantity]]&lt;=10,"8-10",TRUE,"11 and above")</f>
        <v>8-10</v>
      </c>
      <c r="J404" t="str" cm="1">
        <f t="array" ref="J404">_xlfn.IFS(Table_Sales[[#This Row],[amount]]&lt;1000,"Under 1000",Table_Sales[[#This Row],[amount]]&lt;3000,"1000 - 2999",Table_Sales[[#This Row],[amount]]&lt;5000,"3000 - 4999",TRUE,"5000 &amp; above")</f>
        <v>Under 1000</v>
      </c>
      <c r="K404">
        <f>IF(COUNTIFS(INDEX(Table_Sales[order_id],1):Table_Sales[[#This Row],[order_id]],Table_Sales[[#This Row],[order_id]])=1,1,0)</f>
        <v>1</v>
      </c>
      <c r="L40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404" t="str">
        <v>B-25941</v>
      </c>
    </row>
    <row r="405" spans="1:14" x14ac:dyDescent="0.25">
      <c r="A405" t="s">
        <v>123</v>
      </c>
      <c r="B405" s="1">
        <v>56</v>
      </c>
      <c r="C405" s="1">
        <v>18</v>
      </c>
      <c r="D405">
        <v>2</v>
      </c>
      <c r="E405" t="s">
        <v>23</v>
      </c>
      <c r="F405" t="s">
        <v>30</v>
      </c>
      <c r="G405" t="s">
        <v>82</v>
      </c>
      <c r="H405">
        <f>IF(Table_Sales[[#This Row],[profit]]&lt;0,1,0)</f>
        <v>0</v>
      </c>
      <c r="I405" t="str" cm="1">
        <f t="array" ref="I405">_xlfn.IFS(Table_Sales[[#This Row],[quantity]]&lt;=3,"1-3",Table_Sales[[#This Row],[quantity]]&lt;=7,"2-7",Table_Sales[[#This Row],[quantity]]&lt;=10,"8-10",TRUE,"11 and above")</f>
        <v>1-3</v>
      </c>
      <c r="J405" t="str" cm="1">
        <f t="array" ref="J405">_xlfn.IFS(Table_Sales[[#This Row],[amount]]&lt;1000,"Under 1000",Table_Sales[[#This Row],[amount]]&lt;3000,"1000 - 2999",Table_Sales[[#This Row],[amount]]&lt;5000,"3000 - 4999",TRUE,"5000 &amp; above")</f>
        <v>Under 1000</v>
      </c>
      <c r="K405">
        <f>IF(COUNTIFS(INDEX(Table_Sales[order_id],1):Table_Sales[[#This Row],[order_id]],Table_Sales[[#This Row],[order_id]])=1,1,0)</f>
        <v>0</v>
      </c>
      <c r="L40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405" t="str">
        <v>B-25706</v>
      </c>
    </row>
    <row r="406" spans="1:14" x14ac:dyDescent="0.25">
      <c r="A406" t="s">
        <v>292</v>
      </c>
      <c r="B406" s="1">
        <v>223</v>
      </c>
      <c r="C406" s="1">
        <v>62</v>
      </c>
      <c r="D406">
        <v>7</v>
      </c>
      <c r="E406" t="s">
        <v>23</v>
      </c>
      <c r="F406" t="s">
        <v>142</v>
      </c>
      <c r="G406" t="s">
        <v>10</v>
      </c>
      <c r="H406">
        <f>IF(Table_Sales[[#This Row],[profit]]&lt;0,1,0)</f>
        <v>0</v>
      </c>
      <c r="I406" t="str" cm="1">
        <f t="array" ref="I406">_xlfn.IFS(Table_Sales[[#This Row],[quantity]]&lt;=3,"1-3",Table_Sales[[#This Row],[quantity]]&lt;=7,"2-7",Table_Sales[[#This Row],[quantity]]&lt;=10,"8-10",TRUE,"11 and above")</f>
        <v>2-7</v>
      </c>
      <c r="J406" t="str" cm="1">
        <f t="array" ref="J406">_xlfn.IFS(Table_Sales[[#This Row],[amount]]&lt;1000,"Under 1000",Table_Sales[[#This Row],[amount]]&lt;3000,"1000 - 2999",Table_Sales[[#This Row],[amount]]&lt;5000,"3000 - 4999",TRUE,"5000 &amp; above")</f>
        <v>Under 1000</v>
      </c>
      <c r="K406">
        <f>IF(COUNTIFS(INDEX(Table_Sales[order_id],1):Table_Sales[[#This Row],[order_id]],Table_Sales[[#This Row],[order_id]])=1,1,0)</f>
        <v>1</v>
      </c>
      <c r="L40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406" t="str">
        <v>B-25969</v>
      </c>
    </row>
    <row r="407" spans="1:14" x14ac:dyDescent="0.25">
      <c r="A407" t="s">
        <v>269</v>
      </c>
      <c r="B407" s="1">
        <v>10</v>
      </c>
      <c r="C407" s="1">
        <v>2</v>
      </c>
      <c r="D407">
        <v>2</v>
      </c>
      <c r="E407" t="s">
        <v>23</v>
      </c>
      <c r="F407" t="s">
        <v>43</v>
      </c>
      <c r="G407" t="s">
        <v>10</v>
      </c>
      <c r="H407">
        <f>IF(Table_Sales[[#This Row],[profit]]&lt;0,1,0)</f>
        <v>0</v>
      </c>
      <c r="I407" t="str" cm="1">
        <f t="array" ref="I407">_xlfn.IFS(Table_Sales[[#This Row],[quantity]]&lt;=3,"1-3",Table_Sales[[#This Row],[quantity]]&lt;=7,"2-7",Table_Sales[[#This Row],[quantity]]&lt;=10,"8-10",TRUE,"11 and above")</f>
        <v>1-3</v>
      </c>
      <c r="J407" t="str" cm="1">
        <f t="array" ref="J407">_xlfn.IFS(Table_Sales[[#This Row],[amount]]&lt;1000,"Under 1000",Table_Sales[[#This Row],[amount]]&lt;3000,"1000 - 2999",Table_Sales[[#This Row],[amount]]&lt;5000,"3000 - 4999",TRUE,"5000 &amp; above")</f>
        <v>Under 1000</v>
      </c>
      <c r="K407">
        <f>IF(COUNTIFS(INDEX(Table_Sales[order_id],1):Table_Sales[[#This Row],[order_id]],Table_Sales[[#This Row],[order_id]])=1,1,0)</f>
        <v>0</v>
      </c>
      <c r="L40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407" t="str">
        <v>B-25763</v>
      </c>
    </row>
    <row r="408" spans="1:14" x14ac:dyDescent="0.25">
      <c r="A408" t="s">
        <v>293</v>
      </c>
      <c r="B408" s="1">
        <v>57</v>
      </c>
      <c r="C408" s="1">
        <v>6</v>
      </c>
      <c r="D408">
        <v>5</v>
      </c>
      <c r="E408" t="s">
        <v>23</v>
      </c>
      <c r="F408" t="s">
        <v>63</v>
      </c>
      <c r="G408" t="s">
        <v>82</v>
      </c>
      <c r="H408">
        <f>IF(Table_Sales[[#This Row],[profit]]&lt;0,1,0)</f>
        <v>0</v>
      </c>
      <c r="I408" t="str" cm="1">
        <f t="array" ref="I408">_xlfn.IFS(Table_Sales[[#This Row],[quantity]]&lt;=3,"1-3",Table_Sales[[#This Row],[quantity]]&lt;=7,"2-7",Table_Sales[[#This Row],[quantity]]&lt;=10,"8-10",TRUE,"11 and above")</f>
        <v>2-7</v>
      </c>
      <c r="J408" t="str" cm="1">
        <f t="array" ref="J408">_xlfn.IFS(Table_Sales[[#This Row],[amount]]&lt;1000,"Under 1000",Table_Sales[[#This Row],[amount]]&lt;3000,"1000 - 2999",Table_Sales[[#This Row],[amount]]&lt;5000,"3000 - 4999",TRUE,"5000 &amp; above")</f>
        <v>Under 1000</v>
      </c>
      <c r="K408">
        <f>IF(COUNTIFS(INDEX(Table_Sales[order_id],1):Table_Sales[[#This Row],[order_id]],Table_Sales[[#This Row],[order_id]])=1,1,0)</f>
        <v>1</v>
      </c>
      <c r="L40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408" t="str">
        <v>B-25740</v>
      </c>
    </row>
    <row r="409" spans="1:14" x14ac:dyDescent="0.25">
      <c r="A409" t="s">
        <v>103</v>
      </c>
      <c r="B409" s="1">
        <v>322</v>
      </c>
      <c r="C409" s="1">
        <v>-113</v>
      </c>
      <c r="D409">
        <v>4</v>
      </c>
      <c r="E409" t="s">
        <v>23</v>
      </c>
      <c r="F409" t="s">
        <v>26</v>
      </c>
      <c r="G409" t="s">
        <v>19</v>
      </c>
      <c r="H409">
        <f>IF(Table_Sales[[#This Row],[profit]]&lt;0,1,0)</f>
        <v>1</v>
      </c>
      <c r="I409" t="str" cm="1">
        <f t="array" ref="I409">_xlfn.IFS(Table_Sales[[#This Row],[quantity]]&lt;=3,"1-3",Table_Sales[[#This Row],[quantity]]&lt;=7,"2-7",Table_Sales[[#This Row],[quantity]]&lt;=10,"8-10",TRUE,"11 and above")</f>
        <v>2-7</v>
      </c>
      <c r="J409" t="str" cm="1">
        <f t="array" ref="J409">_xlfn.IFS(Table_Sales[[#This Row],[amount]]&lt;1000,"Under 1000",Table_Sales[[#This Row],[amount]]&lt;3000,"1000 - 2999",Table_Sales[[#This Row],[amount]]&lt;5000,"3000 - 4999",TRUE,"5000 &amp; above")</f>
        <v>Under 1000</v>
      </c>
      <c r="K409">
        <f>IF(COUNTIFS(INDEX(Table_Sales[order_id],1):Table_Sales[[#This Row],[order_id]],Table_Sales[[#This Row],[order_id]])=1,1,0)</f>
        <v>0</v>
      </c>
      <c r="L40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409" t="str">
        <v>B-25879</v>
      </c>
    </row>
    <row r="410" spans="1:14" x14ac:dyDescent="0.25">
      <c r="A410" t="s">
        <v>294</v>
      </c>
      <c r="B410" s="1">
        <v>219</v>
      </c>
      <c r="C410" s="1">
        <v>4</v>
      </c>
      <c r="D410">
        <v>2</v>
      </c>
      <c r="E410" t="s">
        <v>23</v>
      </c>
      <c r="F410" t="s">
        <v>26</v>
      </c>
      <c r="G410" t="s">
        <v>10</v>
      </c>
      <c r="H410">
        <f>IF(Table_Sales[[#This Row],[profit]]&lt;0,1,0)</f>
        <v>0</v>
      </c>
      <c r="I410" t="str" cm="1">
        <f t="array" ref="I410">_xlfn.IFS(Table_Sales[[#This Row],[quantity]]&lt;=3,"1-3",Table_Sales[[#This Row],[quantity]]&lt;=7,"2-7",Table_Sales[[#This Row],[quantity]]&lt;=10,"8-10",TRUE,"11 and above")</f>
        <v>1-3</v>
      </c>
      <c r="J410" t="str" cm="1">
        <f t="array" ref="J410">_xlfn.IFS(Table_Sales[[#This Row],[amount]]&lt;1000,"Under 1000",Table_Sales[[#This Row],[amount]]&lt;3000,"1000 - 2999",Table_Sales[[#This Row],[amount]]&lt;5000,"3000 - 4999",TRUE,"5000 &amp; above")</f>
        <v>Under 1000</v>
      </c>
      <c r="K410">
        <f>IF(COUNTIFS(INDEX(Table_Sales[order_id],1):Table_Sales[[#This Row],[order_id]],Table_Sales[[#This Row],[order_id]])=1,1,0)</f>
        <v>1</v>
      </c>
      <c r="L41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410" t="str">
        <v>B-25614</v>
      </c>
    </row>
    <row r="411" spans="1:14" x14ac:dyDescent="0.25">
      <c r="A411" t="s">
        <v>295</v>
      </c>
      <c r="B411" s="1">
        <v>103</v>
      </c>
      <c r="C411" s="1">
        <v>21</v>
      </c>
      <c r="D411">
        <v>7</v>
      </c>
      <c r="E411" t="s">
        <v>23</v>
      </c>
      <c r="F411" t="s">
        <v>57</v>
      </c>
      <c r="G411" t="s">
        <v>28</v>
      </c>
      <c r="H411">
        <f>IF(Table_Sales[[#This Row],[profit]]&lt;0,1,0)</f>
        <v>0</v>
      </c>
      <c r="I411" t="str" cm="1">
        <f t="array" ref="I411">_xlfn.IFS(Table_Sales[[#This Row],[quantity]]&lt;=3,"1-3",Table_Sales[[#This Row],[quantity]]&lt;=7,"2-7",Table_Sales[[#This Row],[quantity]]&lt;=10,"8-10",TRUE,"11 and above")</f>
        <v>2-7</v>
      </c>
      <c r="J411" t="str" cm="1">
        <f t="array" ref="J411">_xlfn.IFS(Table_Sales[[#This Row],[amount]]&lt;1000,"Under 1000",Table_Sales[[#This Row],[amount]]&lt;3000,"1000 - 2999",Table_Sales[[#This Row],[amount]]&lt;5000,"3000 - 4999",TRUE,"5000 &amp; above")</f>
        <v>Under 1000</v>
      </c>
      <c r="K411">
        <f>IF(COUNTIFS(INDEX(Table_Sales[order_id],1):Table_Sales[[#This Row],[order_id]],Table_Sales[[#This Row],[order_id]])=1,1,0)</f>
        <v>1</v>
      </c>
      <c r="L41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411" t="str">
        <v>B-26092</v>
      </c>
    </row>
    <row r="412" spans="1:14" x14ac:dyDescent="0.25">
      <c r="A412" t="s">
        <v>33</v>
      </c>
      <c r="B412" s="1">
        <v>47</v>
      </c>
      <c r="C412" s="1">
        <v>-27</v>
      </c>
      <c r="D412">
        <v>4</v>
      </c>
      <c r="E412" t="s">
        <v>23</v>
      </c>
      <c r="F412" t="s">
        <v>26</v>
      </c>
      <c r="G412" t="s">
        <v>10</v>
      </c>
      <c r="H412">
        <f>IF(Table_Sales[[#This Row],[profit]]&lt;0,1,0)</f>
        <v>1</v>
      </c>
      <c r="I412" t="str" cm="1">
        <f t="array" ref="I412">_xlfn.IFS(Table_Sales[[#This Row],[quantity]]&lt;=3,"1-3",Table_Sales[[#This Row],[quantity]]&lt;=7,"2-7",Table_Sales[[#This Row],[quantity]]&lt;=10,"8-10",TRUE,"11 and above")</f>
        <v>2-7</v>
      </c>
      <c r="J412" t="str" cm="1">
        <f t="array" ref="J412">_xlfn.IFS(Table_Sales[[#This Row],[amount]]&lt;1000,"Under 1000",Table_Sales[[#This Row],[amount]]&lt;3000,"1000 - 2999",Table_Sales[[#This Row],[amount]]&lt;5000,"3000 - 4999",TRUE,"5000 &amp; above")</f>
        <v>Under 1000</v>
      </c>
      <c r="K412">
        <f>IF(COUNTIFS(INDEX(Table_Sales[order_id],1):Table_Sales[[#This Row],[order_id]],Table_Sales[[#This Row],[order_id]])=1,1,0)</f>
        <v>0</v>
      </c>
      <c r="L41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412" t="str">
        <v>B-26011</v>
      </c>
    </row>
    <row r="413" spans="1:14" x14ac:dyDescent="0.25">
      <c r="A413" t="s">
        <v>187</v>
      </c>
      <c r="B413" s="1">
        <v>219</v>
      </c>
      <c r="C413" s="1">
        <v>0</v>
      </c>
      <c r="D413">
        <v>1</v>
      </c>
      <c r="E413" t="s">
        <v>23</v>
      </c>
      <c r="F413" t="s">
        <v>26</v>
      </c>
      <c r="G413" t="s">
        <v>10</v>
      </c>
      <c r="H413">
        <f>IF(Table_Sales[[#This Row],[profit]]&lt;0,1,0)</f>
        <v>0</v>
      </c>
      <c r="I413" t="str" cm="1">
        <f t="array" ref="I413">_xlfn.IFS(Table_Sales[[#This Row],[quantity]]&lt;=3,"1-3",Table_Sales[[#This Row],[quantity]]&lt;=7,"2-7",Table_Sales[[#This Row],[quantity]]&lt;=10,"8-10",TRUE,"11 and above")</f>
        <v>1-3</v>
      </c>
      <c r="J413" t="str" cm="1">
        <f t="array" ref="J413">_xlfn.IFS(Table_Sales[[#This Row],[amount]]&lt;1000,"Under 1000",Table_Sales[[#This Row],[amount]]&lt;3000,"1000 - 2999",Table_Sales[[#This Row],[amount]]&lt;5000,"3000 - 4999",TRUE,"5000 &amp; above")</f>
        <v>Under 1000</v>
      </c>
      <c r="K413">
        <f>IF(COUNTIFS(INDEX(Table_Sales[order_id],1):Table_Sales[[#This Row],[order_id]],Table_Sales[[#This Row],[order_id]])=1,1,0)</f>
        <v>0</v>
      </c>
      <c r="L41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413" t="str">
        <v>B-26074</v>
      </c>
    </row>
    <row r="414" spans="1:14" x14ac:dyDescent="0.25">
      <c r="A414" t="s">
        <v>240</v>
      </c>
      <c r="B414" s="1">
        <v>57</v>
      </c>
      <c r="C414" s="1">
        <v>-48</v>
      </c>
      <c r="D414">
        <v>6</v>
      </c>
      <c r="E414" t="s">
        <v>23</v>
      </c>
      <c r="F414" t="s">
        <v>63</v>
      </c>
      <c r="G414" t="s">
        <v>82</v>
      </c>
      <c r="H414">
        <f>IF(Table_Sales[[#This Row],[profit]]&lt;0,1,0)</f>
        <v>1</v>
      </c>
      <c r="I414" t="str" cm="1">
        <f t="array" ref="I414">_xlfn.IFS(Table_Sales[[#This Row],[quantity]]&lt;=3,"1-3",Table_Sales[[#This Row],[quantity]]&lt;=7,"2-7",Table_Sales[[#This Row],[quantity]]&lt;=10,"8-10",TRUE,"11 and above")</f>
        <v>2-7</v>
      </c>
      <c r="J414" t="str" cm="1">
        <f t="array" ref="J414">_xlfn.IFS(Table_Sales[[#This Row],[amount]]&lt;1000,"Under 1000",Table_Sales[[#This Row],[amount]]&lt;3000,"1000 - 2999",Table_Sales[[#This Row],[amount]]&lt;5000,"3000 - 4999",TRUE,"5000 &amp; above")</f>
        <v>Under 1000</v>
      </c>
      <c r="K414">
        <f>IF(COUNTIFS(INDEX(Table_Sales[order_id],1):Table_Sales[[#This Row],[order_id]],Table_Sales[[#This Row],[order_id]])=1,1,0)</f>
        <v>0</v>
      </c>
      <c r="L41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414" t="str">
        <v>B-25976</v>
      </c>
    </row>
    <row r="415" spans="1:14" x14ac:dyDescent="0.25">
      <c r="A415" t="s">
        <v>296</v>
      </c>
      <c r="B415" s="1">
        <v>319</v>
      </c>
      <c r="C415" s="1">
        <v>102</v>
      </c>
      <c r="D415">
        <v>6</v>
      </c>
      <c r="E415" t="s">
        <v>8</v>
      </c>
      <c r="F415" t="s">
        <v>73</v>
      </c>
      <c r="G415" t="s">
        <v>19</v>
      </c>
      <c r="H415">
        <f>IF(Table_Sales[[#This Row],[profit]]&lt;0,1,0)</f>
        <v>0</v>
      </c>
      <c r="I415" t="str" cm="1">
        <f t="array" ref="I415">_xlfn.IFS(Table_Sales[[#This Row],[quantity]]&lt;=3,"1-3",Table_Sales[[#This Row],[quantity]]&lt;=7,"2-7",Table_Sales[[#This Row],[quantity]]&lt;=10,"8-10",TRUE,"11 and above")</f>
        <v>2-7</v>
      </c>
      <c r="J415" t="str" cm="1">
        <f t="array" ref="J415">_xlfn.IFS(Table_Sales[[#This Row],[amount]]&lt;1000,"Under 1000",Table_Sales[[#This Row],[amount]]&lt;3000,"1000 - 2999",Table_Sales[[#This Row],[amount]]&lt;5000,"3000 - 4999",TRUE,"5000 &amp; above")</f>
        <v>Under 1000</v>
      </c>
      <c r="K415">
        <f>IF(COUNTIFS(INDEX(Table_Sales[order_id],1):Table_Sales[[#This Row],[order_id]],Table_Sales[[#This Row],[order_id]])=1,1,0)</f>
        <v>1</v>
      </c>
      <c r="L41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415" t="str">
        <v>B-25865</v>
      </c>
    </row>
    <row r="416" spans="1:14" x14ac:dyDescent="0.25">
      <c r="A416" t="s">
        <v>60</v>
      </c>
      <c r="B416" s="1">
        <v>315</v>
      </c>
      <c r="C416" s="1">
        <v>-8</v>
      </c>
      <c r="D416">
        <v>3</v>
      </c>
      <c r="E416" t="s">
        <v>12</v>
      </c>
      <c r="F416" t="s">
        <v>13</v>
      </c>
      <c r="G416" t="s">
        <v>19</v>
      </c>
      <c r="H416">
        <f>IF(Table_Sales[[#This Row],[profit]]&lt;0,1,0)</f>
        <v>1</v>
      </c>
      <c r="I416" t="str" cm="1">
        <f t="array" ref="I416">_xlfn.IFS(Table_Sales[[#This Row],[quantity]]&lt;=3,"1-3",Table_Sales[[#This Row],[quantity]]&lt;=7,"2-7",Table_Sales[[#This Row],[quantity]]&lt;=10,"8-10",TRUE,"11 and above")</f>
        <v>1-3</v>
      </c>
      <c r="J416" t="str" cm="1">
        <f t="array" ref="J416">_xlfn.IFS(Table_Sales[[#This Row],[amount]]&lt;1000,"Under 1000",Table_Sales[[#This Row],[amount]]&lt;3000,"1000 - 2999",Table_Sales[[#This Row],[amount]]&lt;5000,"3000 - 4999",TRUE,"5000 &amp; above")</f>
        <v>Under 1000</v>
      </c>
      <c r="K416">
        <f>IF(COUNTIFS(INDEX(Table_Sales[order_id],1):Table_Sales[[#This Row],[order_id]],Table_Sales[[#This Row],[order_id]])=1,1,0)</f>
        <v>0</v>
      </c>
      <c r="L41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416" t="str">
        <v>B-26049</v>
      </c>
    </row>
    <row r="417" spans="1:14" x14ac:dyDescent="0.25">
      <c r="A417" t="s">
        <v>216</v>
      </c>
      <c r="B417" s="1">
        <v>314</v>
      </c>
      <c r="C417" s="1">
        <v>-41</v>
      </c>
      <c r="D417">
        <v>3</v>
      </c>
      <c r="E417" t="s">
        <v>8</v>
      </c>
      <c r="F417" t="s">
        <v>9</v>
      </c>
      <c r="G417" t="s">
        <v>19</v>
      </c>
      <c r="H417">
        <f>IF(Table_Sales[[#This Row],[profit]]&lt;0,1,0)</f>
        <v>1</v>
      </c>
      <c r="I417" t="str" cm="1">
        <f t="array" ref="I417">_xlfn.IFS(Table_Sales[[#This Row],[quantity]]&lt;=3,"1-3",Table_Sales[[#This Row],[quantity]]&lt;=7,"2-7",Table_Sales[[#This Row],[quantity]]&lt;=10,"8-10",TRUE,"11 and above")</f>
        <v>1-3</v>
      </c>
      <c r="J417" t="str" cm="1">
        <f t="array" ref="J417">_xlfn.IFS(Table_Sales[[#This Row],[amount]]&lt;1000,"Under 1000",Table_Sales[[#This Row],[amount]]&lt;3000,"1000 - 2999",Table_Sales[[#This Row],[amount]]&lt;5000,"3000 - 4999",TRUE,"5000 &amp; above")</f>
        <v>Under 1000</v>
      </c>
      <c r="K417">
        <f>IF(COUNTIFS(INDEX(Table_Sales[order_id],1):Table_Sales[[#This Row],[order_id]],Table_Sales[[#This Row],[order_id]])=1,1,0)</f>
        <v>0</v>
      </c>
      <c r="L41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417" t="str">
        <v>B-26047</v>
      </c>
    </row>
    <row r="418" spans="1:14" x14ac:dyDescent="0.25">
      <c r="A418" t="s">
        <v>194</v>
      </c>
      <c r="B418" s="1">
        <v>311</v>
      </c>
      <c r="C418" s="1">
        <v>40</v>
      </c>
      <c r="D418">
        <v>1</v>
      </c>
      <c r="E418" t="s">
        <v>8</v>
      </c>
      <c r="F418" t="s">
        <v>9</v>
      </c>
      <c r="G418" t="s">
        <v>14</v>
      </c>
      <c r="H418">
        <f>IF(Table_Sales[[#This Row],[profit]]&lt;0,1,0)</f>
        <v>0</v>
      </c>
      <c r="I418" t="str" cm="1">
        <f t="array" ref="I418">_xlfn.IFS(Table_Sales[[#This Row],[quantity]]&lt;=3,"1-3",Table_Sales[[#This Row],[quantity]]&lt;=7,"2-7",Table_Sales[[#This Row],[quantity]]&lt;=10,"8-10",TRUE,"11 and above")</f>
        <v>1-3</v>
      </c>
      <c r="J418" t="str" cm="1">
        <f t="array" ref="J418">_xlfn.IFS(Table_Sales[[#This Row],[amount]]&lt;1000,"Under 1000",Table_Sales[[#This Row],[amount]]&lt;3000,"1000 - 2999",Table_Sales[[#This Row],[amount]]&lt;5000,"3000 - 4999",TRUE,"5000 &amp; above")</f>
        <v>Under 1000</v>
      </c>
      <c r="K418">
        <f>IF(COUNTIFS(INDEX(Table_Sales[order_id],1):Table_Sales[[#This Row],[order_id]],Table_Sales[[#This Row],[order_id]])=1,1,0)</f>
        <v>0</v>
      </c>
      <c r="L41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418" t="str">
        <v>B-25766</v>
      </c>
    </row>
    <row r="419" spans="1:14" x14ac:dyDescent="0.25">
      <c r="A419" t="s">
        <v>79</v>
      </c>
      <c r="B419" s="1">
        <v>307</v>
      </c>
      <c r="C419" s="1">
        <v>74</v>
      </c>
      <c r="D419">
        <v>3</v>
      </c>
      <c r="E419" t="s">
        <v>8</v>
      </c>
      <c r="F419" t="s">
        <v>73</v>
      </c>
      <c r="G419" t="s">
        <v>14</v>
      </c>
      <c r="H419">
        <f>IF(Table_Sales[[#This Row],[profit]]&lt;0,1,0)</f>
        <v>0</v>
      </c>
      <c r="I419" t="str" cm="1">
        <f t="array" ref="I419">_xlfn.IFS(Table_Sales[[#This Row],[quantity]]&lt;=3,"1-3",Table_Sales[[#This Row],[quantity]]&lt;=7,"2-7",Table_Sales[[#This Row],[quantity]]&lt;=10,"8-10",TRUE,"11 and above")</f>
        <v>1-3</v>
      </c>
      <c r="J419" t="str" cm="1">
        <f t="array" ref="J419">_xlfn.IFS(Table_Sales[[#This Row],[amount]]&lt;1000,"Under 1000",Table_Sales[[#This Row],[amount]]&lt;3000,"1000 - 2999",Table_Sales[[#This Row],[amount]]&lt;5000,"3000 - 4999",TRUE,"5000 &amp; above")</f>
        <v>Under 1000</v>
      </c>
      <c r="K419">
        <f>IF(COUNTIFS(INDEX(Table_Sales[order_id],1):Table_Sales[[#This Row],[order_id]],Table_Sales[[#This Row],[order_id]])=1,1,0)</f>
        <v>0</v>
      </c>
      <c r="L41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419" t="str">
        <v>B-25947</v>
      </c>
    </row>
    <row r="420" spans="1:14" x14ac:dyDescent="0.25">
      <c r="A420" t="s">
        <v>187</v>
      </c>
      <c r="B420" s="1">
        <v>294</v>
      </c>
      <c r="C420" s="1">
        <v>109</v>
      </c>
      <c r="D420">
        <v>7</v>
      </c>
      <c r="E420" t="s">
        <v>8</v>
      </c>
      <c r="F420" t="s">
        <v>73</v>
      </c>
      <c r="G420" t="s">
        <v>14</v>
      </c>
      <c r="H420">
        <f>IF(Table_Sales[[#This Row],[profit]]&lt;0,1,0)</f>
        <v>0</v>
      </c>
      <c r="I420" t="str" cm="1">
        <f t="array" ref="I420">_xlfn.IFS(Table_Sales[[#This Row],[quantity]]&lt;=3,"1-3",Table_Sales[[#This Row],[quantity]]&lt;=7,"2-7",Table_Sales[[#This Row],[quantity]]&lt;=10,"8-10",TRUE,"11 and above")</f>
        <v>2-7</v>
      </c>
      <c r="J420" t="str" cm="1">
        <f t="array" ref="J420">_xlfn.IFS(Table_Sales[[#This Row],[amount]]&lt;1000,"Under 1000",Table_Sales[[#This Row],[amount]]&lt;3000,"1000 - 2999",Table_Sales[[#This Row],[amount]]&lt;5000,"3000 - 4999",TRUE,"5000 &amp; above")</f>
        <v>Under 1000</v>
      </c>
      <c r="K420">
        <f>IF(COUNTIFS(INDEX(Table_Sales[order_id],1):Table_Sales[[#This Row],[order_id]],Table_Sales[[#This Row],[order_id]])=1,1,0)</f>
        <v>0</v>
      </c>
      <c r="L42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420" t="str">
        <v>B-26069</v>
      </c>
    </row>
    <row r="421" spans="1:14" x14ac:dyDescent="0.25">
      <c r="A421" t="s">
        <v>271</v>
      </c>
      <c r="B421" s="1">
        <v>216</v>
      </c>
      <c r="C421" s="1">
        <v>-83</v>
      </c>
      <c r="D421">
        <v>3</v>
      </c>
      <c r="E421" t="s">
        <v>8</v>
      </c>
      <c r="F421" t="s">
        <v>9</v>
      </c>
      <c r="G421" t="s">
        <v>10</v>
      </c>
      <c r="H421">
        <f>IF(Table_Sales[[#This Row],[profit]]&lt;0,1,0)</f>
        <v>1</v>
      </c>
      <c r="I421" t="str" cm="1">
        <f t="array" ref="I421">_xlfn.IFS(Table_Sales[[#This Row],[quantity]]&lt;=3,"1-3",Table_Sales[[#This Row],[quantity]]&lt;=7,"2-7",Table_Sales[[#This Row],[quantity]]&lt;=10,"8-10",TRUE,"11 and above")</f>
        <v>1-3</v>
      </c>
      <c r="J421" t="str" cm="1">
        <f t="array" ref="J421">_xlfn.IFS(Table_Sales[[#This Row],[amount]]&lt;1000,"Under 1000",Table_Sales[[#This Row],[amount]]&lt;3000,"1000 - 2999",Table_Sales[[#This Row],[amount]]&lt;5000,"3000 - 4999",TRUE,"5000 &amp; above")</f>
        <v>Under 1000</v>
      </c>
      <c r="K421">
        <f>IF(COUNTIFS(INDEX(Table_Sales[order_id],1):Table_Sales[[#This Row],[order_id]],Table_Sales[[#This Row],[order_id]])=1,1,0)</f>
        <v>0</v>
      </c>
      <c r="L42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421" t="str">
        <v>B-25627</v>
      </c>
    </row>
    <row r="422" spans="1:14" x14ac:dyDescent="0.25">
      <c r="A422" t="s">
        <v>290</v>
      </c>
      <c r="B422" s="1">
        <v>58</v>
      </c>
      <c r="C422" s="1">
        <v>-42</v>
      </c>
      <c r="D422">
        <v>2</v>
      </c>
      <c r="E422" t="s">
        <v>12</v>
      </c>
      <c r="F422" t="s">
        <v>13</v>
      </c>
      <c r="G422" t="s">
        <v>82</v>
      </c>
      <c r="H422">
        <f>IF(Table_Sales[[#This Row],[profit]]&lt;0,1,0)</f>
        <v>1</v>
      </c>
      <c r="I422" t="str" cm="1">
        <f t="array" ref="I422">_xlfn.IFS(Table_Sales[[#This Row],[quantity]]&lt;=3,"1-3",Table_Sales[[#This Row],[quantity]]&lt;=7,"2-7",Table_Sales[[#This Row],[quantity]]&lt;=10,"8-10",TRUE,"11 and above")</f>
        <v>1-3</v>
      </c>
      <c r="J422" t="str" cm="1">
        <f t="array" ref="J422">_xlfn.IFS(Table_Sales[[#This Row],[amount]]&lt;1000,"Under 1000",Table_Sales[[#This Row],[amount]]&lt;3000,"1000 - 2999",Table_Sales[[#This Row],[amount]]&lt;5000,"3000 - 4999",TRUE,"5000 &amp; above")</f>
        <v>Under 1000</v>
      </c>
      <c r="K422">
        <f>IF(COUNTIFS(INDEX(Table_Sales[order_id],1):Table_Sales[[#This Row],[order_id]],Table_Sales[[#This Row],[order_id]])=1,1,0)</f>
        <v>0</v>
      </c>
      <c r="L42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422" t="str">
        <v>B-26027</v>
      </c>
    </row>
    <row r="423" spans="1:14" x14ac:dyDescent="0.25">
      <c r="A423" t="s">
        <v>72</v>
      </c>
      <c r="B423" s="1">
        <v>48</v>
      </c>
      <c r="C423" s="1">
        <v>20</v>
      </c>
      <c r="D423">
        <v>4</v>
      </c>
      <c r="E423" t="s">
        <v>23</v>
      </c>
      <c r="F423" t="s">
        <v>57</v>
      </c>
      <c r="G423" t="s">
        <v>28</v>
      </c>
      <c r="H423">
        <f>IF(Table_Sales[[#This Row],[profit]]&lt;0,1,0)</f>
        <v>0</v>
      </c>
      <c r="I423" t="str" cm="1">
        <f t="array" ref="I423">_xlfn.IFS(Table_Sales[[#This Row],[quantity]]&lt;=3,"1-3",Table_Sales[[#This Row],[quantity]]&lt;=7,"2-7",Table_Sales[[#This Row],[quantity]]&lt;=10,"8-10",TRUE,"11 and above")</f>
        <v>2-7</v>
      </c>
      <c r="J423" t="str" cm="1">
        <f t="array" ref="J423">_xlfn.IFS(Table_Sales[[#This Row],[amount]]&lt;1000,"Under 1000",Table_Sales[[#This Row],[amount]]&lt;3000,"1000 - 2999",Table_Sales[[#This Row],[amount]]&lt;5000,"3000 - 4999",TRUE,"5000 &amp; above")</f>
        <v>Under 1000</v>
      </c>
      <c r="K423">
        <f>IF(COUNTIFS(INDEX(Table_Sales[order_id],1):Table_Sales[[#This Row],[order_id]],Table_Sales[[#This Row],[order_id]])=1,1,0)</f>
        <v>0</v>
      </c>
      <c r="L42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423" t="str">
        <v>B-26068</v>
      </c>
    </row>
    <row r="424" spans="1:14" x14ac:dyDescent="0.25">
      <c r="A424" t="s">
        <v>15</v>
      </c>
      <c r="B424" s="1">
        <v>54</v>
      </c>
      <c r="C424" s="1">
        <v>14</v>
      </c>
      <c r="D424">
        <v>3</v>
      </c>
      <c r="E424" t="s">
        <v>23</v>
      </c>
      <c r="F424" t="s">
        <v>81</v>
      </c>
      <c r="G424" t="s">
        <v>28</v>
      </c>
      <c r="H424">
        <f>IF(Table_Sales[[#This Row],[profit]]&lt;0,1,0)</f>
        <v>0</v>
      </c>
      <c r="I424" t="str" cm="1">
        <f t="array" ref="I424">_xlfn.IFS(Table_Sales[[#This Row],[quantity]]&lt;=3,"1-3",Table_Sales[[#This Row],[quantity]]&lt;=7,"2-7",Table_Sales[[#This Row],[quantity]]&lt;=10,"8-10",TRUE,"11 and above")</f>
        <v>1-3</v>
      </c>
      <c r="J424" t="str" cm="1">
        <f t="array" ref="J424">_xlfn.IFS(Table_Sales[[#This Row],[amount]]&lt;1000,"Under 1000",Table_Sales[[#This Row],[amount]]&lt;3000,"1000 - 2999",Table_Sales[[#This Row],[amount]]&lt;5000,"3000 - 4999",TRUE,"5000 &amp; above")</f>
        <v>Under 1000</v>
      </c>
      <c r="K424">
        <f>IF(COUNTIFS(INDEX(Table_Sales[order_id],1):Table_Sales[[#This Row],[order_id]],Table_Sales[[#This Row],[order_id]])=1,1,0)</f>
        <v>0</v>
      </c>
      <c r="L42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424" t="str">
        <v>B-26080</v>
      </c>
    </row>
    <row r="425" spans="1:14" x14ac:dyDescent="0.25">
      <c r="A425" t="s">
        <v>88</v>
      </c>
      <c r="B425" s="1">
        <v>216</v>
      </c>
      <c r="C425" s="1">
        <v>50</v>
      </c>
      <c r="D425">
        <v>4</v>
      </c>
      <c r="E425" t="s">
        <v>23</v>
      </c>
      <c r="F425" t="s">
        <v>57</v>
      </c>
      <c r="G425" t="s">
        <v>10</v>
      </c>
      <c r="H425">
        <f>IF(Table_Sales[[#This Row],[profit]]&lt;0,1,0)</f>
        <v>0</v>
      </c>
      <c r="I425" t="str" cm="1">
        <f t="array" ref="I425">_xlfn.IFS(Table_Sales[[#This Row],[quantity]]&lt;=3,"1-3",Table_Sales[[#This Row],[quantity]]&lt;=7,"2-7",Table_Sales[[#This Row],[quantity]]&lt;=10,"8-10",TRUE,"11 and above")</f>
        <v>2-7</v>
      </c>
      <c r="J425" t="str" cm="1">
        <f t="array" ref="J425">_xlfn.IFS(Table_Sales[[#This Row],[amount]]&lt;1000,"Under 1000",Table_Sales[[#This Row],[amount]]&lt;3000,"1000 - 2999",Table_Sales[[#This Row],[amount]]&lt;5000,"3000 - 4999",TRUE,"5000 &amp; above")</f>
        <v>Under 1000</v>
      </c>
      <c r="K425">
        <f>IF(COUNTIFS(INDEX(Table_Sales[order_id],1):Table_Sales[[#This Row],[order_id]],Table_Sales[[#This Row],[order_id]])=1,1,0)</f>
        <v>0</v>
      </c>
      <c r="L42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425" t="str">
        <v>B-26012</v>
      </c>
    </row>
    <row r="426" spans="1:14" x14ac:dyDescent="0.25">
      <c r="A426" t="s">
        <v>292</v>
      </c>
      <c r="B426" s="1">
        <v>215</v>
      </c>
      <c r="C426" s="1">
        <v>-30</v>
      </c>
      <c r="D426">
        <v>2</v>
      </c>
      <c r="E426" t="s">
        <v>23</v>
      </c>
      <c r="F426" t="s">
        <v>26</v>
      </c>
      <c r="G426" t="s">
        <v>10</v>
      </c>
      <c r="H426">
        <f>IF(Table_Sales[[#This Row],[profit]]&lt;0,1,0)</f>
        <v>1</v>
      </c>
      <c r="I426" t="str" cm="1">
        <f t="array" ref="I426">_xlfn.IFS(Table_Sales[[#This Row],[quantity]]&lt;=3,"1-3",Table_Sales[[#This Row],[quantity]]&lt;=7,"2-7",Table_Sales[[#This Row],[quantity]]&lt;=10,"8-10",TRUE,"11 and above")</f>
        <v>1-3</v>
      </c>
      <c r="J426" t="str" cm="1">
        <f t="array" ref="J426">_xlfn.IFS(Table_Sales[[#This Row],[amount]]&lt;1000,"Under 1000",Table_Sales[[#This Row],[amount]]&lt;3000,"1000 - 2999",Table_Sales[[#This Row],[amount]]&lt;5000,"3000 - 4999",TRUE,"5000 &amp; above")</f>
        <v>Under 1000</v>
      </c>
      <c r="K426">
        <f>IF(COUNTIFS(INDEX(Table_Sales[order_id],1):Table_Sales[[#This Row],[order_id]],Table_Sales[[#This Row],[order_id]])=1,1,0)</f>
        <v>0</v>
      </c>
      <c r="L42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426" t="str">
        <v>B-25824</v>
      </c>
    </row>
    <row r="427" spans="1:14" x14ac:dyDescent="0.25">
      <c r="A427" t="s">
        <v>297</v>
      </c>
      <c r="B427" s="1">
        <v>43</v>
      </c>
      <c r="C427" s="1">
        <v>8</v>
      </c>
      <c r="D427">
        <v>3</v>
      </c>
      <c r="E427" t="s">
        <v>23</v>
      </c>
      <c r="F427" t="s">
        <v>63</v>
      </c>
      <c r="G427" t="s">
        <v>10</v>
      </c>
      <c r="H427">
        <f>IF(Table_Sales[[#This Row],[profit]]&lt;0,1,0)</f>
        <v>0</v>
      </c>
      <c r="I427" t="str" cm="1">
        <f t="array" ref="I427">_xlfn.IFS(Table_Sales[[#This Row],[quantity]]&lt;=3,"1-3",Table_Sales[[#This Row],[quantity]]&lt;=7,"2-7",Table_Sales[[#This Row],[quantity]]&lt;=10,"8-10",TRUE,"11 and above")</f>
        <v>1-3</v>
      </c>
      <c r="J427" t="str" cm="1">
        <f t="array" ref="J427">_xlfn.IFS(Table_Sales[[#This Row],[amount]]&lt;1000,"Under 1000",Table_Sales[[#This Row],[amount]]&lt;3000,"1000 - 2999",Table_Sales[[#This Row],[amount]]&lt;5000,"3000 - 4999",TRUE,"5000 &amp; above")</f>
        <v>Under 1000</v>
      </c>
      <c r="K427">
        <f>IF(COUNTIFS(INDEX(Table_Sales[order_id],1):Table_Sales[[#This Row],[order_id]],Table_Sales[[#This Row],[order_id]])=1,1,0)</f>
        <v>1</v>
      </c>
      <c r="L42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427" t="str">
        <v>B-25922</v>
      </c>
    </row>
    <row r="428" spans="1:14" x14ac:dyDescent="0.25">
      <c r="A428" t="s">
        <v>46</v>
      </c>
      <c r="B428" s="1">
        <v>136</v>
      </c>
      <c r="C428" s="1">
        <v>-33</v>
      </c>
      <c r="D428">
        <v>5</v>
      </c>
      <c r="E428" t="s">
        <v>23</v>
      </c>
      <c r="F428" t="s">
        <v>26</v>
      </c>
      <c r="G428" t="s">
        <v>10</v>
      </c>
      <c r="H428">
        <f>IF(Table_Sales[[#This Row],[profit]]&lt;0,1,0)</f>
        <v>1</v>
      </c>
      <c r="I428" t="str" cm="1">
        <f t="array" ref="I428">_xlfn.IFS(Table_Sales[[#This Row],[quantity]]&lt;=3,"1-3",Table_Sales[[#This Row],[quantity]]&lt;=7,"2-7",Table_Sales[[#This Row],[quantity]]&lt;=10,"8-10",TRUE,"11 and above")</f>
        <v>2-7</v>
      </c>
      <c r="J428" t="str" cm="1">
        <f t="array" ref="J428">_xlfn.IFS(Table_Sales[[#This Row],[amount]]&lt;1000,"Under 1000",Table_Sales[[#This Row],[amount]]&lt;3000,"1000 - 2999",Table_Sales[[#This Row],[amount]]&lt;5000,"3000 - 4999",TRUE,"5000 &amp; above")</f>
        <v>Under 1000</v>
      </c>
      <c r="K428">
        <f>IF(COUNTIFS(INDEX(Table_Sales[order_id],1):Table_Sales[[#This Row],[order_id]],Table_Sales[[#This Row],[order_id]])=1,1,0)</f>
        <v>0</v>
      </c>
      <c r="L42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428" t="str">
        <v>B-26099</v>
      </c>
    </row>
    <row r="429" spans="1:14" x14ac:dyDescent="0.25">
      <c r="A429" t="s">
        <v>298</v>
      </c>
      <c r="B429" s="1">
        <v>59</v>
      </c>
      <c r="C429" s="1">
        <v>-30</v>
      </c>
      <c r="D429">
        <v>3</v>
      </c>
      <c r="E429" t="s">
        <v>23</v>
      </c>
      <c r="F429" t="s">
        <v>63</v>
      </c>
      <c r="G429" t="s">
        <v>82</v>
      </c>
      <c r="H429">
        <f>IF(Table_Sales[[#This Row],[profit]]&lt;0,1,0)</f>
        <v>1</v>
      </c>
      <c r="I429" t="str" cm="1">
        <f t="array" ref="I429">_xlfn.IFS(Table_Sales[[#This Row],[quantity]]&lt;=3,"1-3",Table_Sales[[#This Row],[quantity]]&lt;=7,"2-7",Table_Sales[[#This Row],[quantity]]&lt;=10,"8-10",TRUE,"11 and above")</f>
        <v>1-3</v>
      </c>
      <c r="J429" t="str" cm="1">
        <f t="array" ref="J429">_xlfn.IFS(Table_Sales[[#This Row],[amount]]&lt;1000,"Under 1000",Table_Sales[[#This Row],[amount]]&lt;3000,"1000 - 2999",Table_Sales[[#This Row],[amount]]&lt;5000,"3000 - 4999",TRUE,"5000 &amp; above")</f>
        <v>Under 1000</v>
      </c>
      <c r="K429">
        <f>IF(COUNTIFS(INDEX(Table_Sales[order_id],1):Table_Sales[[#This Row],[order_id]],Table_Sales[[#This Row],[order_id]])=1,1,0)</f>
        <v>1</v>
      </c>
      <c r="L42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429" t="str">
        <v>B-25866</v>
      </c>
    </row>
    <row r="430" spans="1:14" x14ac:dyDescent="0.25">
      <c r="A430" t="s">
        <v>11</v>
      </c>
      <c r="B430" s="1">
        <v>213</v>
      </c>
      <c r="C430" s="1">
        <v>4</v>
      </c>
      <c r="D430">
        <v>14</v>
      </c>
      <c r="E430" t="s">
        <v>23</v>
      </c>
      <c r="F430" t="s">
        <v>142</v>
      </c>
      <c r="G430" t="s">
        <v>10</v>
      </c>
      <c r="H430">
        <f>IF(Table_Sales[[#This Row],[profit]]&lt;0,1,0)</f>
        <v>0</v>
      </c>
      <c r="I430" t="str" cm="1">
        <f t="array" ref="I430">_xlfn.IFS(Table_Sales[[#This Row],[quantity]]&lt;=3,"1-3",Table_Sales[[#This Row],[quantity]]&lt;=7,"2-7",Table_Sales[[#This Row],[quantity]]&lt;=10,"8-10",TRUE,"11 and above")</f>
        <v>11 and above</v>
      </c>
      <c r="J430" t="str" cm="1">
        <f t="array" ref="J430">_xlfn.IFS(Table_Sales[[#This Row],[amount]]&lt;1000,"Under 1000",Table_Sales[[#This Row],[amount]]&lt;3000,"1000 - 2999",Table_Sales[[#This Row],[amount]]&lt;5000,"3000 - 4999",TRUE,"5000 &amp; above")</f>
        <v>Under 1000</v>
      </c>
      <c r="K430">
        <f>IF(COUNTIFS(INDEX(Table_Sales[order_id],1):Table_Sales[[#This Row],[order_id]],Table_Sales[[#This Row],[order_id]])=1,1,0)</f>
        <v>0</v>
      </c>
      <c r="L43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430" t="str">
        <v>B-25775</v>
      </c>
    </row>
    <row r="431" spans="1:14" x14ac:dyDescent="0.25">
      <c r="A431" t="s">
        <v>285</v>
      </c>
      <c r="B431" s="1">
        <v>59</v>
      </c>
      <c r="C431" s="1">
        <v>21</v>
      </c>
      <c r="D431">
        <v>2</v>
      </c>
      <c r="E431" t="s">
        <v>23</v>
      </c>
      <c r="F431" t="s">
        <v>57</v>
      </c>
      <c r="G431" t="s">
        <v>82</v>
      </c>
      <c r="H431">
        <f>IF(Table_Sales[[#This Row],[profit]]&lt;0,1,0)</f>
        <v>0</v>
      </c>
      <c r="I431" t="str" cm="1">
        <f t="array" ref="I431">_xlfn.IFS(Table_Sales[[#This Row],[quantity]]&lt;=3,"1-3",Table_Sales[[#This Row],[quantity]]&lt;=7,"2-7",Table_Sales[[#This Row],[quantity]]&lt;=10,"8-10",TRUE,"11 and above")</f>
        <v>1-3</v>
      </c>
      <c r="J431" t="str" cm="1">
        <f t="array" ref="J431">_xlfn.IFS(Table_Sales[[#This Row],[amount]]&lt;1000,"Under 1000",Table_Sales[[#This Row],[amount]]&lt;3000,"1000 - 2999",Table_Sales[[#This Row],[amount]]&lt;5000,"3000 - 4999",TRUE,"5000 &amp; above")</f>
        <v>Under 1000</v>
      </c>
      <c r="K431">
        <f>IF(COUNTIFS(INDEX(Table_Sales[order_id],1):Table_Sales[[#This Row],[order_id]],Table_Sales[[#This Row],[order_id]])=1,1,0)</f>
        <v>0</v>
      </c>
      <c r="L43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431" t="str">
        <v>B-25685</v>
      </c>
    </row>
    <row r="432" spans="1:14" x14ac:dyDescent="0.25">
      <c r="A432" t="s">
        <v>299</v>
      </c>
      <c r="B432" s="1">
        <v>55</v>
      </c>
      <c r="C432" s="1">
        <v>3</v>
      </c>
      <c r="D432">
        <v>3</v>
      </c>
      <c r="E432" t="s">
        <v>23</v>
      </c>
      <c r="F432" t="s">
        <v>81</v>
      </c>
      <c r="G432" t="s">
        <v>10</v>
      </c>
      <c r="H432">
        <f>IF(Table_Sales[[#This Row],[profit]]&lt;0,1,0)</f>
        <v>0</v>
      </c>
      <c r="I432" t="str" cm="1">
        <f t="array" ref="I432">_xlfn.IFS(Table_Sales[[#This Row],[quantity]]&lt;=3,"1-3",Table_Sales[[#This Row],[quantity]]&lt;=7,"2-7",Table_Sales[[#This Row],[quantity]]&lt;=10,"8-10",TRUE,"11 and above")</f>
        <v>1-3</v>
      </c>
      <c r="J432" t="str" cm="1">
        <f t="array" ref="J432">_xlfn.IFS(Table_Sales[[#This Row],[amount]]&lt;1000,"Under 1000",Table_Sales[[#This Row],[amount]]&lt;3000,"1000 - 2999",Table_Sales[[#This Row],[amount]]&lt;5000,"3000 - 4999",TRUE,"5000 &amp; above")</f>
        <v>Under 1000</v>
      </c>
      <c r="K432">
        <f>IF(COUNTIFS(INDEX(Table_Sales[order_id],1):Table_Sales[[#This Row],[order_id]],Table_Sales[[#This Row],[order_id]])=1,1,0)</f>
        <v>1</v>
      </c>
      <c r="L43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432" t="str">
        <v>B-26090</v>
      </c>
    </row>
    <row r="433" spans="1:14" x14ac:dyDescent="0.25">
      <c r="A433" t="s">
        <v>15</v>
      </c>
      <c r="B433" s="1">
        <v>294</v>
      </c>
      <c r="C433" s="1">
        <v>62</v>
      </c>
      <c r="D433">
        <v>9</v>
      </c>
      <c r="E433" t="s">
        <v>23</v>
      </c>
      <c r="F433" t="s">
        <v>81</v>
      </c>
      <c r="G433" t="s">
        <v>14</v>
      </c>
      <c r="H433">
        <f>IF(Table_Sales[[#This Row],[profit]]&lt;0,1,0)</f>
        <v>0</v>
      </c>
      <c r="I433" t="str" cm="1">
        <f t="array" ref="I433">_xlfn.IFS(Table_Sales[[#This Row],[quantity]]&lt;=3,"1-3",Table_Sales[[#This Row],[quantity]]&lt;=7,"2-7",Table_Sales[[#This Row],[quantity]]&lt;=10,"8-10",TRUE,"11 and above")</f>
        <v>8-10</v>
      </c>
      <c r="J433" t="str" cm="1">
        <f t="array" ref="J433">_xlfn.IFS(Table_Sales[[#This Row],[amount]]&lt;1000,"Under 1000",Table_Sales[[#This Row],[amount]]&lt;3000,"1000 - 2999",Table_Sales[[#This Row],[amount]]&lt;5000,"3000 - 4999",TRUE,"5000 &amp; above")</f>
        <v>Under 1000</v>
      </c>
      <c r="K433">
        <f>IF(COUNTIFS(INDEX(Table_Sales[order_id],1):Table_Sales[[#This Row],[order_id]],Table_Sales[[#This Row],[order_id]])=1,1,0)</f>
        <v>0</v>
      </c>
      <c r="L43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433" t="str">
        <v>B-26072</v>
      </c>
    </row>
    <row r="434" spans="1:14" x14ac:dyDescent="0.25">
      <c r="A434" t="s">
        <v>89</v>
      </c>
      <c r="B434" s="1">
        <v>210</v>
      </c>
      <c r="C434" s="1">
        <v>62</v>
      </c>
      <c r="D434">
        <v>2</v>
      </c>
      <c r="E434" t="s">
        <v>8</v>
      </c>
      <c r="F434" t="s">
        <v>21</v>
      </c>
      <c r="G434" t="s">
        <v>10</v>
      </c>
      <c r="H434">
        <f>IF(Table_Sales[[#This Row],[profit]]&lt;0,1,0)</f>
        <v>0</v>
      </c>
      <c r="I434" t="str" cm="1">
        <f t="array" ref="I434">_xlfn.IFS(Table_Sales[[#This Row],[quantity]]&lt;=3,"1-3",Table_Sales[[#This Row],[quantity]]&lt;=7,"2-7",Table_Sales[[#This Row],[quantity]]&lt;=10,"8-10",TRUE,"11 and above")</f>
        <v>1-3</v>
      </c>
      <c r="J434" t="str" cm="1">
        <f t="array" ref="J434">_xlfn.IFS(Table_Sales[[#This Row],[amount]]&lt;1000,"Under 1000",Table_Sales[[#This Row],[amount]]&lt;3000,"1000 - 2999",Table_Sales[[#This Row],[amount]]&lt;5000,"3000 - 4999",TRUE,"5000 &amp; above")</f>
        <v>Under 1000</v>
      </c>
      <c r="K434">
        <f>IF(COUNTIFS(INDEX(Table_Sales[order_id],1):Table_Sales[[#This Row],[order_id]],Table_Sales[[#This Row],[order_id]])=1,1,0)</f>
        <v>0</v>
      </c>
      <c r="L43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434" t="str">
        <v>B-25916</v>
      </c>
    </row>
    <row r="435" spans="1:14" x14ac:dyDescent="0.25">
      <c r="A435" t="s">
        <v>238</v>
      </c>
      <c r="B435" s="1">
        <v>59</v>
      </c>
      <c r="C435" s="1">
        <v>24</v>
      </c>
      <c r="D435">
        <v>6</v>
      </c>
      <c r="E435" t="s">
        <v>23</v>
      </c>
      <c r="F435" t="s">
        <v>32</v>
      </c>
      <c r="G435" t="s">
        <v>82</v>
      </c>
      <c r="H435">
        <f>IF(Table_Sales[[#This Row],[profit]]&lt;0,1,0)</f>
        <v>0</v>
      </c>
      <c r="I435" t="str" cm="1">
        <f t="array" ref="I435">_xlfn.IFS(Table_Sales[[#This Row],[quantity]]&lt;=3,"1-3",Table_Sales[[#This Row],[quantity]]&lt;=7,"2-7",Table_Sales[[#This Row],[quantity]]&lt;=10,"8-10",TRUE,"11 and above")</f>
        <v>2-7</v>
      </c>
      <c r="J435" t="str" cm="1">
        <f t="array" ref="J435">_xlfn.IFS(Table_Sales[[#This Row],[amount]]&lt;1000,"Under 1000",Table_Sales[[#This Row],[amount]]&lt;3000,"1000 - 2999",Table_Sales[[#This Row],[amount]]&lt;5000,"3000 - 4999",TRUE,"5000 &amp; above")</f>
        <v>Under 1000</v>
      </c>
      <c r="K435">
        <f>IF(COUNTIFS(INDEX(Table_Sales[order_id],1):Table_Sales[[#This Row],[order_id]],Table_Sales[[#This Row],[order_id]])=1,1,0)</f>
        <v>0</v>
      </c>
      <c r="L43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435" t="str">
        <v>B-25722</v>
      </c>
    </row>
    <row r="436" spans="1:14" x14ac:dyDescent="0.25">
      <c r="A436" t="s">
        <v>38</v>
      </c>
      <c r="B436" s="1">
        <v>396</v>
      </c>
      <c r="C436" s="1">
        <v>-31</v>
      </c>
      <c r="D436">
        <v>9</v>
      </c>
      <c r="E436" t="s">
        <v>23</v>
      </c>
      <c r="F436" t="s">
        <v>26</v>
      </c>
      <c r="G436" t="s">
        <v>10</v>
      </c>
      <c r="H436">
        <f>IF(Table_Sales[[#This Row],[profit]]&lt;0,1,0)</f>
        <v>1</v>
      </c>
      <c r="I436" t="str" cm="1">
        <f t="array" ref="I436">_xlfn.IFS(Table_Sales[[#This Row],[quantity]]&lt;=3,"1-3",Table_Sales[[#This Row],[quantity]]&lt;=7,"2-7",Table_Sales[[#This Row],[quantity]]&lt;=10,"8-10",TRUE,"11 and above")</f>
        <v>8-10</v>
      </c>
      <c r="J436" t="str" cm="1">
        <f t="array" ref="J436">_xlfn.IFS(Table_Sales[[#This Row],[amount]]&lt;1000,"Under 1000",Table_Sales[[#This Row],[amount]]&lt;3000,"1000 - 2999",Table_Sales[[#This Row],[amount]]&lt;5000,"3000 - 4999",TRUE,"5000 &amp; above")</f>
        <v>Under 1000</v>
      </c>
      <c r="K436">
        <f>IF(COUNTIFS(INDEX(Table_Sales[order_id],1):Table_Sales[[#This Row],[order_id]],Table_Sales[[#This Row],[order_id]])=1,1,0)</f>
        <v>0</v>
      </c>
      <c r="L43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436" t="str">
        <v>B-25746</v>
      </c>
    </row>
    <row r="437" spans="1:14" x14ac:dyDescent="0.25">
      <c r="A437" t="s">
        <v>300</v>
      </c>
      <c r="B437" s="1">
        <v>284</v>
      </c>
      <c r="C437" s="1">
        <v>45</v>
      </c>
      <c r="D437">
        <v>2</v>
      </c>
      <c r="E437" t="s">
        <v>12</v>
      </c>
      <c r="F437" t="s">
        <v>16</v>
      </c>
      <c r="G437" t="s">
        <v>14</v>
      </c>
      <c r="H437">
        <f>IF(Table_Sales[[#This Row],[profit]]&lt;0,1,0)</f>
        <v>0</v>
      </c>
      <c r="I437" t="str" cm="1">
        <f t="array" ref="I437">_xlfn.IFS(Table_Sales[[#This Row],[quantity]]&lt;=3,"1-3",Table_Sales[[#This Row],[quantity]]&lt;=7,"2-7",Table_Sales[[#This Row],[quantity]]&lt;=10,"8-10",TRUE,"11 and above")</f>
        <v>1-3</v>
      </c>
      <c r="J437" t="str" cm="1">
        <f t="array" ref="J437">_xlfn.IFS(Table_Sales[[#This Row],[amount]]&lt;1000,"Under 1000",Table_Sales[[#This Row],[amount]]&lt;3000,"1000 - 2999",Table_Sales[[#This Row],[amount]]&lt;5000,"3000 - 4999",TRUE,"5000 &amp; above")</f>
        <v>Under 1000</v>
      </c>
      <c r="K437">
        <f>IF(COUNTIFS(INDEX(Table_Sales[order_id],1):Table_Sales[[#This Row],[order_id]],Table_Sales[[#This Row],[order_id]])=1,1,0)</f>
        <v>1</v>
      </c>
      <c r="L43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437" t="str">
        <v>B-25812</v>
      </c>
    </row>
    <row r="438" spans="1:14" x14ac:dyDescent="0.25">
      <c r="A438" t="s">
        <v>301</v>
      </c>
      <c r="B438" s="1">
        <v>276</v>
      </c>
      <c r="C438" s="1">
        <v>52</v>
      </c>
      <c r="D438">
        <v>5</v>
      </c>
      <c r="E438" t="s">
        <v>23</v>
      </c>
      <c r="F438" t="s">
        <v>26</v>
      </c>
      <c r="G438" t="s">
        <v>14</v>
      </c>
      <c r="H438">
        <f>IF(Table_Sales[[#This Row],[profit]]&lt;0,1,0)</f>
        <v>0</v>
      </c>
      <c r="I438" t="str" cm="1">
        <f t="array" ref="I438">_xlfn.IFS(Table_Sales[[#This Row],[quantity]]&lt;=3,"1-3",Table_Sales[[#This Row],[quantity]]&lt;=7,"2-7",Table_Sales[[#This Row],[quantity]]&lt;=10,"8-10",TRUE,"11 and above")</f>
        <v>2-7</v>
      </c>
      <c r="J438" t="str" cm="1">
        <f t="array" ref="J438">_xlfn.IFS(Table_Sales[[#This Row],[amount]]&lt;1000,"Under 1000",Table_Sales[[#This Row],[amount]]&lt;3000,"1000 - 2999",Table_Sales[[#This Row],[amount]]&lt;5000,"3000 - 4999",TRUE,"5000 &amp; above")</f>
        <v>Under 1000</v>
      </c>
      <c r="K438">
        <f>IF(COUNTIFS(INDEX(Table_Sales[order_id],1):Table_Sales[[#This Row],[order_id]],Table_Sales[[#This Row],[order_id]])=1,1,0)</f>
        <v>1</v>
      </c>
      <c r="L43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438" t="str">
        <v>B-25605</v>
      </c>
    </row>
    <row r="439" spans="1:14" x14ac:dyDescent="0.25">
      <c r="A439" t="s">
        <v>259</v>
      </c>
      <c r="B439" s="1">
        <v>23</v>
      </c>
      <c r="C439" s="1">
        <v>2</v>
      </c>
      <c r="D439">
        <v>2</v>
      </c>
      <c r="E439" t="s">
        <v>23</v>
      </c>
      <c r="F439" t="s">
        <v>43</v>
      </c>
      <c r="G439" t="s">
        <v>28</v>
      </c>
      <c r="H439">
        <f>IF(Table_Sales[[#This Row],[profit]]&lt;0,1,0)</f>
        <v>0</v>
      </c>
      <c r="I439" t="str" cm="1">
        <f t="array" ref="I439">_xlfn.IFS(Table_Sales[[#This Row],[quantity]]&lt;=3,"1-3",Table_Sales[[#This Row],[quantity]]&lt;=7,"2-7",Table_Sales[[#This Row],[quantity]]&lt;=10,"8-10",TRUE,"11 and above")</f>
        <v>1-3</v>
      </c>
      <c r="J439" t="str" cm="1">
        <f t="array" ref="J439">_xlfn.IFS(Table_Sales[[#This Row],[amount]]&lt;1000,"Under 1000",Table_Sales[[#This Row],[amount]]&lt;3000,"1000 - 2999",Table_Sales[[#This Row],[amount]]&lt;5000,"3000 - 4999",TRUE,"5000 &amp; above")</f>
        <v>Under 1000</v>
      </c>
      <c r="K439">
        <f>IF(COUNTIFS(INDEX(Table_Sales[order_id],1):Table_Sales[[#This Row],[order_id]],Table_Sales[[#This Row],[order_id]])=1,1,0)</f>
        <v>0</v>
      </c>
      <c r="L43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439" t="str">
        <v>B-25702</v>
      </c>
    </row>
    <row r="440" spans="1:14" x14ac:dyDescent="0.25">
      <c r="A440" t="s">
        <v>302</v>
      </c>
      <c r="B440" s="1">
        <v>209</v>
      </c>
      <c r="C440" s="1">
        <v>-63</v>
      </c>
      <c r="D440">
        <v>4</v>
      </c>
      <c r="E440" t="s">
        <v>8</v>
      </c>
      <c r="F440" t="s">
        <v>9</v>
      </c>
      <c r="G440" t="s">
        <v>10</v>
      </c>
      <c r="H440">
        <f>IF(Table_Sales[[#This Row],[profit]]&lt;0,1,0)</f>
        <v>1</v>
      </c>
      <c r="I440" t="str" cm="1">
        <f t="array" ref="I440">_xlfn.IFS(Table_Sales[[#This Row],[quantity]]&lt;=3,"1-3",Table_Sales[[#This Row],[quantity]]&lt;=7,"2-7",Table_Sales[[#This Row],[quantity]]&lt;=10,"8-10",TRUE,"11 and above")</f>
        <v>2-7</v>
      </c>
      <c r="J440" t="str" cm="1">
        <f t="array" ref="J440">_xlfn.IFS(Table_Sales[[#This Row],[amount]]&lt;1000,"Under 1000",Table_Sales[[#This Row],[amount]]&lt;3000,"1000 - 2999",Table_Sales[[#This Row],[amount]]&lt;5000,"3000 - 4999",TRUE,"5000 &amp; above")</f>
        <v>Under 1000</v>
      </c>
      <c r="K440">
        <f>IF(COUNTIFS(INDEX(Table_Sales[order_id],1):Table_Sales[[#This Row],[order_id]],Table_Sales[[#This Row],[order_id]])=1,1,0)</f>
        <v>1</v>
      </c>
      <c r="L44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440" t="str">
        <v>B-25626</v>
      </c>
    </row>
    <row r="441" spans="1:14" x14ac:dyDescent="0.25">
      <c r="A441" t="s">
        <v>303</v>
      </c>
      <c r="B441" s="1">
        <v>50</v>
      </c>
      <c r="C441" s="1">
        <v>-28</v>
      </c>
      <c r="D441">
        <v>5</v>
      </c>
      <c r="E441" t="s">
        <v>12</v>
      </c>
      <c r="F441" t="s">
        <v>131</v>
      </c>
      <c r="G441" t="s">
        <v>10</v>
      </c>
      <c r="H441">
        <f>IF(Table_Sales[[#This Row],[profit]]&lt;0,1,0)</f>
        <v>1</v>
      </c>
      <c r="I441" t="str" cm="1">
        <f t="array" ref="I441">_xlfn.IFS(Table_Sales[[#This Row],[quantity]]&lt;=3,"1-3",Table_Sales[[#This Row],[quantity]]&lt;=7,"2-7",Table_Sales[[#This Row],[quantity]]&lt;=10,"8-10",TRUE,"11 and above")</f>
        <v>2-7</v>
      </c>
      <c r="J441" t="str" cm="1">
        <f t="array" ref="J441">_xlfn.IFS(Table_Sales[[#This Row],[amount]]&lt;1000,"Under 1000",Table_Sales[[#This Row],[amount]]&lt;3000,"1000 - 2999",Table_Sales[[#This Row],[amount]]&lt;5000,"3000 - 4999",TRUE,"5000 &amp; above")</f>
        <v>Under 1000</v>
      </c>
      <c r="K441">
        <f>IF(COUNTIFS(INDEX(Table_Sales[order_id],1):Table_Sales[[#This Row],[order_id]],Table_Sales[[#This Row],[order_id]])=1,1,0)</f>
        <v>1</v>
      </c>
      <c r="L44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441" t="str">
        <v>B-25811</v>
      </c>
    </row>
    <row r="442" spans="1:14" x14ac:dyDescent="0.25">
      <c r="A442" t="s">
        <v>304</v>
      </c>
      <c r="B442" s="1">
        <v>57</v>
      </c>
      <c r="C442" s="1">
        <v>27</v>
      </c>
      <c r="D442">
        <v>2</v>
      </c>
      <c r="E442" t="s">
        <v>23</v>
      </c>
      <c r="F442" t="s">
        <v>142</v>
      </c>
      <c r="G442" t="s">
        <v>10</v>
      </c>
      <c r="H442">
        <f>IF(Table_Sales[[#This Row],[profit]]&lt;0,1,0)</f>
        <v>0</v>
      </c>
      <c r="I442" t="str" cm="1">
        <f t="array" ref="I442">_xlfn.IFS(Table_Sales[[#This Row],[quantity]]&lt;=3,"1-3",Table_Sales[[#This Row],[quantity]]&lt;=7,"2-7",Table_Sales[[#This Row],[quantity]]&lt;=10,"8-10",TRUE,"11 and above")</f>
        <v>1-3</v>
      </c>
      <c r="J442" t="str" cm="1">
        <f t="array" ref="J442">_xlfn.IFS(Table_Sales[[#This Row],[amount]]&lt;1000,"Under 1000",Table_Sales[[#This Row],[amount]]&lt;3000,"1000 - 2999",Table_Sales[[#This Row],[amount]]&lt;5000,"3000 - 4999",TRUE,"5000 &amp; above")</f>
        <v>Under 1000</v>
      </c>
      <c r="K442">
        <f>IF(COUNTIFS(INDEX(Table_Sales[order_id],1):Table_Sales[[#This Row],[order_id]],Table_Sales[[#This Row],[order_id]])=1,1,0)</f>
        <v>1</v>
      </c>
      <c r="L44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442" t="str">
        <v>B-25876</v>
      </c>
    </row>
    <row r="443" spans="1:14" x14ac:dyDescent="0.25">
      <c r="A443" t="s">
        <v>305</v>
      </c>
      <c r="B443" s="1">
        <v>276</v>
      </c>
      <c r="C443" s="1">
        <v>-21</v>
      </c>
      <c r="D443">
        <v>2</v>
      </c>
      <c r="E443" t="s">
        <v>8</v>
      </c>
      <c r="F443" t="s">
        <v>21</v>
      </c>
      <c r="G443" t="s">
        <v>14</v>
      </c>
      <c r="H443">
        <f>IF(Table_Sales[[#This Row],[profit]]&lt;0,1,0)</f>
        <v>1</v>
      </c>
      <c r="I443" t="str" cm="1">
        <f t="array" ref="I443">_xlfn.IFS(Table_Sales[[#This Row],[quantity]]&lt;=3,"1-3",Table_Sales[[#This Row],[quantity]]&lt;=7,"2-7",Table_Sales[[#This Row],[quantity]]&lt;=10,"8-10",TRUE,"11 and above")</f>
        <v>1-3</v>
      </c>
      <c r="J443" t="str" cm="1">
        <f t="array" ref="J443">_xlfn.IFS(Table_Sales[[#This Row],[amount]]&lt;1000,"Under 1000",Table_Sales[[#This Row],[amount]]&lt;3000,"1000 - 2999",Table_Sales[[#This Row],[amount]]&lt;5000,"3000 - 4999",TRUE,"5000 &amp; above")</f>
        <v>Under 1000</v>
      </c>
      <c r="K443">
        <f>IF(COUNTIFS(INDEX(Table_Sales[order_id],1):Table_Sales[[#This Row],[order_id]],Table_Sales[[#This Row],[order_id]])=1,1,0)</f>
        <v>1</v>
      </c>
      <c r="L44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443" t="str">
        <v>B-25931</v>
      </c>
    </row>
    <row r="444" spans="1:14" x14ac:dyDescent="0.25">
      <c r="A444" t="s">
        <v>306</v>
      </c>
      <c r="B444" s="1">
        <v>268</v>
      </c>
      <c r="C444" s="1">
        <v>6</v>
      </c>
      <c r="D444">
        <v>2</v>
      </c>
      <c r="E444" t="s">
        <v>12</v>
      </c>
      <c r="F444" t="s">
        <v>16</v>
      </c>
      <c r="G444" t="s">
        <v>28</v>
      </c>
      <c r="H444">
        <f>IF(Table_Sales[[#This Row],[profit]]&lt;0,1,0)</f>
        <v>0</v>
      </c>
      <c r="I444" t="str" cm="1">
        <f t="array" ref="I444">_xlfn.IFS(Table_Sales[[#This Row],[quantity]]&lt;=3,"1-3",Table_Sales[[#This Row],[quantity]]&lt;=7,"2-7",Table_Sales[[#This Row],[quantity]]&lt;=10,"8-10",TRUE,"11 and above")</f>
        <v>1-3</v>
      </c>
      <c r="J444" t="str" cm="1">
        <f t="array" ref="J444">_xlfn.IFS(Table_Sales[[#This Row],[amount]]&lt;1000,"Under 1000",Table_Sales[[#This Row],[amount]]&lt;3000,"1000 - 2999",Table_Sales[[#This Row],[amount]]&lt;5000,"3000 - 4999",TRUE,"5000 &amp; above")</f>
        <v>Under 1000</v>
      </c>
      <c r="K444">
        <f>IF(COUNTIFS(INDEX(Table_Sales[order_id],1):Table_Sales[[#This Row],[order_id]],Table_Sales[[#This Row],[order_id]])=1,1,0)</f>
        <v>1</v>
      </c>
      <c r="L44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444" t="str">
        <v>B-25663</v>
      </c>
    </row>
    <row r="445" spans="1:14" x14ac:dyDescent="0.25">
      <c r="A445" t="s">
        <v>135</v>
      </c>
      <c r="B445" s="1">
        <v>269</v>
      </c>
      <c r="C445" s="1">
        <v>111</v>
      </c>
      <c r="D445">
        <v>3</v>
      </c>
      <c r="E445" t="s">
        <v>23</v>
      </c>
      <c r="F445" t="s">
        <v>24</v>
      </c>
      <c r="G445" t="s">
        <v>14</v>
      </c>
      <c r="H445">
        <f>IF(Table_Sales[[#This Row],[profit]]&lt;0,1,0)</f>
        <v>0</v>
      </c>
      <c r="I445" t="str" cm="1">
        <f t="array" ref="I445">_xlfn.IFS(Table_Sales[[#This Row],[quantity]]&lt;=3,"1-3",Table_Sales[[#This Row],[quantity]]&lt;=7,"2-7",Table_Sales[[#This Row],[quantity]]&lt;=10,"8-10",TRUE,"11 and above")</f>
        <v>1-3</v>
      </c>
      <c r="J445" t="str" cm="1">
        <f t="array" ref="J445">_xlfn.IFS(Table_Sales[[#This Row],[amount]]&lt;1000,"Under 1000",Table_Sales[[#This Row],[amount]]&lt;3000,"1000 - 2999",Table_Sales[[#This Row],[amount]]&lt;5000,"3000 - 4999",TRUE,"5000 &amp; above")</f>
        <v>Under 1000</v>
      </c>
      <c r="K445">
        <f>IF(COUNTIFS(INDEX(Table_Sales[order_id],1):Table_Sales[[#This Row],[order_id]],Table_Sales[[#This Row],[order_id]])=1,1,0)</f>
        <v>0</v>
      </c>
      <c r="L44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445" t="str">
        <v>B-25677</v>
      </c>
    </row>
    <row r="446" spans="1:14" x14ac:dyDescent="0.25">
      <c r="A446" t="s">
        <v>105</v>
      </c>
      <c r="B446" s="1">
        <v>209</v>
      </c>
      <c r="C446" s="1">
        <v>2</v>
      </c>
      <c r="D446">
        <v>1</v>
      </c>
      <c r="E446" t="s">
        <v>23</v>
      </c>
      <c r="F446" t="s">
        <v>26</v>
      </c>
      <c r="G446" t="s">
        <v>10</v>
      </c>
      <c r="H446">
        <f>IF(Table_Sales[[#This Row],[profit]]&lt;0,1,0)</f>
        <v>0</v>
      </c>
      <c r="I446" t="str" cm="1">
        <f t="array" ref="I446">_xlfn.IFS(Table_Sales[[#This Row],[quantity]]&lt;=3,"1-3",Table_Sales[[#This Row],[quantity]]&lt;=7,"2-7",Table_Sales[[#This Row],[quantity]]&lt;=10,"8-10",TRUE,"11 and above")</f>
        <v>1-3</v>
      </c>
      <c r="J446" t="str" cm="1">
        <f t="array" ref="J446">_xlfn.IFS(Table_Sales[[#This Row],[amount]]&lt;1000,"Under 1000",Table_Sales[[#This Row],[amount]]&lt;3000,"1000 - 2999",Table_Sales[[#This Row],[amount]]&lt;5000,"3000 - 4999",TRUE,"5000 &amp; above")</f>
        <v>Under 1000</v>
      </c>
      <c r="K446">
        <f>IF(COUNTIFS(INDEX(Table_Sales[order_id],1):Table_Sales[[#This Row],[order_id]],Table_Sales[[#This Row],[order_id]])=1,1,0)</f>
        <v>0</v>
      </c>
      <c r="L44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446" t="str">
        <v>B-25617</v>
      </c>
    </row>
    <row r="447" spans="1:14" x14ac:dyDescent="0.25">
      <c r="A447" t="s">
        <v>307</v>
      </c>
      <c r="B447" s="1">
        <v>60</v>
      </c>
      <c r="C447" s="1">
        <v>-12</v>
      </c>
      <c r="D447">
        <v>4</v>
      </c>
      <c r="E447" t="s">
        <v>23</v>
      </c>
      <c r="F447" t="s">
        <v>30</v>
      </c>
      <c r="G447" t="s">
        <v>82</v>
      </c>
      <c r="H447">
        <f>IF(Table_Sales[[#This Row],[profit]]&lt;0,1,0)</f>
        <v>1</v>
      </c>
      <c r="I447" t="str" cm="1">
        <f t="array" ref="I447">_xlfn.IFS(Table_Sales[[#This Row],[quantity]]&lt;=3,"1-3",Table_Sales[[#This Row],[quantity]]&lt;=7,"2-7",Table_Sales[[#This Row],[quantity]]&lt;=10,"8-10",TRUE,"11 and above")</f>
        <v>2-7</v>
      </c>
      <c r="J447" t="str" cm="1">
        <f t="array" ref="J447">_xlfn.IFS(Table_Sales[[#This Row],[amount]]&lt;1000,"Under 1000",Table_Sales[[#This Row],[amount]]&lt;3000,"1000 - 2999",Table_Sales[[#This Row],[amount]]&lt;5000,"3000 - 4999",TRUE,"5000 &amp; above")</f>
        <v>Under 1000</v>
      </c>
      <c r="K447">
        <f>IF(COUNTIFS(INDEX(Table_Sales[order_id],1):Table_Sales[[#This Row],[order_id]],Table_Sales[[#This Row],[order_id]])=1,1,0)</f>
        <v>1</v>
      </c>
      <c r="L44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447" t="str">
        <v>B-26036</v>
      </c>
    </row>
    <row r="448" spans="1:14" x14ac:dyDescent="0.25">
      <c r="A448" t="s">
        <v>205</v>
      </c>
      <c r="B448" s="1">
        <v>269</v>
      </c>
      <c r="C448" s="1">
        <v>-86</v>
      </c>
      <c r="D448">
        <v>2</v>
      </c>
      <c r="E448" t="s">
        <v>8</v>
      </c>
      <c r="F448" t="s">
        <v>9</v>
      </c>
      <c r="G448" t="s">
        <v>14</v>
      </c>
      <c r="H448">
        <f>IF(Table_Sales[[#This Row],[profit]]&lt;0,1,0)</f>
        <v>1</v>
      </c>
      <c r="I448" t="str" cm="1">
        <f t="array" ref="I448">_xlfn.IFS(Table_Sales[[#This Row],[quantity]]&lt;=3,"1-3",Table_Sales[[#This Row],[quantity]]&lt;=7,"2-7",Table_Sales[[#This Row],[quantity]]&lt;=10,"8-10",TRUE,"11 and above")</f>
        <v>1-3</v>
      </c>
      <c r="J448" t="str" cm="1">
        <f t="array" ref="J448">_xlfn.IFS(Table_Sales[[#This Row],[amount]]&lt;1000,"Under 1000",Table_Sales[[#This Row],[amount]]&lt;3000,"1000 - 2999",Table_Sales[[#This Row],[amount]]&lt;5000,"3000 - 4999",TRUE,"5000 &amp; above")</f>
        <v>Under 1000</v>
      </c>
      <c r="K448">
        <f>IF(COUNTIFS(INDEX(Table_Sales[order_id],1):Table_Sales[[#This Row],[order_id]],Table_Sales[[#This Row],[order_id]])=1,1,0)</f>
        <v>0</v>
      </c>
      <c r="L44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448" t="str">
        <v>B-25978</v>
      </c>
    </row>
    <row r="449" spans="1:14" x14ac:dyDescent="0.25">
      <c r="A449" t="s">
        <v>141</v>
      </c>
      <c r="B449" s="1">
        <v>208</v>
      </c>
      <c r="C449" s="1">
        <v>-25</v>
      </c>
      <c r="D449">
        <v>2</v>
      </c>
      <c r="E449" t="s">
        <v>23</v>
      </c>
      <c r="F449" t="s">
        <v>26</v>
      </c>
      <c r="G449" t="s">
        <v>10</v>
      </c>
      <c r="H449">
        <f>IF(Table_Sales[[#This Row],[profit]]&lt;0,1,0)</f>
        <v>1</v>
      </c>
      <c r="I449" t="str" cm="1">
        <f t="array" ref="I449">_xlfn.IFS(Table_Sales[[#This Row],[quantity]]&lt;=3,"1-3",Table_Sales[[#This Row],[quantity]]&lt;=7,"2-7",Table_Sales[[#This Row],[quantity]]&lt;=10,"8-10",TRUE,"11 and above")</f>
        <v>1-3</v>
      </c>
      <c r="J449" t="str" cm="1">
        <f t="array" ref="J449">_xlfn.IFS(Table_Sales[[#This Row],[amount]]&lt;1000,"Under 1000",Table_Sales[[#This Row],[amount]]&lt;3000,"1000 - 2999",Table_Sales[[#This Row],[amount]]&lt;5000,"3000 - 4999",TRUE,"5000 &amp; above")</f>
        <v>Under 1000</v>
      </c>
      <c r="K449">
        <f>IF(COUNTIFS(INDEX(Table_Sales[order_id],1):Table_Sales[[#This Row],[order_id]],Table_Sales[[#This Row],[order_id]])=1,1,0)</f>
        <v>0</v>
      </c>
      <c r="L44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449" t="str">
        <v>B-26077</v>
      </c>
    </row>
    <row r="450" spans="1:14" x14ac:dyDescent="0.25">
      <c r="A450" t="s">
        <v>199</v>
      </c>
      <c r="B450" s="1">
        <v>27</v>
      </c>
      <c r="C450" s="1">
        <v>2</v>
      </c>
      <c r="D450">
        <v>2</v>
      </c>
      <c r="E450" t="s">
        <v>23</v>
      </c>
      <c r="F450" t="s">
        <v>63</v>
      </c>
      <c r="G450" t="s">
        <v>28</v>
      </c>
      <c r="H450">
        <f>IF(Table_Sales[[#This Row],[profit]]&lt;0,1,0)</f>
        <v>0</v>
      </c>
      <c r="I450" t="str" cm="1">
        <f t="array" ref="I450">_xlfn.IFS(Table_Sales[[#This Row],[quantity]]&lt;=3,"1-3",Table_Sales[[#This Row],[quantity]]&lt;=7,"2-7",Table_Sales[[#This Row],[quantity]]&lt;=10,"8-10",TRUE,"11 and above")</f>
        <v>1-3</v>
      </c>
      <c r="J450" t="str" cm="1">
        <f t="array" ref="J450">_xlfn.IFS(Table_Sales[[#This Row],[amount]]&lt;1000,"Under 1000",Table_Sales[[#This Row],[amount]]&lt;3000,"1000 - 2999",Table_Sales[[#This Row],[amount]]&lt;5000,"3000 - 4999",TRUE,"5000 &amp; above")</f>
        <v>Under 1000</v>
      </c>
      <c r="K450">
        <f>IF(COUNTIFS(INDEX(Table_Sales[order_id],1):Table_Sales[[#This Row],[order_id]],Table_Sales[[#This Row],[order_id]])=1,1,0)</f>
        <v>0</v>
      </c>
      <c r="L45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450" t="str">
        <v>B-25790</v>
      </c>
    </row>
    <row r="451" spans="1:14" x14ac:dyDescent="0.25">
      <c r="A451" t="s">
        <v>308</v>
      </c>
      <c r="B451" s="1">
        <v>206</v>
      </c>
      <c r="C451" s="1">
        <v>-206</v>
      </c>
      <c r="D451">
        <v>3</v>
      </c>
      <c r="E451" t="s">
        <v>23</v>
      </c>
      <c r="F451" t="s">
        <v>26</v>
      </c>
      <c r="G451" t="s">
        <v>10</v>
      </c>
      <c r="H451">
        <f>IF(Table_Sales[[#This Row],[profit]]&lt;0,1,0)</f>
        <v>1</v>
      </c>
      <c r="I451" t="str" cm="1">
        <f t="array" ref="I451">_xlfn.IFS(Table_Sales[[#This Row],[quantity]]&lt;=3,"1-3",Table_Sales[[#This Row],[quantity]]&lt;=7,"2-7",Table_Sales[[#This Row],[quantity]]&lt;=10,"8-10",TRUE,"11 and above")</f>
        <v>1-3</v>
      </c>
      <c r="J451" t="str" cm="1">
        <f t="array" ref="J451">_xlfn.IFS(Table_Sales[[#This Row],[amount]]&lt;1000,"Under 1000",Table_Sales[[#This Row],[amount]]&lt;3000,"1000 - 2999",Table_Sales[[#This Row],[amount]]&lt;5000,"3000 - 4999",TRUE,"5000 &amp; above")</f>
        <v>Under 1000</v>
      </c>
      <c r="K451">
        <f>IF(COUNTIFS(INDEX(Table_Sales[order_id],1):Table_Sales[[#This Row],[order_id]],Table_Sales[[#This Row],[order_id]])=1,1,0)</f>
        <v>1</v>
      </c>
      <c r="L45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451" t="str">
        <v>B-25829</v>
      </c>
    </row>
    <row r="452" spans="1:14" x14ac:dyDescent="0.25">
      <c r="A452" t="s">
        <v>309</v>
      </c>
      <c r="B452" s="1">
        <v>61</v>
      </c>
      <c r="C452" s="1">
        <v>8</v>
      </c>
      <c r="D452">
        <v>4</v>
      </c>
      <c r="E452" t="s">
        <v>23</v>
      </c>
      <c r="F452" t="s">
        <v>30</v>
      </c>
      <c r="G452" t="s">
        <v>82</v>
      </c>
      <c r="H452">
        <f>IF(Table_Sales[[#This Row],[profit]]&lt;0,1,0)</f>
        <v>0</v>
      </c>
      <c r="I452" t="str" cm="1">
        <f t="array" ref="I452">_xlfn.IFS(Table_Sales[[#This Row],[quantity]]&lt;=3,"1-3",Table_Sales[[#This Row],[quantity]]&lt;=7,"2-7",Table_Sales[[#This Row],[quantity]]&lt;=10,"8-10",TRUE,"11 and above")</f>
        <v>2-7</v>
      </c>
      <c r="J452" t="str" cm="1">
        <f t="array" ref="J452">_xlfn.IFS(Table_Sales[[#This Row],[amount]]&lt;1000,"Under 1000",Table_Sales[[#This Row],[amount]]&lt;3000,"1000 - 2999",Table_Sales[[#This Row],[amount]]&lt;5000,"3000 - 4999",TRUE,"5000 &amp; above")</f>
        <v>Under 1000</v>
      </c>
      <c r="K452">
        <f>IF(COUNTIFS(INDEX(Table_Sales[order_id],1):Table_Sales[[#This Row],[order_id]],Table_Sales[[#This Row],[order_id]])=1,1,0)</f>
        <v>1</v>
      </c>
      <c r="L45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452" t="str">
        <v>B-25705</v>
      </c>
    </row>
    <row r="453" spans="1:14" x14ac:dyDescent="0.25">
      <c r="A453" t="s">
        <v>141</v>
      </c>
      <c r="B453" s="1">
        <v>212</v>
      </c>
      <c r="C453" s="1">
        <v>-24</v>
      </c>
      <c r="D453">
        <v>2</v>
      </c>
      <c r="E453" t="s">
        <v>12</v>
      </c>
      <c r="F453" t="s">
        <v>13</v>
      </c>
      <c r="G453" t="s">
        <v>10</v>
      </c>
      <c r="H453">
        <f>IF(Table_Sales[[#This Row],[profit]]&lt;0,1,0)</f>
        <v>1</v>
      </c>
      <c r="I453" t="str" cm="1">
        <f t="array" ref="I453">_xlfn.IFS(Table_Sales[[#This Row],[quantity]]&lt;=3,"1-3",Table_Sales[[#This Row],[quantity]]&lt;=7,"2-7",Table_Sales[[#This Row],[quantity]]&lt;=10,"8-10",TRUE,"11 and above")</f>
        <v>1-3</v>
      </c>
      <c r="J453" t="str" cm="1">
        <f t="array" ref="J453">_xlfn.IFS(Table_Sales[[#This Row],[amount]]&lt;1000,"Under 1000",Table_Sales[[#This Row],[amount]]&lt;3000,"1000 - 2999",Table_Sales[[#This Row],[amount]]&lt;5000,"3000 - 4999",TRUE,"5000 &amp; above")</f>
        <v>Under 1000</v>
      </c>
      <c r="K453">
        <f>IF(COUNTIFS(INDEX(Table_Sales[order_id],1):Table_Sales[[#This Row],[order_id]],Table_Sales[[#This Row],[order_id]])=1,1,0)</f>
        <v>0</v>
      </c>
      <c r="L45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453" t="str">
        <v>B-25936</v>
      </c>
    </row>
    <row r="454" spans="1:14" x14ac:dyDescent="0.25">
      <c r="A454" t="s">
        <v>250</v>
      </c>
      <c r="B454" s="1">
        <v>262</v>
      </c>
      <c r="C454" s="1">
        <v>64</v>
      </c>
      <c r="D454">
        <v>6</v>
      </c>
      <c r="E454" t="s">
        <v>23</v>
      </c>
      <c r="F454" t="s">
        <v>26</v>
      </c>
      <c r="G454" t="s">
        <v>14</v>
      </c>
      <c r="H454">
        <f>IF(Table_Sales[[#This Row],[profit]]&lt;0,1,0)</f>
        <v>0</v>
      </c>
      <c r="I454" t="str" cm="1">
        <f t="array" ref="I454">_xlfn.IFS(Table_Sales[[#This Row],[quantity]]&lt;=3,"1-3",Table_Sales[[#This Row],[quantity]]&lt;=7,"2-7",Table_Sales[[#This Row],[quantity]]&lt;=10,"8-10",TRUE,"11 and above")</f>
        <v>2-7</v>
      </c>
      <c r="J454" t="str" cm="1">
        <f t="array" ref="J454">_xlfn.IFS(Table_Sales[[#This Row],[amount]]&lt;1000,"Under 1000",Table_Sales[[#This Row],[amount]]&lt;3000,"1000 - 2999",Table_Sales[[#This Row],[amount]]&lt;5000,"3000 - 4999",TRUE,"5000 &amp; above")</f>
        <v>Under 1000</v>
      </c>
      <c r="K454">
        <f>IF(COUNTIFS(INDEX(Table_Sales[order_id],1):Table_Sales[[#This Row],[order_id]],Table_Sales[[#This Row],[order_id]])=1,1,0)</f>
        <v>0</v>
      </c>
      <c r="L45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454" t="str">
        <v>B-25782</v>
      </c>
    </row>
    <row r="455" spans="1:14" x14ac:dyDescent="0.25">
      <c r="A455" t="s">
        <v>36</v>
      </c>
      <c r="B455" s="1">
        <v>204</v>
      </c>
      <c r="C455" s="1">
        <v>276</v>
      </c>
      <c r="D455">
        <v>3</v>
      </c>
      <c r="E455" t="s">
        <v>12</v>
      </c>
      <c r="F455" t="s">
        <v>16</v>
      </c>
      <c r="G455" t="s">
        <v>10</v>
      </c>
      <c r="H455">
        <f>IF(Table_Sales[[#This Row],[profit]]&lt;0,1,0)</f>
        <v>0</v>
      </c>
      <c r="I455" t="str" cm="1">
        <f t="array" ref="I455">_xlfn.IFS(Table_Sales[[#This Row],[quantity]]&lt;=3,"1-3",Table_Sales[[#This Row],[quantity]]&lt;=7,"2-7",Table_Sales[[#This Row],[quantity]]&lt;=10,"8-10",TRUE,"11 and above")</f>
        <v>1-3</v>
      </c>
      <c r="J455" t="str" cm="1">
        <f t="array" ref="J455">_xlfn.IFS(Table_Sales[[#This Row],[amount]]&lt;1000,"Under 1000",Table_Sales[[#This Row],[amount]]&lt;3000,"1000 - 2999",Table_Sales[[#This Row],[amount]]&lt;5000,"3000 - 4999",TRUE,"5000 &amp; above")</f>
        <v>Under 1000</v>
      </c>
      <c r="K455">
        <f>IF(COUNTIFS(INDEX(Table_Sales[order_id],1):Table_Sales[[#This Row],[order_id]],Table_Sales[[#This Row],[order_id]])=1,1,0)</f>
        <v>0</v>
      </c>
      <c r="L45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0</v>
      </c>
      <c r="N455" t="str">
        <v>B-25769</v>
      </c>
    </row>
    <row r="456" spans="1:14" x14ac:dyDescent="0.25">
      <c r="A456" t="s">
        <v>97</v>
      </c>
      <c r="B456" s="1">
        <v>59</v>
      </c>
      <c r="C456" s="1">
        <v>-46</v>
      </c>
      <c r="D456">
        <v>7</v>
      </c>
      <c r="E456" t="s">
        <v>23</v>
      </c>
      <c r="F456" t="s">
        <v>81</v>
      </c>
      <c r="G456" t="s">
        <v>28</v>
      </c>
      <c r="H456">
        <f>IF(Table_Sales[[#This Row],[profit]]&lt;0,1,0)</f>
        <v>1</v>
      </c>
      <c r="I456" t="str" cm="1">
        <f t="array" ref="I456">_xlfn.IFS(Table_Sales[[#This Row],[quantity]]&lt;=3,"1-3",Table_Sales[[#This Row],[quantity]]&lt;=7,"2-7",Table_Sales[[#This Row],[quantity]]&lt;=10,"8-10",TRUE,"11 and above")</f>
        <v>2-7</v>
      </c>
      <c r="J456" t="str" cm="1">
        <f t="array" ref="J456">_xlfn.IFS(Table_Sales[[#This Row],[amount]]&lt;1000,"Under 1000",Table_Sales[[#This Row],[amount]]&lt;3000,"1000 - 2999",Table_Sales[[#This Row],[amount]]&lt;5000,"3000 - 4999",TRUE,"5000 &amp; above")</f>
        <v>Under 1000</v>
      </c>
      <c r="K456">
        <f>IF(COUNTIFS(INDEX(Table_Sales[order_id],1):Table_Sales[[#This Row],[order_id]],Table_Sales[[#This Row],[order_id]])=1,1,0)</f>
        <v>0</v>
      </c>
      <c r="L45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456" t="str">
        <v>B-25718</v>
      </c>
    </row>
    <row r="457" spans="1:14" x14ac:dyDescent="0.25">
      <c r="A457" t="s">
        <v>141</v>
      </c>
      <c r="B457" s="1">
        <v>199</v>
      </c>
      <c r="C457" s="1">
        <v>-18</v>
      </c>
      <c r="D457">
        <v>2</v>
      </c>
      <c r="E457" t="s">
        <v>23</v>
      </c>
      <c r="F457" t="s">
        <v>26</v>
      </c>
      <c r="G457" t="s">
        <v>10</v>
      </c>
      <c r="H457">
        <f>IF(Table_Sales[[#This Row],[profit]]&lt;0,1,0)</f>
        <v>1</v>
      </c>
      <c r="I457" t="str" cm="1">
        <f t="array" ref="I457">_xlfn.IFS(Table_Sales[[#This Row],[quantity]]&lt;=3,"1-3",Table_Sales[[#This Row],[quantity]]&lt;=7,"2-7",Table_Sales[[#This Row],[quantity]]&lt;=10,"8-10",TRUE,"11 and above")</f>
        <v>1-3</v>
      </c>
      <c r="J457" t="str" cm="1">
        <f t="array" ref="J457">_xlfn.IFS(Table_Sales[[#This Row],[amount]]&lt;1000,"Under 1000",Table_Sales[[#This Row],[amount]]&lt;3000,"1000 - 2999",Table_Sales[[#This Row],[amount]]&lt;5000,"3000 - 4999",TRUE,"5000 &amp; above")</f>
        <v>Under 1000</v>
      </c>
      <c r="K457">
        <f>IF(COUNTIFS(INDEX(Table_Sales[order_id],1):Table_Sales[[#This Row],[order_id]],Table_Sales[[#This Row],[order_id]])=1,1,0)</f>
        <v>0</v>
      </c>
      <c r="L45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457" t="str">
        <v>B-25715</v>
      </c>
    </row>
    <row r="458" spans="1:14" x14ac:dyDescent="0.25">
      <c r="A458" t="s">
        <v>310</v>
      </c>
      <c r="B458" s="1">
        <v>59</v>
      </c>
      <c r="C458" s="1">
        <v>6</v>
      </c>
      <c r="D458">
        <v>1</v>
      </c>
      <c r="E458" t="s">
        <v>8</v>
      </c>
      <c r="F458" t="s">
        <v>73</v>
      </c>
      <c r="G458" t="s">
        <v>28</v>
      </c>
      <c r="H458">
        <f>IF(Table_Sales[[#This Row],[profit]]&lt;0,1,0)</f>
        <v>0</v>
      </c>
      <c r="I458" t="str" cm="1">
        <f t="array" ref="I458">_xlfn.IFS(Table_Sales[[#This Row],[quantity]]&lt;=3,"1-3",Table_Sales[[#This Row],[quantity]]&lt;=7,"2-7",Table_Sales[[#This Row],[quantity]]&lt;=10,"8-10",TRUE,"11 and above")</f>
        <v>1-3</v>
      </c>
      <c r="J458" t="str" cm="1">
        <f t="array" ref="J458">_xlfn.IFS(Table_Sales[[#This Row],[amount]]&lt;1000,"Under 1000",Table_Sales[[#This Row],[amount]]&lt;3000,"1000 - 2999",Table_Sales[[#This Row],[amount]]&lt;5000,"3000 - 4999",TRUE,"5000 &amp; above")</f>
        <v>Under 1000</v>
      </c>
      <c r="K458">
        <f>IF(COUNTIFS(INDEX(Table_Sales[order_id],1):Table_Sales[[#This Row],[order_id]],Table_Sales[[#This Row],[order_id]])=1,1,0)</f>
        <v>1</v>
      </c>
      <c r="L45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458" t="str">
        <v>B-26075</v>
      </c>
    </row>
    <row r="459" spans="1:14" x14ac:dyDescent="0.25">
      <c r="A459" t="s">
        <v>243</v>
      </c>
      <c r="B459" s="1">
        <v>45</v>
      </c>
      <c r="C459" s="1">
        <v>9</v>
      </c>
      <c r="D459">
        <v>3</v>
      </c>
      <c r="E459" t="s">
        <v>23</v>
      </c>
      <c r="F459" t="s">
        <v>63</v>
      </c>
      <c r="G459" t="s">
        <v>28</v>
      </c>
      <c r="H459">
        <f>IF(Table_Sales[[#This Row],[profit]]&lt;0,1,0)</f>
        <v>0</v>
      </c>
      <c r="I459" t="str" cm="1">
        <f t="array" ref="I459">_xlfn.IFS(Table_Sales[[#This Row],[quantity]]&lt;=3,"1-3",Table_Sales[[#This Row],[quantity]]&lt;=7,"2-7",Table_Sales[[#This Row],[quantity]]&lt;=10,"8-10",TRUE,"11 and above")</f>
        <v>1-3</v>
      </c>
      <c r="J459" t="str" cm="1">
        <f t="array" ref="J459">_xlfn.IFS(Table_Sales[[#This Row],[amount]]&lt;1000,"Under 1000",Table_Sales[[#This Row],[amount]]&lt;3000,"1000 - 2999",Table_Sales[[#This Row],[amount]]&lt;5000,"3000 - 4999",TRUE,"5000 &amp; above")</f>
        <v>Under 1000</v>
      </c>
      <c r="K459">
        <f>IF(COUNTIFS(INDEX(Table_Sales[order_id],1):Table_Sales[[#This Row],[order_id]],Table_Sales[[#This Row],[order_id]])=1,1,0)</f>
        <v>0</v>
      </c>
      <c r="L45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459" t="str">
        <v>B-25634</v>
      </c>
    </row>
    <row r="460" spans="1:14" x14ac:dyDescent="0.25">
      <c r="A460" t="s">
        <v>104</v>
      </c>
      <c r="B460" s="1">
        <v>211</v>
      </c>
      <c r="C460" s="1">
        <v>19</v>
      </c>
      <c r="D460">
        <v>8</v>
      </c>
      <c r="E460" t="s">
        <v>23</v>
      </c>
      <c r="F460" t="s">
        <v>57</v>
      </c>
      <c r="G460" t="s">
        <v>10</v>
      </c>
      <c r="H460">
        <f>IF(Table_Sales[[#This Row],[profit]]&lt;0,1,0)</f>
        <v>0</v>
      </c>
      <c r="I460" t="str" cm="1">
        <f t="array" ref="I460">_xlfn.IFS(Table_Sales[[#This Row],[quantity]]&lt;=3,"1-3",Table_Sales[[#This Row],[quantity]]&lt;=7,"2-7",Table_Sales[[#This Row],[quantity]]&lt;=10,"8-10",TRUE,"11 and above")</f>
        <v>8-10</v>
      </c>
      <c r="J460" t="str" cm="1">
        <f t="array" ref="J460">_xlfn.IFS(Table_Sales[[#This Row],[amount]]&lt;1000,"Under 1000",Table_Sales[[#This Row],[amount]]&lt;3000,"1000 - 2999",Table_Sales[[#This Row],[amount]]&lt;5000,"3000 - 4999",TRUE,"5000 &amp; above")</f>
        <v>Under 1000</v>
      </c>
      <c r="K460">
        <f>IF(COUNTIFS(INDEX(Table_Sales[order_id],1):Table_Sales[[#This Row],[order_id]],Table_Sales[[#This Row],[order_id]])=1,1,0)</f>
        <v>0</v>
      </c>
      <c r="L46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460" t="str">
        <v>B-26015</v>
      </c>
    </row>
    <row r="461" spans="1:14" x14ac:dyDescent="0.25">
      <c r="A461" t="s">
        <v>182</v>
      </c>
      <c r="B461" s="1">
        <v>65</v>
      </c>
      <c r="C461" s="1">
        <v>-16</v>
      </c>
      <c r="D461">
        <v>2</v>
      </c>
      <c r="E461" t="s">
        <v>8</v>
      </c>
      <c r="F461" t="s">
        <v>21</v>
      </c>
      <c r="G461" t="s">
        <v>82</v>
      </c>
      <c r="H461">
        <f>IF(Table_Sales[[#This Row],[profit]]&lt;0,1,0)</f>
        <v>1</v>
      </c>
      <c r="I461" t="str" cm="1">
        <f t="array" ref="I461">_xlfn.IFS(Table_Sales[[#This Row],[quantity]]&lt;=3,"1-3",Table_Sales[[#This Row],[quantity]]&lt;=7,"2-7",Table_Sales[[#This Row],[quantity]]&lt;=10,"8-10",TRUE,"11 and above")</f>
        <v>1-3</v>
      </c>
      <c r="J461" t="str" cm="1">
        <f t="array" ref="J461">_xlfn.IFS(Table_Sales[[#This Row],[amount]]&lt;1000,"Under 1000",Table_Sales[[#This Row],[amount]]&lt;3000,"1000 - 2999",Table_Sales[[#This Row],[amount]]&lt;5000,"3000 - 4999",TRUE,"5000 &amp; above")</f>
        <v>Under 1000</v>
      </c>
      <c r="K461">
        <f>IF(COUNTIFS(INDEX(Table_Sales[order_id],1):Table_Sales[[#This Row],[order_id]],Table_Sales[[#This Row],[order_id]])=1,1,0)</f>
        <v>0</v>
      </c>
      <c r="L46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461" t="str">
        <v>B-25822</v>
      </c>
    </row>
    <row r="462" spans="1:14" x14ac:dyDescent="0.25">
      <c r="A462" t="s">
        <v>62</v>
      </c>
      <c r="B462" s="1">
        <v>25</v>
      </c>
      <c r="C462" s="1">
        <v>0</v>
      </c>
      <c r="D462">
        <v>4</v>
      </c>
      <c r="E462" t="s">
        <v>23</v>
      </c>
      <c r="F462" t="s">
        <v>43</v>
      </c>
      <c r="G462" t="s">
        <v>28</v>
      </c>
      <c r="H462">
        <f>IF(Table_Sales[[#This Row],[profit]]&lt;0,1,0)</f>
        <v>0</v>
      </c>
      <c r="I462" t="str" cm="1">
        <f t="array" ref="I462">_xlfn.IFS(Table_Sales[[#This Row],[quantity]]&lt;=3,"1-3",Table_Sales[[#This Row],[quantity]]&lt;=7,"2-7",Table_Sales[[#This Row],[quantity]]&lt;=10,"8-10",TRUE,"11 and above")</f>
        <v>2-7</v>
      </c>
      <c r="J462" t="str" cm="1">
        <f t="array" ref="J462">_xlfn.IFS(Table_Sales[[#This Row],[amount]]&lt;1000,"Under 1000",Table_Sales[[#This Row],[amount]]&lt;3000,"1000 - 2999",Table_Sales[[#This Row],[amount]]&lt;5000,"3000 - 4999",TRUE,"5000 &amp; above")</f>
        <v>Under 1000</v>
      </c>
      <c r="K462">
        <f>IF(COUNTIFS(INDEX(Table_Sales[order_id],1):Table_Sales[[#This Row],[order_id]],Table_Sales[[#This Row],[order_id]])=1,1,0)</f>
        <v>0</v>
      </c>
      <c r="L46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462" t="str">
        <v>B-26034</v>
      </c>
    </row>
    <row r="463" spans="1:14" x14ac:dyDescent="0.25">
      <c r="A463" t="s">
        <v>311</v>
      </c>
      <c r="B463" s="1">
        <v>196</v>
      </c>
      <c r="C463" s="1">
        <v>-7</v>
      </c>
      <c r="D463">
        <v>5</v>
      </c>
      <c r="E463" t="s">
        <v>8</v>
      </c>
      <c r="F463" t="s">
        <v>21</v>
      </c>
      <c r="G463" t="s">
        <v>10</v>
      </c>
      <c r="H463">
        <f>IF(Table_Sales[[#This Row],[profit]]&lt;0,1,0)</f>
        <v>1</v>
      </c>
      <c r="I463" t="str" cm="1">
        <f t="array" ref="I463">_xlfn.IFS(Table_Sales[[#This Row],[quantity]]&lt;=3,"1-3",Table_Sales[[#This Row],[quantity]]&lt;=7,"2-7",Table_Sales[[#This Row],[quantity]]&lt;=10,"8-10",TRUE,"11 and above")</f>
        <v>2-7</v>
      </c>
      <c r="J463" t="str" cm="1">
        <f t="array" ref="J463">_xlfn.IFS(Table_Sales[[#This Row],[amount]]&lt;1000,"Under 1000",Table_Sales[[#This Row],[amount]]&lt;3000,"1000 - 2999",Table_Sales[[#This Row],[amount]]&lt;5000,"3000 - 4999",TRUE,"5000 &amp; above")</f>
        <v>Under 1000</v>
      </c>
      <c r="K463">
        <f>IF(COUNTIFS(INDEX(Table_Sales[order_id],1):Table_Sales[[#This Row],[order_id]],Table_Sales[[#This Row],[order_id]])=1,1,0)</f>
        <v>1</v>
      </c>
      <c r="L46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463" t="str">
        <v>B-25692</v>
      </c>
    </row>
    <row r="464" spans="1:14" x14ac:dyDescent="0.25">
      <c r="A464" t="s">
        <v>46</v>
      </c>
      <c r="B464" s="1">
        <v>261</v>
      </c>
      <c r="C464" s="1">
        <v>13</v>
      </c>
      <c r="D464">
        <v>6</v>
      </c>
      <c r="E464" t="s">
        <v>23</v>
      </c>
      <c r="F464" t="s">
        <v>142</v>
      </c>
      <c r="G464" t="s">
        <v>19</v>
      </c>
      <c r="H464">
        <f>IF(Table_Sales[[#This Row],[profit]]&lt;0,1,0)</f>
        <v>0</v>
      </c>
      <c r="I464" t="str" cm="1">
        <f t="array" ref="I464">_xlfn.IFS(Table_Sales[[#This Row],[quantity]]&lt;=3,"1-3",Table_Sales[[#This Row],[quantity]]&lt;=7,"2-7",Table_Sales[[#This Row],[quantity]]&lt;=10,"8-10",TRUE,"11 and above")</f>
        <v>2-7</v>
      </c>
      <c r="J464" t="str" cm="1">
        <f t="array" ref="J464">_xlfn.IFS(Table_Sales[[#This Row],[amount]]&lt;1000,"Under 1000",Table_Sales[[#This Row],[amount]]&lt;3000,"1000 - 2999",Table_Sales[[#This Row],[amount]]&lt;5000,"3000 - 4999",TRUE,"5000 &amp; above")</f>
        <v>Under 1000</v>
      </c>
      <c r="K464">
        <f>IF(COUNTIFS(INDEX(Table_Sales[order_id],1):Table_Sales[[#This Row],[order_id]],Table_Sales[[#This Row],[order_id]])=1,1,0)</f>
        <v>0</v>
      </c>
      <c r="L46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464" t="str">
        <v>B-26046</v>
      </c>
    </row>
    <row r="465" spans="1:14" x14ac:dyDescent="0.25">
      <c r="A465" t="s">
        <v>117</v>
      </c>
      <c r="B465" s="1">
        <v>195</v>
      </c>
      <c r="C465" s="1">
        <v>-117</v>
      </c>
      <c r="D465">
        <v>5</v>
      </c>
      <c r="E465" t="s">
        <v>8</v>
      </c>
      <c r="F465" t="s">
        <v>21</v>
      </c>
      <c r="G465" t="s">
        <v>10</v>
      </c>
      <c r="H465">
        <f>IF(Table_Sales[[#This Row],[profit]]&lt;0,1,0)</f>
        <v>1</v>
      </c>
      <c r="I465" t="str" cm="1">
        <f t="array" ref="I465">_xlfn.IFS(Table_Sales[[#This Row],[quantity]]&lt;=3,"1-3",Table_Sales[[#This Row],[quantity]]&lt;=7,"2-7",Table_Sales[[#This Row],[quantity]]&lt;=10,"8-10",TRUE,"11 and above")</f>
        <v>2-7</v>
      </c>
      <c r="J465" t="str" cm="1">
        <f t="array" ref="J465">_xlfn.IFS(Table_Sales[[#This Row],[amount]]&lt;1000,"Under 1000",Table_Sales[[#This Row],[amount]]&lt;3000,"1000 - 2999",Table_Sales[[#This Row],[amount]]&lt;5000,"3000 - 4999",TRUE,"5000 &amp; above")</f>
        <v>Under 1000</v>
      </c>
      <c r="K465">
        <f>IF(COUNTIFS(INDEX(Table_Sales[order_id],1):Table_Sales[[#This Row],[order_id]],Table_Sales[[#This Row],[order_id]])=1,1,0)</f>
        <v>0</v>
      </c>
      <c r="L46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465" t="str">
        <v>B-25622</v>
      </c>
    </row>
    <row r="466" spans="1:14" x14ac:dyDescent="0.25">
      <c r="A466" t="s">
        <v>166</v>
      </c>
      <c r="B466" s="1">
        <v>192</v>
      </c>
      <c r="C466" s="1">
        <v>-146</v>
      </c>
      <c r="D466">
        <v>3</v>
      </c>
      <c r="E466" t="s">
        <v>23</v>
      </c>
      <c r="F466" t="s">
        <v>26</v>
      </c>
      <c r="G466" t="s">
        <v>10</v>
      </c>
      <c r="H466">
        <f>IF(Table_Sales[[#This Row],[profit]]&lt;0,1,0)</f>
        <v>1</v>
      </c>
      <c r="I466" t="str" cm="1">
        <f t="array" ref="I466">_xlfn.IFS(Table_Sales[[#This Row],[quantity]]&lt;=3,"1-3",Table_Sales[[#This Row],[quantity]]&lt;=7,"2-7",Table_Sales[[#This Row],[quantity]]&lt;=10,"8-10",TRUE,"11 and above")</f>
        <v>1-3</v>
      </c>
      <c r="J466" t="str" cm="1">
        <f t="array" ref="J466">_xlfn.IFS(Table_Sales[[#This Row],[amount]]&lt;1000,"Under 1000",Table_Sales[[#This Row],[amount]]&lt;3000,"1000 - 2999",Table_Sales[[#This Row],[amount]]&lt;5000,"3000 - 4999",TRUE,"5000 &amp; above")</f>
        <v>Under 1000</v>
      </c>
      <c r="K466">
        <f>IF(COUNTIFS(INDEX(Table_Sales[order_id],1):Table_Sales[[#This Row],[order_id]],Table_Sales[[#This Row],[order_id]])=1,1,0)</f>
        <v>0</v>
      </c>
      <c r="L46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466" t="str">
        <v>B-25690</v>
      </c>
    </row>
    <row r="467" spans="1:14" x14ac:dyDescent="0.25">
      <c r="A467" t="s">
        <v>312</v>
      </c>
      <c r="B467" s="1">
        <v>189</v>
      </c>
      <c r="C467" s="1">
        <v>87</v>
      </c>
      <c r="D467">
        <v>7</v>
      </c>
      <c r="E467" t="s">
        <v>23</v>
      </c>
      <c r="F467" t="s">
        <v>57</v>
      </c>
      <c r="G467" t="s">
        <v>10</v>
      </c>
      <c r="H467">
        <f>IF(Table_Sales[[#This Row],[profit]]&lt;0,1,0)</f>
        <v>0</v>
      </c>
      <c r="I467" t="str" cm="1">
        <f t="array" ref="I467">_xlfn.IFS(Table_Sales[[#This Row],[quantity]]&lt;=3,"1-3",Table_Sales[[#This Row],[quantity]]&lt;=7,"2-7",Table_Sales[[#This Row],[quantity]]&lt;=10,"8-10",TRUE,"11 and above")</f>
        <v>2-7</v>
      </c>
      <c r="J467" t="str" cm="1">
        <f t="array" ref="J467">_xlfn.IFS(Table_Sales[[#This Row],[amount]]&lt;1000,"Under 1000",Table_Sales[[#This Row],[amount]]&lt;3000,"1000 - 2999",Table_Sales[[#This Row],[amount]]&lt;5000,"3000 - 4999",TRUE,"5000 &amp; above")</f>
        <v>Under 1000</v>
      </c>
      <c r="K467">
        <f>IF(COUNTIFS(INDEX(Table_Sales[order_id],1):Table_Sales[[#This Row],[order_id]],Table_Sales[[#This Row],[order_id]])=1,1,0)</f>
        <v>1</v>
      </c>
      <c r="L46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467" t="str">
        <v>B-25726</v>
      </c>
    </row>
    <row r="468" spans="1:14" x14ac:dyDescent="0.25">
      <c r="A468" t="s">
        <v>157</v>
      </c>
      <c r="B468" s="1">
        <v>32</v>
      </c>
      <c r="C468" s="1">
        <v>2</v>
      </c>
      <c r="D468">
        <v>2</v>
      </c>
      <c r="E468" t="s">
        <v>23</v>
      </c>
      <c r="F468" t="s">
        <v>32</v>
      </c>
      <c r="G468" t="s">
        <v>28</v>
      </c>
      <c r="H468">
        <f>IF(Table_Sales[[#This Row],[profit]]&lt;0,1,0)</f>
        <v>0</v>
      </c>
      <c r="I468" t="str" cm="1">
        <f t="array" ref="I468">_xlfn.IFS(Table_Sales[[#This Row],[quantity]]&lt;=3,"1-3",Table_Sales[[#This Row],[quantity]]&lt;=7,"2-7",Table_Sales[[#This Row],[quantity]]&lt;=10,"8-10",TRUE,"11 and above")</f>
        <v>1-3</v>
      </c>
      <c r="J468" t="str" cm="1">
        <f t="array" ref="J468">_xlfn.IFS(Table_Sales[[#This Row],[amount]]&lt;1000,"Under 1000",Table_Sales[[#This Row],[amount]]&lt;3000,"1000 - 2999",Table_Sales[[#This Row],[amount]]&lt;5000,"3000 - 4999",TRUE,"5000 &amp; above")</f>
        <v>Under 1000</v>
      </c>
      <c r="K468">
        <f>IF(COUNTIFS(INDEX(Table_Sales[order_id],1):Table_Sales[[#This Row],[order_id]],Table_Sales[[#This Row],[order_id]])=1,1,0)</f>
        <v>0</v>
      </c>
      <c r="L46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468" t="str">
        <v>B-25907</v>
      </c>
    </row>
    <row r="469" spans="1:14" x14ac:dyDescent="0.25">
      <c r="A469" t="s">
        <v>69</v>
      </c>
      <c r="B469" s="1">
        <v>188</v>
      </c>
      <c r="C469" s="1">
        <v>13</v>
      </c>
      <c r="D469">
        <v>7</v>
      </c>
      <c r="E469" t="s">
        <v>23</v>
      </c>
      <c r="F469" t="s">
        <v>142</v>
      </c>
      <c r="G469" t="s">
        <v>10</v>
      </c>
      <c r="H469">
        <f>IF(Table_Sales[[#This Row],[profit]]&lt;0,1,0)</f>
        <v>0</v>
      </c>
      <c r="I469" t="str" cm="1">
        <f t="array" ref="I469">_xlfn.IFS(Table_Sales[[#This Row],[quantity]]&lt;=3,"1-3",Table_Sales[[#This Row],[quantity]]&lt;=7,"2-7",Table_Sales[[#This Row],[quantity]]&lt;=10,"8-10",TRUE,"11 and above")</f>
        <v>2-7</v>
      </c>
      <c r="J469" t="str" cm="1">
        <f t="array" ref="J469">_xlfn.IFS(Table_Sales[[#This Row],[amount]]&lt;1000,"Under 1000",Table_Sales[[#This Row],[amount]]&lt;3000,"1000 - 2999",Table_Sales[[#This Row],[amount]]&lt;5000,"3000 - 4999",TRUE,"5000 &amp; above")</f>
        <v>Under 1000</v>
      </c>
      <c r="K469">
        <f>IF(COUNTIFS(INDEX(Table_Sales[order_id],1):Table_Sales[[#This Row],[order_id]],Table_Sales[[#This Row],[order_id]])=1,1,0)</f>
        <v>0</v>
      </c>
      <c r="L46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469" t="str">
        <v>B-26013</v>
      </c>
    </row>
    <row r="470" spans="1:14" x14ac:dyDescent="0.25">
      <c r="A470" t="s">
        <v>313</v>
      </c>
      <c r="B470" s="1">
        <v>73</v>
      </c>
      <c r="C470" s="1">
        <v>-25</v>
      </c>
      <c r="D470">
        <v>3</v>
      </c>
      <c r="E470" t="s">
        <v>23</v>
      </c>
      <c r="F470" t="s">
        <v>26</v>
      </c>
      <c r="G470" t="s">
        <v>10</v>
      </c>
      <c r="H470">
        <f>IF(Table_Sales[[#This Row],[profit]]&lt;0,1,0)</f>
        <v>1</v>
      </c>
      <c r="I470" t="str" cm="1">
        <f t="array" ref="I470">_xlfn.IFS(Table_Sales[[#This Row],[quantity]]&lt;=3,"1-3",Table_Sales[[#This Row],[quantity]]&lt;=7,"2-7",Table_Sales[[#This Row],[quantity]]&lt;=10,"8-10",TRUE,"11 and above")</f>
        <v>1-3</v>
      </c>
      <c r="J470" t="str" cm="1">
        <f t="array" ref="J470">_xlfn.IFS(Table_Sales[[#This Row],[amount]]&lt;1000,"Under 1000",Table_Sales[[#This Row],[amount]]&lt;3000,"1000 - 2999",Table_Sales[[#This Row],[amount]]&lt;5000,"3000 - 4999",TRUE,"5000 &amp; above")</f>
        <v>Under 1000</v>
      </c>
      <c r="K470">
        <f>IF(COUNTIFS(INDEX(Table_Sales[order_id],1):Table_Sales[[#This Row],[order_id]],Table_Sales[[#This Row],[order_id]])=1,1,0)</f>
        <v>1</v>
      </c>
      <c r="L47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470" t="str">
        <v>B-25975</v>
      </c>
    </row>
    <row r="471" spans="1:14" x14ac:dyDescent="0.25">
      <c r="A471" t="s">
        <v>44</v>
      </c>
      <c r="B471" s="1">
        <v>259</v>
      </c>
      <c r="C471" s="1">
        <v>47</v>
      </c>
      <c r="D471">
        <v>5</v>
      </c>
      <c r="E471" t="s">
        <v>23</v>
      </c>
      <c r="F471" t="s">
        <v>30</v>
      </c>
      <c r="G471" t="s">
        <v>19</v>
      </c>
      <c r="H471">
        <f>IF(Table_Sales[[#This Row],[profit]]&lt;0,1,0)</f>
        <v>0</v>
      </c>
      <c r="I471" t="str" cm="1">
        <f t="array" ref="I471">_xlfn.IFS(Table_Sales[[#This Row],[quantity]]&lt;=3,"1-3",Table_Sales[[#This Row],[quantity]]&lt;=7,"2-7",Table_Sales[[#This Row],[quantity]]&lt;=10,"8-10",TRUE,"11 and above")</f>
        <v>2-7</v>
      </c>
      <c r="J471" t="str" cm="1">
        <f t="array" ref="J471">_xlfn.IFS(Table_Sales[[#This Row],[amount]]&lt;1000,"Under 1000",Table_Sales[[#This Row],[amount]]&lt;3000,"1000 - 2999",Table_Sales[[#This Row],[amount]]&lt;5000,"3000 - 4999",TRUE,"5000 &amp; above")</f>
        <v>Under 1000</v>
      </c>
      <c r="K471">
        <f>IF(COUNTIFS(INDEX(Table_Sales[order_id],1):Table_Sales[[#This Row],[order_id]],Table_Sales[[#This Row],[order_id]])=1,1,0)</f>
        <v>0</v>
      </c>
      <c r="L47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471" t="str">
        <v>B-25815</v>
      </c>
    </row>
    <row r="472" spans="1:14" x14ac:dyDescent="0.25">
      <c r="A472" t="s">
        <v>314</v>
      </c>
      <c r="B472" s="1">
        <v>187</v>
      </c>
      <c r="C472" s="1">
        <v>-15</v>
      </c>
      <c r="D472">
        <v>3</v>
      </c>
      <c r="E472" t="s">
        <v>23</v>
      </c>
      <c r="F472" t="s">
        <v>24</v>
      </c>
      <c r="G472" t="s">
        <v>10</v>
      </c>
      <c r="H472">
        <f>IF(Table_Sales[[#This Row],[profit]]&lt;0,1,0)</f>
        <v>1</v>
      </c>
      <c r="I472" t="str" cm="1">
        <f t="array" ref="I472">_xlfn.IFS(Table_Sales[[#This Row],[quantity]]&lt;=3,"1-3",Table_Sales[[#This Row],[quantity]]&lt;=7,"2-7",Table_Sales[[#This Row],[quantity]]&lt;=10,"8-10",TRUE,"11 and above")</f>
        <v>1-3</v>
      </c>
      <c r="J472" t="str" cm="1">
        <f t="array" ref="J472">_xlfn.IFS(Table_Sales[[#This Row],[amount]]&lt;1000,"Under 1000",Table_Sales[[#This Row],[amount]]&lt;3000,"1000 - 2999",Table_Sales[[#This Row],[amount]]&lt;5000,"3000 - 4999",TRUE,"5000 &amp; above")</f>
        <v>Under 1000</v>
      </c>
      <c r="K472">
        <f>IF(COUNTIFS(INDEX(Table_Sales[order_id],1):Table_Sales[[#This Row],[order_id]],Table_Sales[[#This Row],[order_id]])=1,1,0)</f>
        <v>1</v>
      </c>
      <c r="L47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472" t="str">
        <v>B-25619</v>
      </c>
    </row>
    <row r="473" spans="1:14" x14ac:dyDescent="0.25">
      <c r="A473" t="s">
        <v>41</v>
      </c>
      <c r="B473" s="1">
        <v>26</v>
      </c>
      <c r="C473" s="1">
        <v>11</v>
      </c>
      <c r="D473">
        <v>2</v>
      </c>
      <c r="E473" t="s">
        <v>23</v>
      </c>
      <c r="F473" t="s">
        <v>30</v>
      </c>
      <c r="G473" t="s">
        <v>28</v>
      </c>
      <c r="H473">
        <f>IF(Table_Sales[[#This Row],[profit]]&lt;0,1,0)</f>
        <v>0</v>
      </c>
      <c r="I473" t="str" cm="1">
        <f t="array" ref="I473">_xlfn.IFS(Table_Sales[[#This Row],[quantity]]&lt;=3,"1-3",Table_Sales[[#This Row],[quantity]]&lt;=7,"2-7",Table_Sales[[#This Row],[quantity]]&lt;=10,"8-10",TRUE,"11 and above")</f>
        <v>1-3</v>
      </c>
      <c r="J473" t="str" cm="1">
        <f t="array" ref="J473">_xlfn.IFS(Table_Sales[[#This Row],[amount]]&lt;1000,"Under 1000",Table_Sales[[#This Row],[amount]]&lt;3000,"1000 - 2999",Table_Sales[[#This Row],[amount]]&lt;5000,"3000 - 4999",TRUE,"5000 &amp; above")</f>
        <v>Under 1000</v>
      </c>
      <c r="K473">
        <f>IF(COUNTIFS(INDEX(Table_Sales[order_id],1):Table_Sales[[#This Row],[order_id]],Table_Sales[[#This Row],[order_id]])=1,1,0)</f>
        <v>0</v>
      </c>
      <c r="L47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473" t="str">
        <v>B-26058</v>
      </c>
    </row>
    <row r="474" spans="1:14" x14ac:dyDescent="0.25">
      <c r="A474" t="s">
        <v>61</v>
      </c>
      <c r="B474" s="1">
        <v>185</v>
      </c>
      <c r="C474" s="1">
        <v>-26</v>
      </c>
      <c r="D474">
        <v>6</v>
      </c>
      <c r="E474" t="s">
        <v>12</v>
      </c>
      <c r="F474" t="s">
        <v>13</v>
      </c>
      <c r="G474" t="s">
        <v>10</v>
      </c>
      <c r="H474">
        <f>IF(Table_Sales[[#This Row],[profit]]&lt;0,1,0)</f>
        <v>1</v>
      </c>
      <c r="I474" t="str" cm="1">
        <f t="array" ref="I474">_xlfn.IFS(Table_Sales[[#This Row],[quantity]]&lt;=3,"1-3",Table_Sales[[#This Row],[quantity]]&lt;=7,"2-7",Table_Sales[[#This Row],[quantity]]&lt;=10,"8-10",TRUE,"11 and above")</f>
        <v>2-7</v>
      </c>
      <c r="J474" t="str" cm="1">
        <f t="array" ref="J474">_xlfn.IFS(Table_Sales[[#This Row],[amount]]&lt;1000,"Under 1000",Table_Sales[[#This Row],[amount]]&lt;3000,"1000 - 2999",Table_Sales[[#This Row],[amount]]&lt;5000,"3000 - 4999",TRUE,"5000 &amp; above")</f>
        <v>Under 1000</v>
      </c>
      <c r="K474">
        <f>IF(COUNTIFS(INDEX(Table_Sales[order_id],1):Table_Sales[[#This Row],[order_id]],Table_Sales[[#This Row],[order_id]])=1,1,0)</f>
        <v>0</v>
      </c>
      <c r="L47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474" t="str">
        <v>B-26044</v>
      </c>
    </row>
    <row r="475" spans="1:14" x14ac:dyDescent="0.25">
      <c r="A475" t="s">
        <v>315</v>
      </c>
      <c r="B475" s="1">
        <v>248</v>
      </c>
      <c r="C475" s="1">
        <v>8</v>
      </c>
      <c r="D475">
        <v>2</v>
      </c>
      <c r="E475" t="s">
        <v>23</v>
      </c>
      <c r="F475" t="s">
        <v>26</v>
      </c>
      <c r="G475" t="s">
        <v>19</v>
      </c>
      <c r="H475">
        <f>IF(Table_Sales[[#This Row],[profit]]&lt;0,1,0)</f>
        <v>0</v>
      </c>
      <c r="I475" t="str" cm="1">
        <f t="array" ref="I475">_xlfn.IFS(Table_Sales[[#This Row],[quantity]]&lt;=3,"1-3",Table_Sales[[#This Row],[quantity]]&lt;=7,"2-7",Table_Sales[[#This Row],[quantity]]&lt;=10,"8-10",TRUE,"11 and above")</f>
        <v>1-3</v>
      </c>
      <c r="J475" t="str" cm="1">
        <f t="array" ref="J475">_xlfn.IFS(Table_Sales[[#This Row],[amount]]&lt;1000,"Under 1000",Table_Sales[[#This Row],[amount]]&lt;3000,"1000 - 2999",Table_Sales[[#This Row],[amount]]&lt;5000,"3000 - 4999",TRUE,"5000 &amp; above")</f>
        <v>Under 1000</v>
      </c>
      <c r="K475">
        <f>IF(COUNTIFS(INDEX(Table_Sales[order_id],1):Table_Sales[[#This Row],[order_id]],Table_Sales[[#This Row],[order_id]])=1,1,0)</f>
        <v>1</v>
      </c>
      <c r="L47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475" t="str">
        <v>B-25636</v>
      </c>
    </row>
    <row r="476" spans="1:14" x14ac:dyDescent="0.25">
      <c r="A476" t="s">
        <v>316</v>
      </c>
      <c r="B476" s="1">
        <v>67</v>
      </c>
      <c r="C476" s="1">
        <v>9</v>
      </c>
      <c r="D476">
        <v>4</v>
      </c>
      <c r="E476" t="s">
        <v>23</v>
      </c>
      <c r="F476" t="s">
        <v>63</v>
      </c>
      <c r="G476" t="s">
        <v>82</v>
      </c>
      <c r="H476">
        <f>IF(Table_Sales[[#This Row],[profit]]&lt;0,1,0)</f>
        <v>0</v>
      </c>
      <c r="I476" t="str" cm="1">
        <f t="array" ref="I476">_xlfn.IFS(Table_Sales[[#This Row],[quantity]]&lt;=3,"1-3",Table_Sales[[#This Row],[quantity]]&lt;=7,"2-7",Table_Sales[[#This Row],[quantity]]&lt;=10,"8-10",TRUE,"11 and above")</f>
        <v>2-7</v>
      </c>
      <c r="J476" t="str" cm="1">
        <f t="array" ref="J476">_xlfn.IFS(Table_Sales[[#This Row],[amount]]&lt;1000,"Under 1000",Table_Sales[[#This Row],[amount]]&lt;3000,"1000 - 2999",Table_Sales[[#This Row],[amount]]&lt;5000,"3000 - 4999",TRUE,"5000 &amp; above")</f>
        <v>Under 1000</v>
      </c>
      <c r="K476">
        <f>IF(COUNTIFS(INDEX(Table_Sales[order_id],1):Table_Sales[[#This Row],[order_id]],Table_Sales[[#This Row],[order_id]])=1,1,0)</f>
        <v>1</v>
      </c>
      <c r="L47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476" t="str">
        <v>B-25649</v>
      </c>
    </row>
    <row r="477" spans="1:14" x14ac:dyDescent="0.25">
      <c r="A477" t="s">
        <v>289</v>
      </c>
      <c r="B477" s="1">
        <v>248</v>
      </c>
      <c r="C477" s="1">
        <v>-70</v>
      </c>
      <c r="D477">
        <v>3</v>
      </c>
      <c r="E477" t="s">
        <v>12</v>
      </c>
      <c r="F477" t="s">
        <v>13</v>
      </c>
      <c r="G477" t="s">
        <v>19</v>
      </c>
      <c r="H477">
        <f>IF(Table_Sales[[#This Row],[profit]]&lt;0,1,0)</f>
        <v>1</v>
      </c>
      <c r="I477" t="str" cm="1">
        <f t="array" ref="I477">_xlfn.IFS(Table_Sales[[#This Row],[quantity]]&lt;=3,"1-3",Table_Sales[[#This Row],[quantity]]&lt;=7,"2-7",Table_Sales[[#This Row],[quantity]]&lt;=10,"8-10",TRUE,"11 and above")</f>
        <v>1-3</v>
      </c>
      <c r="J477" t="str" cm="1">
        <f t="array" ref="J477">_xlfn.IFS(Table_Sales[[#This Row],[amount]]&lt;1000,"Under 1000",Table_Sales[[#This Row],[amount]]&lt;3000,"1000 - 2999",Table_Sales[[#This Row],[amount]]&lt;5000,"3000 - 4999",TRUE,"5000 &amp; above")</f>
        <v>Under 1000</v>
      </c>
      <c r="K477">
        <f>IF(COUNTIFS(INDEX(Table_Sales[order_id],1):Table_Sales[[#This Row],[order_id]],Table_Sales[[#This Row],[order_id]])=1,1,0)</f>
        <v>0</v>
      </c>
      <c r="L47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477" t="str">
        <v>B-25806</v>
      </c>
    </row>
    <row r="478" spans="1:14" x14ac:dyDescent="0.25">
      <c r="A478" t="s">
        <v>250</v>
      </c>
      <c r="B478" s="1">
        <v>246</v>
      </c>
      <c r="C478" s="1">
        <v>61</v>
      </c>
      <c r="D478">
        <v>2</v>
      </c>
      <c r="E478" t="s">
        <v>12</v>
      </c>
      <c r="F478" t="s">
        <v>16</v>
      </c>
      <c r="G478" t="s">
        <v>19</v>
      </c>
      <c r="H478">
        <f>IF(Table_Sales[[#This Row],[profit]]&lt;0,1,0)</f>
        <v>0</v>
      </c>
      <c r="I478" t="str" cm="1">
        <f t="array" ref="I478">_xlfn.IFS(Table_Sales[[#This Row],[quantity]]&lt;=3,"1-3",Table_Sales[[#This Row],[quantity]]&lt;=7,"2-7",Table_Sales[[#This Row],[quantity]]&lt;=10,"8-10",TRUE,"11 and above")</f>
        <v>1-3</v>
      </c>
      <c r="J478" t="str" cm="1">
        <f t="array" ref="J478">_xlfn.IFS(Table_Sales[[#This Row],[amount]]&lt;1000,"Under 1000",Table_Sales[[#This Row],[amount]]&lt;3000,"1000 - 2999",Table_Sales[[#This Row],[amount]]&lt;5000,"3000 - 4999",TRUE,"5000 &amp; above")</f>
        <v>Under 1000</v>
      </c>
      <c r="K478">
        <f>IF(COUNTIFS(INDEX(Table_Sales[order_id],1):Table_Sales[[#This Row],[order_id]],Table_Sales[[#This Row],[order_id]])=1,1,0)</f>
        <v>0</v>
      </c>
      <c r="L47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478" t="str">
        <v>B-25826</v>
      </c>
    </row>
    <row r="479" spans="1:14" x14ac:dyDescent="0.25">
      <c r="A479" t="s">
        <v>317</v>
      </c>
      <c r="B479" s="1">
        <v>179</v>
      </c>
      <c r="C479" s="1">
        <v>-25</v>
      </c>
      <c r="D479">
        <v>5</v>
      </c>
      <c r="E479" t="s">
        <v>23</v>
      </c>
      <c r="F479" t="s">
        <v>32</v>
      </c>
      <c r="G479" t="s">
        <v>10</v>
      </c>
      <c r="H479">
        <f>IF(Table_Sales[[#This Row],[profit]]&lt;0,1,0)</f>
        <v>1</v>
      </c>
      <c r="I479" t="str" cm="1">
        <f t="array" ref="I479">_xlfn.IFS(Table_Sales[[#This Row],[quantity]]&lt;=3,"1-3",Table_Sales[[#This Row],[quantity]]&lt;=7,"2-7",Table_Sales[[#This Row],[quantity]]&lt;=10,"8-10",TRUE,"11 and above")</f>
        <v>2-7</v>
      </c>
      <c r="J479" t="str" cm="1">
        <f t="array" ref="J479">_xlfn.IFS(Table_Sales[[#This Row],[amount]]&lt;1000,"Under 1000",Table_Sales[[#This Row],[amount]]&lt;3000,"1000 - 2999",Table_Sales[[#This Row],[amount]]&lt;5000,"3000 - 4999",TRUE,"5000 &amp; above")</f>
        <v>Under 1000</v>
      </c>
      <c r="K479">
        <f>IF(COUNTIFS(INDEX(Table_Sales[order_id],1):Table_Sales[[#This Row],[order_id]],Table_Sales[[#This Row],[order_id]])=1,1,0)</f>
        <v>1</v>
      </c>
      <c r="L47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479" t="str">
        <v>B-25624</v>
      </c>
    </row>
    <row r="480" spans="1:14" x14ac:dyDescent="0.25">
      <c r="A480" t="s">
        <v>318</v>
      </c>
      <c r="B480" s="1">
        <v>176</v>
      </c>
      <c r="C480" s="1">
        <v>-28</v>
      </c>
      <c r="D480">
        <v>5</v>
      </c>
      <c r="E480" t="s">
        <v>12</v>
      </c>
      <c r="F480" t="s">
        <v>131</v>
      </c>
      <c r="G480" t="s">
        <v>10</v>
      </c>
      <c r="H480">
        <f>IF(Table_Sales[[#This Row],[profit]]&lt;0,1,0)</f>
        <v>1</v>
      </c>
      <c r="I480" t="str" cm="1">
        <f t="array" ref="I480">_xlfn.IFS(Table_Sales[[#This Row],[quantity]]&lt;=3,"1-3",Table_Sales[[#This Row],[quantity]]&lt;=7,"2-7",Table_Sales[[#This Row],[quantity]]&lt;=10,"8-10",TRUE,"11 and above")</f>
        <v>2-7</v>
      </c>
      <c r="J480" t="str" cm="1">
        <f t="array" ref="J480">_xlfn.IFS(Table_Sales[[#This Row],[amount]]&lt;1000,"Under 1000",Table_Sales[[#This Row],[amount]]&lt;3000,"1000 - 2999",Table_Sales[[#This Row],[amount]]&lt;5000,"3000 - 4999",TRUE,"5000 &amp; above")</f>
        <v>Under 1000</v>
      </c>
      <c r="K480">
        <f>IF(COUNTIFS(INDEX(Table_Sales[order_id],1):Table_Sales[[#This Row],[order_id]],Table_Sales[[#This Row],[order_id]])=1,1,0)</f>
        <v>1</v>
      </c>
      <c r="L48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480" t="str">
        <v>B-25974</v>
      </c>
    </row>
    <row r="481" spans="1:14" x14ac:dyDescent="0.25">
      <c r="A481" t="s">
        <v>299</v>
      </c>
      <c r="B481" s="1">
        <v>176</v>
      </c>
      <c r="C481" s="1">
        <v>-13</v>
      </c>
      <c r="D481">
        <v>5</v>
      </c>
      <c r="E481" t="s">
        <v>12</v>
      </c>
      <c r="F481" t="s">
        <v>131</v>
      </c>
      <c r="G481" t="s">
        <v>10</v>
      </c>
      <c r="H481">
        <f>IF(Table_Sales[[#This Row],[profit]]&lt;0,1,0)</f>
        <v>1</v>
      </c>
      <c r="I481" t="str" cm="1">
        <f t="array" ref="I481">_xlfn.IFS(Table_Sales[[#This Row],[quantity]]&lt;=3,"1-3",Table_Sales[[#This Row],[quantity]]&lt;=7,"2-7",Table_Sales[[#This Row],[quantity]]&lt;=10,"8-10",TRUE,"11 and above")</f>
        <v>2-7</v>
      </c>
      <c r="J481" t="str" cm="1">
        <f t="array" ref="J481">_xlfn.IFS(Table_Sales[[#This Row],[amount]]&lt;1000,"Under 1000",Table_Sales[[#This Row],[amount]]&lt;3000,"1000 - 2999",Table_Sales[[#This Row],[amount]]&lt;5000,"3000 - 4999",TRUE,"5000 &amp; above")</f>
        <v>Under 1000</v>
      </c>
      <c r="K481">
        <f>IF(COUNTIFS(INDEX(Table_Sales[order_id],1):Table_Sales[[#This Row],[order_id]],Table_Sales[[#This Row],[order_id]])=1,1,0)</f>
        <v>0</v>
      </c>
      <c r="L48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481" t="str">
        <v>B-25884</v>
      </c>
    </row>
    <row r="482" spans="1:14" x14ac:dyDescent="0.25">
      <c r="A482" t="s">
        <v>78</v>
      </c>
      <c r="B482" s="1">
        <v>68</v>
      </c>
      <c r="C482" s="1">
        <v>-62</v>
      </c>
      <c r="D482">
        <v>2</v>
      </c>
      <c r="E482" t="s">
        <v>23</v>
      </c>
      <c r="F482" t="s">
        <v>24</v>
      </c>
      <c r="G482" t="s">
        <v>82</v>
      </c>
      <c r="H482">
        <f>IF(Table_Sales[[#This Row],[profit]]&lt;0,1,0)</f>
        <v>1</v>
      </c>
      <c r="I482" t="str" cm="1">
        <f t="array" ref="I482">_xlfn.IFS(Table_Sales[[#This Row],[quantity]]&lt;=3,"1-3",Table_Sales[[#This Row],[quantity]]&lt;=7,"2-7",Table_Sales[[#This Row],[quantity]]&lt;=10,"8-10",TRUE,"11 and above")</f>
        <v>1-3</v>
      </c>
      <c r="J482" t="str" cm="1">
        <f t="array" ref="J482">_xlfn.IFS(Table_Sales[[#This Row],[amount]]&lt;1000,"Under 1000",Table_Sales[[#This Row],[amount]]&lt;3000,"1000 - 2999",Table_Sales[[#This Row],[amount]]&lt;5000,"3000 - 4999",TRUE,"5000 &amp; above")</f>
        <v>Under 1000</v>
      </c>
      <c r="K482">
        <f>IF(COUNTIFS(INDEX(Table_Sales[order_id],1):Table_Sales[[#This Row],[order_id]],Table_Sales[[#This Row],[order_id]])=1,1,0)</f>
        <v>0</v>
      </c>
      <c r="L48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482" t="str">
        <v>B-25672</v>
      </c>
    </row>
    <row r="483" spans="1:14" x14ac:dyDescent="0.25">
      <c r="A483" t="s">
        <v>319</v>
      </c>
      <c r="B483" s="1">
        <v>176</v>
      </c>
      <c r="C483" s="1">
        <v>37</v>
      </c>
      <c r="D483">
        <v>6</v>
      </c>
      <c r="E483" t="s">
        <v>8</v>
      </c>
      <c r="F483" t="s">
        <v>73</v>
      </c>
      <c r="G483" t="s">
        <v>10</v>
      </c>
      <c r="H483">
        <f>IF(Table_Sales[[#This Row],[profit]]&lt;0,1,0)</f>
        <v>0</v>
      </c>
      <c r="I483" t="str" cm="1">
        <f t="array" ref="I483">_xlfn.IFS(Table_Sales[[#This Row],[quantity]]&lt;=3,"1-3",Table_Sales[[#This Row],[quantity]]&lt;=7,"2-7",Table_Sales[[#This Row],[quantity]]&lt;=10,"8-10",TRUE,"11 and above")</f>
        <v>2-7</v>
      </c>
      <c r="J483" t="str" cm="1">
        <f t="array" ref="J483">_xlfn.IFS(Table_Sales[[#This Row],[amount]]&lt;1000,"Under 1000",Table_Sales[[#This Row],[amount]]&lt;3000,"1000 - 2999",Table_Sales[[#This Row],[amount]]&lt;5000,"3000 - 4999",TRUE,"5000 &amp; above")</f>
        <v>Under 1000</v>
      </c>
      <c r="K483">
        <f>IF(COUNTIFS(INDEX(Table_Sales[order_id],1):Table_Sales[[#This Row],[order_id]],Table_Sales[[#This Row],[order_id]])=1,1,0)</f>
        <v>1</v>
      </c>
      <c r="L48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483" t="str">
        <v>B-25859</v>
      </c>
    </row>
    <row r="484" spans="1:14" x14ac:dyDescent="0.25">
      <c r="A484" t="s">
        <v>248</v>
      </c>
      <c r="B484" s="1">
        <v>88</v>
      </c>
      <c r="C484" s="1">
        <v>11</v>
      </c>
      <c r="D484">
        <v>7</v>
      </c>
      <c r="E484" t="s">
        <v>23</v>
      </c>
      <c r="F484" t="s">
        <v>30</v>
      </c>
      <c r="G484" t="s">
        <v>28</v>
      </c>
      <c r="H484">
        <f>IF(Table_Sales[[#This Row],[profit]]&lt;0,1,0)</f>
        <v>0</v>
      </c>
      <c r="I484" t="str" cm="1">
        <f t="array" ref="I484">_xlfn.IFS(Table_Sales[[#This Row],[quantity]]&lt;=3,"1-3",Table_Sales[[#This Row],[quantity]]&lt;=7,"2-7",Table_Sales[[#This Row],[quantity]]&lt;=10,"8-10",TRUE,"11 and above")</f>
        <v>2-7</v>
      </c>
      <c r="J484" t="str" cm="1">
        <f t="array" ref="J484">_xlfn.IFS(Table_Sales[[#This Row],[amount]]&lt;1000,"Under 1000",Table_Sales[[#This Row],[amount]]&lt;3000,"1000 - 2999",Table_Sales[[#This Row],[amount]]&lt;5000,"3000 - 4999",TRUE,"5000 &amp; above")</f>
        <v>Under 1000</v>
      </c>
      <c r="K484">
        <f>IF(COUNTIFS(INDEX(Table_Sales[order_id],1):Table_Sales[[#This Row],[order_id]],Table_Sales[[#This Row],[order_id]])=1,1,0)</f>
        <v>0</v>
      </c>
      <c r="L48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484" t="str">
        <v>B-25817</v>
      </c>
    </row>
    <row r="485" spans="1:14" x14ac:dyDescent="0.25">
      <c r="A485" t="s">
        <v>320</v>
      </c>
      <c r="B485" s="1">
        <v>68</v>
      </c>
      <c r="C485" s="1">
        <v>20</v>
      </c>
      <c r="D485">
        <v>5</v>
      </c>
      <c r="E485" t="s">
        <v>23</v>
      </c>
      <c r="F485" t="s">
        <v>30</v>
      </c>
      <c r="G485" t="s">
        <v>82</v>
      </c>
      <c r="H485">
        <f>IF(Table_Sales[[#This Row],[profit]]&lt;0,1,0)</f>
        <v>0</v>
      </c>
      <c r="I485" t="str" cm="1">
        <f t="array" ref="I485">_xlfn.IFS(Table_Sales[[#This Row],[quantity]]&lt;=3,"1-3",Table_Sales[[#This Row],[quantity]]&lt;=7,"2-7",Table_Sales[[#This Row],[quantity]]&lt;=10,"8-10",TRUE,"11 and above")</f>
        <v>2-7</v>
      </c>
      <c r="J485" t="str" cm="1">
        <f t="array" ref="J485">_xlfn.IFS(Table_Sales[[#This Row],[amount]]&lt;1000,"Under 1000",Table_Sales[[#This Row],[amount]]&lt;3000,"1000 - 2999",Table_Sales[[#This Row],[amount]]&lt;5000,"3000 - 4999",TRUE,"5000 &amp; above")</f>
        <v>Under 1000</v>
      </c>
      <c r="K485">
        <f>IF(COUNTIFS(INDEX(Table_Sales[order_id],1):Table_Sales[[#This Row],[order_id]],Table_Sales[[#This Row],[order_id]])=1,1,0)</f>
        <v>1</v>
      </c>
      <c r="L48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485" t="str">
        <v>B-25968</v>
      </c>
    </row>
    <row r="486" spans="1:14" x14ac:dyDescent="0.25">
      <c r="A486" t="s">
        <v>321</v>
      </c>
      <c r="B486" s="1">
        <v>231</v>
      </c>
      <c r="C486" s="1">
        <v>99</v>
      </c>
      <c r="D486">
        <v>2</v>
      </c>
      <c r="E486" t="s">
        <v>8</v>
      </c>
      <c r="F486" t="s">
        <v>9</v>
      </c>
      <c r="G486" t="s">
        <v>19</v>
      </c>
      <c r="H486">
        <f>IF(Table_Sales[[#This Row],[profit]]&lt;0,1,0)</f>
        <v>0</v>
      </c>
      <c r="I486" t="str" cm="1">
        <f t="array" ref="I486">_xlfn.IFS(Table_Sales[[#This Row],[quantity]]&lt;=3,"1-3",Table_Sales[[#This Row],[quantity]]&lt;=7,"2-7",Table_Sales[[#This Row],[quantity]]&lt;=10,"8-10",TRUE,"11 and above")</f>
        <v>1-3</v>
      </c>
      <c r="J486" t="str" cm="1">
        <f t="array" ref="J486">_xlfn.IFS(Table_Sales[[#This Row],[amount]]&lt;1000,"Under 1000",Table_Sales[[#This Row],[amount]]&lt;3000,"1000 - 2999",Table_Sales[[#This Row],[amount]]&lt;5000,"3000 - 4999",TRUE,"5000 &amp; above")</f>
        <v>Under 1000</v>
      </c>
      <c r="K486">
        <f>IF(COUNTIFS(INDEX(Table_Sales[order_id],1):Table_Sales[[#This Row],[order_id]],Table_Sales[[#This Row],[order_id]])=1,1,0)</f>
        <v>1</v>
      </c>
      <c r="L48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486" t="str">
        <v>B-25671</v>
      </c>
    </row>
    <row r="487" spans="1:14" x14ac:dyDescent="0.25">
      <c r="A487" t="s">
        <v>264</v>
      </c>
      <c r="B487" s="1">
        <v>62</v>
      </c>
      <c r="C487" s="1">
        <v>8</v>
      </c>
      <c r="D487">
        <v>2</v>
      </c>
      <c r="E487" t="s">
        <v>23</v>
      </c>
      <c r="F487" t="s">
        <v>81</v>
      </c>
      <c r="G487" t="s">
        <v>28</v>
      </c>
      <c r="H487">
        <f>IF(Table_Sales[[#This Row],[profit]]&lt;0,1,0)</f>
        <v>0</v>
      </c>
      <c r="I487" t="str" cm="1">
        <f t="array" ref="I487">_xlfn.IFS(Table_Sales[[#This Row],[quantity]]&lt;=3,"1-3",Table_Sales[[#This Row],[quantity]]&lt;=7,"2-7",Table_Sales[[#This Row],[quantity]]&lt;=10,"8-10",TRUE,"11 and above")</f>
        <v>1-3</v>
      </c>
      <c r="J487" t="str" cm="1">
        <f t="array" ref="J487">_xlfn.IFS(Table_Sales[[#This Row],[amount]]&lt;1000,"Under 1000",Table_Sales[[#This Row],[amount]]&lt;3000,"1000 - 2999",Table_Sales[[#This Row],[amount]]&lt;5000,"3000 - 4999",TRUE,"5000 &amp; above")</f>
        <v>Under 1000</v>
      </c>
      <c r="K487">
        <f>IF(COUNTIFS(INDEX(Table_Sales[order_id],1):Table_Sales[[#This Row],[order_id]],Table_Sales[[#This Row],[order_id]])=1,1,0)</f>
        <v>0</v>
      </c>
      <c r="L48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487" t="str">
        <v>B-26059</v>
      </c>
    </row>
    <row r="488" spans="1:14" x14ac:dyDescent="0.25">
      <c r="A488" t="s">
        <v>222</v>
      </c>
      <c r="B488" s="1">
        <v>175</v>
      </c>
      <c r="C488" s="1">
        <v>77</v>
      </c>
      <c r="D488">
        <v>3</v>
      </c>
      <c r="E488" t="s">
        <v>23</v>
      </c>
      <c r="F488" t="s">
        <v>26</v>
      </c>
      <c r="G488" t="s">
        <v>10</v>
      </c>
      <c r="H488">
        <f>IF(Table_Sales[[#This Row],[profit]]&lt;0,1,0)</f>
        <v>0</v>
      </c>
      <c r="I488" t="str" cm="1">
        <f t="array" ref="I488">_xlfn.IFS(Table_Sales[[#This Row],[quantity]]&lt;=3,"1-3",Table_Sales[[#This Row],[quantity]]&lt;=7,"2-7",Table_Sales[[#This Row],[quantity]]&lt;=10,"8-10",TRUE,"11 and above")</f>
        <v>1-3</v>
      </c>
      <c r="J488" t="str" cm="1">
        <f t="array" ref="J488">_xlfn.IFS(Table_Sales[[#This Row],[amount]]&lt;1000,"Under 1000",Table_Sales[[#This Row],[amount]]&lt;3000,"1000 - 2999",Table_Sales[[#This Row],[amount]]&lt;5000,"3000 - 4999",TRUE,"5000 &amp; above")</f>
        <v>Under 1000</v>
      </c>
      <c r="K488">
        <f>IF(COUNTIFS(INDEX(Table_Sales[order_id],1):Table_Sales[[#This Row],[order_id]],Table_Sales[[#This Row],[order_id]])=1,1,0)</f>
        <v>0</v>
      </c>
      <c r="L48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488" t="str">
        <v>B-25669</v>
      </c>
    </row>
    <row r="489" spans="1:14" x14ac:dyDescent="0.25">
      <c r="A489" t="s">
        <v>130</v>
      </c>
      <c r="B489" s="1">
        <v>71</v>
      </c>
      <c r="C489" s="1">
        <v>4</v>
      </c>
      <c r="D489">
        <v>5</v>
      </c>
      <c r="E489" t="s">
        <v>23</v>
      </c>
      <c r="F489" t="s">
        <v>63</v>
      </c>
      <c r="G489" t="s">
        <v>82</v>
      </c>
      <c r="H489">
        <f>IF(Table_Sales[[#This Row],[profit]]&lt;0,1,0)</f>
        <v>0</v>
      </c>
      <c r="I489" t="str" cm="1">
        <f t="array" ref="I489">_xlfn.IFS(Table_Sales[[#This Row],[quantity]]&lt;=3,"1-3",Table_Sales[[#This Row],[quantity]]&lt;=7,"2-7",Table_Sales[[#This Row],[quantity]]&lt;=10,"8-10",TRUE,"11 and above")</f>
        <v>2-7</v>
      </c>
      <c r="J489" t="str" cm="1">
        <f t="array" ref="J489">_xlfn.IFS(Table_Sales[[#This Row],[amount]]&lt;1000,"Under 1000",Table_Sales[[#This Row],[amount]]&lt;3000,"1000 - 2999",Table_Sales[[#This Row],[amount]]&lt;5000,"3000 - 4999",TRUE,"5000 &amp; above")</f>
        <v>Under 1000</v>
      </c>
      <c r="K489">
        <f>IF(COUNTIFS(INDEX(Table_Sales[order_id],1):Table_Sales[[#This Row],[order_id]],Table_Sales[[#This Row],[order_id]])=1,1,0)</f>
        <v>0</v>
      </c>
      <c r="L48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489" t="str">
        <v>B-25841</v>
      </c>
    </row>
    <row r="490" spans="1:14" x14ac:dyDescent="0.25">
      <c r="A490" t="s">
        <v>308</v>
      </c>
      <c r="B490" s="1">
        <v>174</v>
      </c>
      <c r="C490" s="1">
        <v>-70</v>
      </c>
      <c r="D490">
        <v>3</v>
      </c>
      <c r="E490" t="s">
        <v>8</v>
      </c>
      <c r="F490" t="s">
        <v>73</v>
      </c>
      <c r="G490" t="s">
        <v>10</v>
      </c>
      <c r="H490">
        <f>IF(Table_Sales[[#This Row],[profit]]&lt;0,1,0)</f>
        <v>1</v>
      </c>
      <c r="I490" t="str" cm="1">
        <f t="array" ref="I490">_xlfn.IFS(Table_Sales[[#This Row],[quantity]]&lt;=3,"1-3",Table_Sales[[#This Row],[quantity]]&lt;=7,"2-7",Table_Sales[[#This Row],[quantity]]&lt;=10,"8-10",TRUE,"11 and above")</f>
        <v>1-3</v>
      </c>
      <c r="J490" t="str" cm="1">
        <f t="array" ref="J490">_xlfn.IFS(Table_Sales[[#This Row],[amount]]&lt;1000,"Under 1000",Table_Sales[[#This Row],[amount]]&lt;3000,"1000 - 2999",Table_Sales[[#This Row],[amount]]&lt;5000,"3000 - 4999",TRUE,"5000 &amp; above")</f>
        <v>Under 1000</v>
      </c>
      <c r="K490">
        <f>IF(COUNTIFS(INDEX(Table_Sales[order_id],1):Table_Sales[[#This Row],[order_id]],Table_Sales[[#This Row],[order_id]])=1,1,0)</f>
        <v>0</v>
      </c>
      <c r="L49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490" t="str">
        <v>B-26071</v>
      </c>
    </row>
    <row r="491" spans="1:14" x14ac:dyDescent="0.25">
      <c r="A491" t="s">
        <v>133</v>
      </c>
      <c r="B491" s="1">
        <v>173</v>
      </c>
      <c r="C491" s="1">
        <v>69</v>
      </c>
      <c r="D491">
        <v>3</v>
      </c>
      <c r="E491" t="s">
        <v>12</v>
      </c>
      <c r="F491" t="s">
        <v>13</v>
      </c>
      <c r="G491" t="s">
        <v>10</v>
      </c>
      <c r="H491">
        <f>IF(Table_Sales[[#This Row],[profit]]&lt;0,1,0)</f>
        <v>0</v>
      </c>
      <c r="I491" t="str" cm="1">
        <f t="array" ref="I491">_xlfn.IFS(Table_Sales[[#This Row],[quantity]]&lt;=3,"1-3",Table_Sales[[#This Row],[quantity]]&lt;=7,"2-7",Table_Sales[[#This Row],[quantity]]&lt;=10,"8-10",TRUE,"11 and above")</f>
        <v>1-3</v>
      </c>
      <c r="J491" t="str" cm="1">
        <f t="array" ref="J491">_xlfn.IFS(Table_Sales[[#This Row],[amount]]&lt;1000,"Under 1000",Table_Sales[[#This Row],[amount]]&lt;3000,"1000 - 2999",Table_Sales[[#This Row],[amount]]&lt;5000,"3000 - 4999",TRUE,"5000 &amp; above")</f>
        <v>Under 1000</v>
      </c>
      <c r="K491">
        <f>IF(COUNTIFS(INDEX(Table_Sales[order_id],1):Table_Sales[[#This Row],[order_id]],Table_Sales[[#This Row],[order_id]])=1,1,0)</f>
        <v>0</v>
      </c>
      <c r="L49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491" t="str">
        <v>B-25813</v>
      </c>
    </row>
    <row r="492" spans="1:14" x14ac:dyDescent="0.25">
      <c r="A492" t="s">
        <v>115</v>
      </c>
      <c r="B492" s="1">
        <v>171</v>
      </c>
      <c r="C492" s="1">
        <v>2</v>
      </c>
      <c r="D492">
        <v>2</v>
      </c>
      <c r="E492" t="s">
        <v>8</v>
      </c>
      <c r="F492" t="s">
        <v>9</v>
      </c>
      <c r="G492" t="s">
        <v>10</v>
      </c>
      <c r="H492">
        <f>IF(Table_Sales[[#This Row],[profit]]&lt;0,1,0)</f>
        <v>0</v>
      </c>
      <c r="I492" t="str" cm="1">
        <f t="array" ref="I492">_xlfn.IFS(Table_Sales[[#This Row],[quantity]]&lt;=3,"1-3",Table_Sales[[#This Row],[quantity]]&lt;=7,"2-7",Table_Sales[[#This Row],[quantity]]&lt;=10,"8-10",TRUE,"11 and above")</f>
        <v>1-3</v>
      </c>
      <c r="J492" t="str" cm="1">
        <f t="array" ref="J492">_xlfn.IFS(Table_Sales[[#This Row],[amount]]&lt;1000,"Under 1000",Table_Sales[[#This Row],[amount]]&lt;3000,"1000 - 2999",Table_Sales[[#This Row],[amount]]&lt;5000,"3000 - 4999",TRUE,"5000 &amp; above")</f>
        <v>Under 1000</v>
      </c>
      <c r="K492">
        <f>IF(COUNTIFS(INDEX(Table_Sales[order_id],1):Table_Sales[[#This Row],[order_id]],Table_Sales[[#This Row],[order_id]])=1,1,0)</f>
        <v>0</v>
      </c>
      <c r="L49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492" t="str">
        <v>B-25890</v>
      </c>
    </row>
    <row r="493" spans="1:14" x14ac:dyDescent="0.25">
      <c r="A493" t="s">
        <v>166</v>
      </c>
      <c r="B493" s="1">
        <v>268</v>
      </c>
      <c r="C493" s="1">
        <v>-25</v>
      </c>
      <c r="D493">
        <v>3</v>
      </c>
      <c r="E493" t="s">
        <v>23</v>
      </c>
      <c r="F493" t="s">
        <v>26</v>
      </c>
      <c r="G493" t="s">
        <v>10</v>
      </c>
      <c r="H493">
        <f>IF(Table_Sales[[#This Row],[profit]]&lt;0,1,0)</f>
        <v>1</v>
      </c>
      <c r="I493" t="str" cm="1">
        <f t="array" ref="I493">_xlfn.IFS(Table_Sales[[#This Row],[quantity]]&lt;=3,"1-3",Table_Sales[[#This Row],[quantity]]&lt;=7,"2-7",Table_Sales[[#This Row],[quantity]]&lt;=10,"8-10",TRUE,"11 and above")</f>
        <v>1-3</v>
      </c>
      <c r="J493" t="str" cm="1">
        <f t="array" ref="J493">_xlfn.IFS(Table_Sales[[#This Row],[amount]]&lt;1000,"Under 1000",Table_Sales[[#This Row],[amount]]&lt;3000,"1000 - 2999",Table_Sales[[#This Row],[amount]]&lt;5000,"3000 - 4999",TRUE,"5000 &amp; above")</f>
        <v>Under 1000</v>
      </c>
      <c r="K493">
        <f>IF(COUNTIFS(INDEX(Table_Sales[order_id],1):Table_Sales[[#This Row],[order_id]],Table_Sales[[#This Row],[order_id]])=1,1,0)</f>
        <v>0</v>
      </c>
      <c r="L49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493" t="str">
        <v>B-25807</v>
      </c>
    </row>
    <row r="494" spans="1:14" x14ac:dyDescent="0.25">
      <c r="A494" t="s">
        <v>322</v>
      </c>
      <c r="B494" s="1">
        <v>71</v>
      </c>
      <c r="C494" s="1">
        <v>32</v>
      </c>
      <c r="D494">
        <v>3</v>
      </c>
      <c r="E494" t="s">
        <v>23</v>
      </c>
      <c r="F494" t="s">
        <v>26</v>
      </c>
      <c r="G494" t="s">
        <v>82</v>
      </c>
      <c r="H494">
        <f>IF(Table_Sales[[#This Row],[profit]]&lt;0,1,0)</f>
        <v>0</v>
      </c>
      <c r="I494" t="str" cm="1">
        <f t="array" ref="I494">_xlfn.IFS(Table_Sales[[#This Row],[quantity]]&lt;=3,"1-3",Table_Sales[[#This Row],[quantity]]&lt;=7,"2-7",Table_Sales[[#This Row],[quantity]]&lt;=10,"8-10",TRUE,"11 and above")</f>
        <v>1-3</v>
      </c>
      <c r="J494" t="str" cm="1">
        <f t="array" ref="J494">_xlfn.IFS(Table_Sales[[#This Row],[amount]]&lt;1000,"Under 1000",Table_Sales[[#This Row],[amount]]&lt;3000,"1000 - 2999",Table_Sales[[#This Row],[amount]]&lt;5000,"3000 - 4999",TRUE,"5000 &amp; above")</f>
        <v>Under 1000</v>
      </c>
      <c r="K494">
        <f>IF(COUNTIFS(INDEX(Table_Sales[order_id],1):Table_Sales[[#This Row],[order_id]],Table_Sales[[#This Row],[order_id]])=1,1,0)</f>
        <v>1</v>
      </c>
      <c r="L49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494" t="str">
        <v>B-25937</v>
      </c>
    </row>
    <row r="495" spans="1:14" x14ac:dyDescent="0.25">
      <c r="A495" t="s">
        <v>323</v>
      </c>
      <c r="B495" s="1">
        <v>29</v>
      </c>
      <c r="C495" s="1">
        <v>10</v>
      </c>
      <c r="D495">
        <v>4</v>
      </c>
      <c r="E495" t="s">
        <v>23</v>
      </c>
      <c r="F495" t="s">
        <v>30</v>
      </c>
      <c r="G495" t="s">
        <v>28</v>
      </c>
      <c r="H495">
        <f>IF(Table_Sales[[#This Row],[profit]]&lt;0,1,0)</f>
        <v>0</v>
      </c>
      <c r="I495" t="str" cm="1">
        <f t="array" ref="I495">_xlfn.IFS(Table_Sales[[#This Row],[quantity]]&lt;=3,"1-3",Table_Sales[[#This Row],[quantity]]&lt;=7,"2-7",Table_Sales[[#This Row],[quantity]]&lt;=10,"8-10",TRUE,"11 and above")</f>
        <v>2-7</v>
      </c>
      <c r="J495" t="str" cm="1">
        <f t="array" ref="J495">_xlfn.IFS(Table_Sales[[#This Row],[amount]]&lt;1000,"Under 1000",Table_Sales[[#This Row],[amount]]&lt;3000,"1000 - 2999",Table_Sales[[#This Row],[amount]]&lt;5000,"3000 - 4999",TRUE,"5000 &amp; above")</f>
        <v>Under 1000</v>
      </c>
      <c r="K495">
        <f>IF(COUNTIFS(INDEX(Table_Sales[order_id],1):Table_Sales[[#This Row],[order_id]],Table_Sales[[#This Row],[order_id]])=1,1,0)</f>
        <v>1</v>
      </c>
      <c r="L49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495" t="str">
        <v>B-25982</v>
      </c>
    </row>
    <row r="496" spans="1:14" x14ac:dyDescent="0.25">
      <c r="A496" t="s">
        <v>324</v>
      </c>
      <c r="B496" s="1">
        <v>65</v>
      </c>
      <c r="C496" s="1">
        <v>17</v>
      </c>
      <c r="D496">
        <v>2</v>
      </c>
      <c r="E496" t="s">
        <v>23</v>
      </c>
      <c r="F496" t="s">
        <v>81</v>
      </c>
      <c r="G496" t="s">
        <v>28</v>
      </c>
      <c r="H496">
        <f>IF(Table_Sales[[#This Row],[profit]]&lt;0,1,0)</f>
        <v>0</v>
      </c>
      <c r="I496" t="str" cm="1">
        <f t="array" ref="I496">_xlfn.IFS(Table_Sales[[#This Row],[quantity]]&lt;=3,"1-3",Table_Sales[[#This Row],[quantity]]&lt;=7,"2-7",Table_Sales[[#This Row],[quantity]]&lt;=10,"8-10",TRUE,"11 and above")</f>
        <v>1-3</v>
      </c>
      <c r="J496" t="str" cm="1">
        <f t="array" ref="J496">_xlfn.IFS(Table_Sales[[#This Row],[amount]]&lt;1000,"Under 1000",Table_Sales[[#This Row],[amount]]&lt;3000,"1000 - 2999",Table_Sales[[#This Row],[amount]]&lt;5000,"3000 - 4999",TRUE,"5000 &amp; above")</f>
        <v>Under 1000</v>
      </c>
      <c r="K496">
        <f>IF(COUNTIFS(INDEX(Table_Sales[order_id],1):Table_Sales[[#This Row],[order_id]],Table_Sales[[#This Row],[order_id]])=1,1,0)</f>
        <v>1</v>
      </c>
      <c r="L49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496" t="str">
        <v>B-25639</v>
      </c>
    </row>
    <row r="497" spans="1:14" x14ac:dyDescent="0.25">
      <c r="A497" t="s">
        <v>54</v>
      </c>
      <c r="B497" s="1">
        <v>72</v>
      </c>
      <c r="C497" s="1">
        <v>-46</v>
      </c>
      <c r="D497">
        <v>7</v>
      </c>
      <c r="E497" t="s">
        <v>23</v>
      </c>
      <c r="F497" t="s">
        <v>32</v>
      </c>
      <c r="G497" t="s">
        <v>82</v>
      </c>
      <c r="H497">
        <f>IF(Table_Sales[[#This Row],[profit]]&lt;0,1,0)</f>
        <v>1</v>
      </c>
      <c r="I497" t="str" cm="1">
        <f t="array" ref="I497">_xlfn.IFS(Table_Sales[[#This Row],[quantity]]&lt;=3,"1-3",Table_Sales[[#This Row],[quantity]]&lt;=7,"2-7",Table_Sales[[#This Row],[quantity]]&lt;=10,"8-10",TRUE,"11 and above")</f>
        <v>2-7</v>
      </c>
      <c r="J497" t="str" cm="1">
        <f t="array" ref="J497">_xlfn.IFS(Table_Sales[[#This Row],[amount]]&lt;1000,"Under 1000",Table_Sales[[#This Row],[amount]]&lt;3000,"1000 - 2999",Table_Sales[[#This Row],[amount]]&lt;5000,"3000 - 4999",TRUE,"5000 &amp; above")</f>
        <v>Under 1000</v>
      </c>
      <c r="K497">
        <f>IF(COUNTIFS(INDEX(Table_Sales[order_id],1):Table_Sales[[#This Row],[order_id]],Table_Sales[[#This Row],[order_id]])=1,1,0)</f>
        <v>0</v>
      </c>
      <c r="L49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497" t="str">
        <v>B-25894</v>
      </c>
    </row>
    <row r="498" spans="1:14" x14ac:dyDescent="0.25">
      <c r="A498" t="s">
        <v>325</v>
      </c>
      <c r="B498" s="1">
        <v>168</v>
      </c>
      <c r="C498" s="1">
        <v>-51</v>
      </c>
      <c r="D498">
        <v>2</v>
      </c>
      <c r="E498" t="s">
        <v>12</v>
      </c>
      <c r="F498" t="s">
        <v>16</v>
      </c>
      <c r="G498" t="s">
        <v>10</v>
      </c>
      <c r="H498">
        <f>IF(Table_Sales[[#This Row],[profit]]&lt;0,1,0)</f>
        <v>1</v>
      </c>
      <c r="I498" t="str" cm="1">
        <f t="array" ref="I498">_xlfn.IFS(Table_Sales[[#This Row],[quantity]]&lt;=3,"1-3",Table_Sales[[#This Row],[quantity]]&lt;=7,"2-7",Table_Sales[[#This Row],[quantity]]&lt;=10,"8-10",TRUE,"11 and above")</f>
        <v>1-3</v>
      </c>
      <c r="J498" t="str" cm="1">
        <f t="array" ref="J498">_xlfn.IFS(Table_Sales[[#This Row],[amount]]&lt;1000,"Under 1000",Table_Sales[[#This Row],[amount]]&lt;3000,"1000 - 2999",Table_Sales[[#This Row],[amount]]&lt;5000,"3000 - 4999",TRUE,"5000 &amp; above")</f>
        <v>Under 1000</v>
      </c>
      <c r="K498">
        <f>IF(COUNTIFS(INDEX(Table_Sales[order_id],1):Table_Sales[[#This Row],[order_id]],Table_Sales[[#This Row],[order_id]])=1,1,0)</f>
        <v>1</v>
      </c>
      <c r="L49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498" t="str">
        <v>B-25768</v>
      </c>
    </row>
    <row r="499" spans="1:14" x14ac:dyDescent="0.25">
      <c r="A499" t="s">
        <v>104</v>
      </c>
      <c r="B499" s="1">
        <v>165</v>
      </c>
      <c r="C499" s="1">
        <v>30</v>
      </c>
      <c r="D499">
        <v>3</v>
      </c>
      <c r="E499" t="s">
        <v>23</v>
      </c>
      <c r="F499" t="s">
        <v>57</v>
      </c>
      <c r="G499" t="s">
        <v>10</v>
      </c>
      <c r="H499">
        <f>IF(Table_Sales[[#This Row],[profit]]&lt;0,1,0)</f>
        <v>0</v>
      </c>
      <c r="I499" t="str" cm="1">
        <f t="array" ref="I499">_xlfn.IFS(Table_Sales[[#This Row],[quantity]]&lt;=3,"1-3",Table_Sales[[#This Row],[quantity]]&lt;=7,"2-7",Table_Sales[[#This Row],[quantity]]&lt;=10,"8-10",TRUE,"11 and above")</f>
        <v>1-3</v>
      </c>
      <c r="J499" t="str" cm="1">
        <f t="array" ref="J499">_xlfn.IFS(Table_Sales[[#This Row],[amount]]&lt;1000,"Under 1000",Table_Sales[[#This Row],[amount]]&lt;3000,"1000 - 2999",Table_Sales[[#This Row],[amount]]&lt;5000,"3000 - 4999",TRUE,"5000 &amp; above")</f>
        <v>Under 1000</v>
      </c>
      <c r="K499">
        <f>IF(COUNTIFS(INDEX(Table_Sales[order_id],1):Table_Sales[[#This Row],[order_id]],Table_Sales[[#This Row],[order_id]])=1,1,0)</f>
        <v>0</v>
      </c>
      <c r="L49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499" t="str">
        <v>B-25629</v>
      </c>
    </row>
    <row r="500" spans="1:14" x14ac:dyDescent="0.25">
      <c r="A500" t="s">
        <v>284</v>
      </c>
      <c r="B500" s="1">
        <v>74</v>
      </c>
      <c r="C500" s="1">
        <v>-59</v>
      </c>
      <c r="D500">
        <v>2</v>
      </c>
      <c r="E500" t="s">
        <v>8</v>
      </c>
      <c r="F500" t="s">
        <v>73</v>
      </c>
      <c r="G500" t="s">
        <v>82</v>
      </c>
      <c r="H500">
        <f>IF(Table_Sales[[#This Row],[profit]]&lt;0,1,0)</f>
        <v>1</v>
      </c>
      <c r="I500" t="str" cm="1">
        <f t="array" ref="I500">_xlfn.IFS(Table_Sales[[#This Row],[quantity]]&lt;=3,"1-3",Table_Sales[[#This Row],[quantity]]&lt;=7,"2-7",Table_Sales[[#This Row],[quantity]]&lt;=10,"8-10",TRUE,"11 and above")</f>
        <v>1-3</v>
      </c>
      <c r="J500" t="str" cm="1">
        <f t="array" ref="J500">_xlfn.IFS(Table_Sales[[#This Row],[amount]]&lt;1000,"Under 1000",Table_Sales[[#This Row],[amount]]&lt;3000,"1000 - 2999",Table_Sales[[#This Row],[amount]]&lt;5000,"3000 - 4999",TRUE,"5000 &amp; above")</f>
        <v>Under 1000</v>
      </c>
      <c r="K500">
        <f>IF(COUNTIFS(INDEX(Table_Sales[order_id],1):Table_Sales[[#This Row],[order_id]],Table_Sales[[#This Row],[order_id]])=1,1,0)</f>
        <v>0</v>
      </c>
      <c r="L50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500" t="str">
        <v>B-25758</v>
      </c>
    </row>
    <row r="501" spans="1:14" x14ac:dyDescent="0.25">
      <c r="A501" t="s">
        <v>184</v>
      </c>
      <c r="B501" s="1">
        <v>89</v>
      </c>
      <c r="C501" s="1">
        <v>17</v>
      </c>
      <c r="D501">
        <v>2</v>
      </c>
      <c r="E501" t="s">
        <v>23</v>
      </c>
      <c r="F501" t="s">
        <v>57</v>
      </c>
      <c r="G501" t="s">
        <v>28</v>
      </c>
      <c r="H501">
        <f>IF(Table_Sales[[#This Row],[profit]]&lt;0,1,0)</f>
        <v>0</v>
      </c>
      <c r="I501" t="str" cm="1">
        <f t="array" ref="I501">_xlfn.IFS(Table_Sales[[#This Row],[quantity]]&lt;=3,"1-3",Table_Sales[[#This Row],[quantity]]&lt;=7,"2-7",Table_Sales[[#This Row],[quantity]]&lt;=10,"8-10",TRUE,"11 and above")</f>
        <v>1-3</v>
      </c>
      <c r="J501" t="str" cm="1">
        <f t="array" ref="J501">_xlfn.IFS(Table_Sales[[#This Row],[amount]]&lt;1000,"Under 1000",Table_Sales[[#This Row],[amount]]&lt;3000,"1000 - 2999",Table_Sales[[#This Row],[amount]]&lt;5000,"3000 - 4999",TRUE,"5000 &amp; above")</f>
        <v>Under 1000</v>
      </c>
      <c r="K501">
        <f>IF(COUNTIFS(INDEX(Table_Sales[order_id],1):Table_Sales[[#This Row],[order_id]],Table_Sales[[#This Row],[order_id]])=1,1,0)</f>
        <v>0</v>
      </c>
      <c r="L50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c r="N501" t="str">
        <v>B-25707</v>
      </c>
    </row>
    <row r="502" spans="1:14" x14ac:dyDescent="0.25">
      <c r="A502" t="s">
        <v>239</v>
      </c>
      <c r="B502" s="1">
        <v>228</v>
      </c>
      <c r="C502" s="1">
        <v>63</v>
      </c>
      <c r="D502">
        <v>3</v>
      </c>
      <c r="E502" t="s">
        <v>8</v>
      </c>
      <c r="F502" t="s">
        <v>9</v>
      </c>
      <c r="G502" t="s">
        <v>19</v>
      </c>
      <c r="H502">
        <f>IF(Table_Sales[[#This Row],[profit]]&lt;0,1,0)</f>
        <v>0</v>
      </c>
      <c r="I502" t="str" cm="1">
        <f t="array" ref="I502">_xlfn.IFS(Table_Sales[[#This Row],[quantity]]&lt;=3,"1-3",Table_Sales[[#This Row],[quantity]]&lt;=7,"2-7",Table_Sales[[#This Row],[quantity]]&lt;=10,"8-10",TRUE,"11 and above")</f>
        <v>1-3</v>
      </c>
      <c r="J502" t="str" cm="1">
        <f t="array" ref="J502">_xlfn.IFS(Table_Sales[[#This Row],[amount]]&lt;1000,"Under 1000",Table_Sales[[#This Row],[amount]]&lt;3000,"1000 - 2999",Table_Sales[[#This Row],[amount]]&lt;5000,"3000 - 4999",TRUE,"5000 &amp; above")</f>
        <v>Under 1000</v>
      </c>
      <c r="K502">
        <f>IF(COUNTIFS(INDEX(Table_Sales[order_id],1):Table_Sales[[#This Row],[order_id]],Table_Sales[[#This Row],[order_id]])=1,1,0)</f>
        <v>0</v>
      </c>
      <c r="L50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503" spans="1:14" x14ac:dyDescent="0.25">
      <c r="A503" t="s">
        <v>94</v>
      </c>
      <c r="B503" s="1">
        <v>119</v>
      </c>
      <c r="C503" s="1">
        <v>-24</v>
      </c>
      <c r="D503">
        <v>4</v>
      </c>
      <c r="E503" t="s">
        <v>12</v>
      </c>
      <c r="F503" t="s">
        <v>131</v>
      </c>
      <c r="G503" t="s">
        <v>10</v>
      </c>
      <c r="H503">
        <f>IF(Table_Sales[[#This Row],[profit]]&lt;0,1,0)</f>
        <v>1</v>
      </c>
      <c r="I503" t="str" cm="1">
        <f t="array" ref="I503">_xlfn.IFS(Table_Sales[[#This Row],[quantity]]&lt;=3,"1-3",Table_Sales[[#This Row],[quantity]]&lt;=7,"2-7",Table_Sales[[#This Row],[quantity]]&lt;=10,"8-10",TRUE,"11 and above")</f>
        <v>2-7</v>
      </c>
      <c r="J503" t="str" cm="1">
        <f t="array" ref="J503">_xlfn.IFS(Table_Sales[[#This Row],[amount]]&lt;1000,"Under 1000",Table_Sales[[#This Row],[amount]]&lt;3000,"1000 - 2999",Table_Sales[[#This Row],[amount]]&lt;5000,"3000 - 4999",TRUE,"5000 &amp; above")</f>
        <v>Under 1000</v>
      </c>
      <c r="K503">
        <f>IF(COUNTIFS(INDEX(Table_Sales[order_id],1):Table_Sales[[#This Row],[order_id]],Table_Sales[[#This Row],[order_id]])=1,1,0)</f>
        <v>0</v>
      </c>
      <c r="L50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504" spans="1:14" x14ac:dyDescent="0.25">
      <c r="A504" t="s">
        <v>150</v>
      </c>
      <c r="B504" s="1">
        <v>75</v>
      </c>
      <c r="C504" s="1">
        <v>-25</v>
      </c>
      <c r="D504">
        <v>3</v>
      </c>
      <c r="E504" t="s">
        <v>23</v>
      </c>
      <c r="F504" t="s">
        <v>57</v>
      </c>
      <c r="G504" t="s">
        <v>28</v>
      </c>
      <c r="H504">
        <f>IF(Table_Sales[[#This Row],[profit]]&lt;0,1,0)</f>
        <v>1</v>
      </c>
      <c r="I504" t="str" cm="1">
        <f t="array" ref="I504">_xlfn.IFS(Table_Sales[[#This Row],[quantity]]&lt;=3,"1-3",Table_Sales[[#This Row],[quantity]]&lt;=7,"2-7",Table_Sales[[#This Row],[quantity]]&lt;=10,"8-10",TRUE,"11 and above")</f>
        <v>1-3</v>
      </c>
      <c r="J504" t="str" cm="1">
        <f t="array" ref="J504">_xlfn.IFS(Table_Sales[[#This Row],[amount]]&lt;1000,"Under 1000",Table_Sales[[#This Row],[amount]]&lt;3000,"1000 - 2999",Table_Sales[[#This Row],[amount]]&lt;5000,"3000 - 4999",TRUE,"5000 &amp; above")</f>
        <v>Under 1000</v>
      </c>
      <c r="K504">
        <f>IF(COUNTIFS(INDEX(Table_Sales[order_id],1):Table_Sales[[#This Row],[order_id]],Table_Sales[[#This Row],[order_id]])=1,1,0)</f>
        <v>0</v>
      </c>
      <c r="L50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505" spans="1:14" x14ac:dyDescent="0.25">
      <c r="A505" t="s">
        <v>132</v>
      </c>
      <c r="B505" s="1">
        <v>67</v>
      </c>
      <c r="C505" s="1">
        <v>20</v>
      </c>
      <c r="D505">
        <v>4</v>
      </c>
      <c r="E505" t="s">
        <v>23</v>
      </c>
      <c r="F505" t="s">
        <v>81</v>
      </c>
      <c r="G505" t="s">
        <v>28</v>
      </c>
      <c r="H505">
        <f>IF(Table_Sales[[#This Row],[profit]]&lt;0,1,0)</f>
        <v>0</v>
      </c>
      <c r="I505" t="str" cm="1">
        <f t="array" ref="I505">_xlfn.IFS(Table_Sales[[#This Row],[quantity]]&lt;=3,"1-3",Table_Sales[[#This Row],[quantity]]&lt;=7,"2-7",Table_Sales[[#This Row],[quantity]]&lt;=10,"8-10",TRUE,"11 and above")</f>
        <v>2-7</v>
      </c>
      <c r="J505" t="str" cm="1">
        <f t="array" ref="J505">_xlfn.IFS(Table_Sales[[#This Row],[amount]]&lt;1000,"Under 1000",Table_Sales[[#This Row],[amount]]&lt;3000,"1000 - 2999",Table_Sales[[#This Row],[amount]]&lt;5000,"3000 - 4999",TRUE,"5000 &amp; above")</f>
        <v>Under 1000</v>
      </c>
      <c r="K505">
        <f>IF(COUNTIFS(INDEX(Table_Sales[order_id],1):Table_Sales[[#This Row],[order_id]],Table_Sales[[#This Row],[order_id]])=1,1,0)</f>
        <v>0</v>
      </c>
      <c r="L50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506" spans="1:14" x14ac:dyDescent="0.25">
      <c r="A506" t="s">
        <v>119</v>
      </c>
      <c r="B506" s="1">
        <v>7</v>
      </c>
      <c r="C506" s="1">
        <v>0</v>
      </c>
      <c r="D506">
        <v>1</v>
      </c>
      <c r="E506" t="s">
        <v>23</v>
      </c>
      <c r="F506" t="s">
        <v>63</v>
      </c>
      <c r="G506" t="s">
        <v>10</v>
      </c>
      <c r="H506">
        <f>IF(Table_Sales[[#This Row],[profit]]&lt;0,1,0)</f>
        <v>0</v>
      </c>
      <c r="I506" t="str" cm="1">
        <f t="array" ref="I506">_xlfn.IFS(Table_Sales[[#This Row],[quantity]]&lt;=3,"1-3",Table_Sales[[#This Row],[quantity]]&lt;=7,"2-7",Table_Sales[[#This Row],[quantity]]&lt;=10,"8-10",TRUE,"11 and above")</f>
        <v>1-3</v>
      </c>
      <c r="J506" t="str" cm="1">
        <f t="array" ref="J506">_xlfn.IFS(Table_Sales[[#This Row],[amount]]&lt;1000,"Under 1000",Table_Sales[[#This Row],[amount]]&lt;3000,"1000 - 2999",Table_Sales[[#This Row],[amount]]&lt;5000,"3000 - 4999",TRUE,"5000 &amp; above")</f>
        <v>Under 1000</v>
      </c>
      <c r="K506">
        <f>IF(COUNTIFS(INDEX(Table_Sales[order_id],1):Table_Sales[[#This Row],[order_id]],Table_Sales[[#This Row],[order_id]])=1,1,0)</f>
        <v>0</v>
      </c>
      <c r="L50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507" spans="1:14" x14ac:dyDescent="0.25">
      <c r="A507" t="s">
        <v>180</v>
      </c>
      <c r="B507" s="1">
        <v>222</v>
      </c>
      <c r="C507" s="1">
        <v>35</v>
      </c>
      <c r="D507">
        <v>5</v>
      </c>
      <c r="E507" t="s">
        <v>23</v>
      </c>
      <c r="F507" t="s">
        <v>26</v>
      </c>
      <c r="G507" t="s">
        <v>19</v>
      </c>
      <c r="H507">
        <f>IF(Table_Sales[[#This Row],[profit]]&lt;0,1,0)</f>
        <v>0</v>
      </c>
      <c r="I507" t="str" cm="1">
        <f t="array" ref="I507">_xlfn.IFS(Table_Sales[[#This Row],[quantity]]&lt;=3,"1-3",Table_Sales[[#This Row],[quantity]]&lt;=7,"2-7",Table_Sales[[#This Row],[quantity]]&lt;=10,"8-10",TRUE,"11 and above")</f>
        <v>2-7</v>
      </c>
      <c r="J507" t="str" cm="1">
        <f t="array" ref="J507">_xlfn.IFS(Table_Sales[[#This Row],[amount]]&lt;1000,"Under 1000",Table_Sales[[#This Row],[amount]]&lt;3000,"1000 - 2999",Table_Sales[[#This Row],[amount]]&lt;5000,"3000 - 4999",TRUE,"5000 &amp; above")</f>
        <v>Under 1000</v>
      </c>
      <c r="K507">
        <f>IF(COUNTIFS(INDEX(Table_Sales[order_id],1):Table_Sales[[#This Row],[order_id]],Table_Sales[[#This Row],[order_id]])=1,1,0)</f>
        <v>0</v>
      </c>
      <c r="L50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508" spans="1:14" x14ac:dyDescent="0.25">
      <c r="A508" t="s">
        <v>236</v>
      </c>
      <c r="B508" s="1">
        <v>219</v>
      </c>
      <c r="C508" s="1">
        <v>-9</v>
      </c>
      <c r="D508">
        <v>4</v>
      </c>
      <c r="E508" t="s">
        <v>23</v>
      </c>
      <c r="F508" t="s">
        <v>26</v>
      </c>
      <c r="G508" t="s">
        <v>19</v>
      </c>
      <c r="H508">
        <f>IF(Table_Sales[[#This Row],[profit]]&lt;0,1,0)</f>
        <v>1</v>
      </c>
      <c r="I508" t="str" cm="1">
        <f t="array" ref="I508">_xlfn.IFS(Table_Sales[[#This Row],[quantity]]&lt;=3,"1-3",Table_Sales[[#This Row],[quantity]]&lt;=7,"2-7",Table_Sales[[#This Row],[quantity]]&lt;=10,"8-10",TRUE,"11 and above")</f>
        <v>2-7</v>
      </c>
      <c r="J508" t="str" cm="1">
        <f t="array" ref="J508">_xlfn.IFS(Table_Sales[[#This Row],[amount]]&lt;1000,"Under 1000",Table_Sales[[#This Row],[amount]]&lt;3000,"1000 - 2999",Table_Sales[[#This Row],[amount]]&lt;5000,"3000 - 4999",TRUE,"5000 &amp; above")</f>
        <v>Under 1000</v>
      </c>
      <c r="K508">
        <f>IF(COUNTIFS(INDEX(Table_Sales[order_id],1):Table_Sales[[#This Row],[order_id]],Table_Sales[[#This Row],[order_id]])=1,1,0)</f>
        <v>0</v>
      </c>
      <c r="L50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509" spans="1:14" x14ac:dyDescent="0.25">
      <c r="A509" t="s">
        <v>33</v>
      </c>
      <c r="B509" s="1">
        <v>42</v>
      </c>
      <c r="C509" s="1">
        <v>-23</v>
      </c>
      <c r="D509">
        <v>2</v>
      </c>
      <c r="E509" t="s">
        <v>12</v>
      </c>
      <c r="F509" t="s">
        <v>131</v>
      </c>
      <c r="G509" t="s">
        <v>28</v>
      </c>
      <c r="H509">
        <f>IF(Table_Sales[[#This Row],[profit]]&lt;0,1,0)</f>
        <v>1</v>
      </c>
      <c r="I509" t="str" cm="1">
        <f t="array" ref="I509">_xlfn.IFS(Table_Sales[[#This Row],[quantity]]&lt;=3,"1-3",Table_Sales[[#This Row],[quantity]]&lt;=7,"2-7",Table_Sales[[#This Row],[quantity]]&lt;=10,"8-10",TRUE,"11 and above")</f>
        <v>1-3</v>
      </c>
      <c r="J509" t="str" cm="1">
        <f t="array" ref="J509">_xlfn.IFS(Table_Sales[[#This Row],[amount]]&lt;1000,"Under 1000",Table_Sales[[#This Row],[amount]]&lt;3000,"1000 - 2999",Table_Sales[[#This Row],[amount]]&lt;5000,"3000 - 4999",TRUE,"5000 &amp; above")</f>
        <v>Under 1000</v>
      </c>
      <c r="K509">
        <f>IF(COUNTIFS(INDEX(Table_Sales[order_id],1):Table_Sales[[#This Row],[order_id]],Table_Sales[[#This Row],[order_id]])=1,1,0)</f>
        <v>0</v>
      </c>
      <c r="L50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510" spans="1:14" x14ac:dyDescent="0.25">
      <c r="A510" t="s">
        <v>96</v>
      </c>
      <c r="B510" s="1">
        <v>216</v>
      </c>
      <c r="C510" s="1">
        <v>-135</v>
      </c>
      <c r="D510">
        <v>3</v>
      </c>
      <c r="E510" t="s">
        <v>12</v>
      </c>
      <c r="F510" t="s">
        <v>13</v>
      </c>
      <c r="G510" t="s">
        <v>19</v>
      </c>
      <c r="H510">
        <f>IF(Table_Sales[[#This Row],[profit]]&lt;0,1,0)</f>
        <v>1</v>
      </c>
      <c r="I510" t="str" cm="1">
        <f t="array" ref="I510">_xlfn.IFS(Table_Sales[[#This Row],[quantity]]&lt;=3,"1-3",Table_Sales[[#This Row],[quantity]]&lt;=7,"2-7",Table_Sales[[#This Row],[quantity]]&lt;=10,"8-10",TRUE,"11 and above")</f>
        <v>1-3</v>
      </c>
      <c r="J510" t="str" cm="1">
        <f t="array" ref="J510">_xlfn.IFS(Table_Sales[[#This Row],[amount]]&lt;1000,"Under 1000",Table_Sales[[#This Row],[amount]]&lt;3000,"1000 - 2999",Table_Sales[[#This Row],[amount]]&lt;5000,"3000 - 4999",TRUE,"5000 &amp; above")</f>
        <v>Under 1000</v>
      </c>
      <c r="K510">
        <f>IF(COUNTIFS(INDEX(Table_Sales[order_id],1):Table_Sales[[#This Row],[order_id]],Table_Sales[[#This Row],[order_id]])=1,1,0)</f>
        <v>0</v>
      </c>
      <c r="L51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511" spans="1:14" x14ac:dyDescent="0.25">
      <c r="A511" t="s">
        <v>326</v>
      </c>
      <c r="B511" s="1">
        <v>47</v>
      </c>
      <c r="C511" s="1">
        <v>-21</v>
      </c>
      <c r="D511">
        <v>2</v>
      </c>
      <c r="E511" t="s">
        <v>8</v>
      </c>
      <c r="F511" t="s">
        <v>9</v>
      </c>
      <c r="G511" t="s">
        <v>10</v>
      </c>
      <c r="H511">
        <f>IF(Table_Sales[[#This Row],[profit]]&lt;0,1,0)</f>
        <v>1</v>
      </c>
      <c r="I511" t="str" cm="1">
        <f t="array" ref="I511">_xlfn.IFS(Table_Sales[[#This Row],[quantity]]&lt;=3,"1-3",Table_Sales[[#This Row],[quantity]]&lt;=7,"2-7",Table_Sales[[#This Row],[quantity]]&lt;=10,"8-10",TRUE,"11 and above")</f>
        <v>1-3</v>
      </c>
      <c r="J511" t="str" cm="1">
        <f t="array" ref="J511">_xlfn.IFS(Table_Sales[[#This Row],[amount]]&lt;1000,"Under 1000",Table_Sales[[#This Row],[amount]]&lt;3000,"1000 - 2999",Table_Sales[[#This Row],[amount]]&lt;5000,"3000 - 4999",TRUE,"5000 &amp; above")</f>
        <v>Under 1000</v>
      </c>
      <c r="K511">
        <f>IF(COUNTIFS(INDEX(Table_Sales[order_id],1):Table_Sales[[#This Row],[order_id]],Table_Sales[[#This Row],[order_id]])=1,1,0)</f>
        <v>1</v>
      </c>
      <c r="L51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512" spans="1:14" x14ac:dyDescent="0.25">
      <c r="A512" t="s">
        <v>265</v>
      </c>
      <c r="B512" s="1">
        <v>68</v>
      </c>
      <c r="C512" s="1">
        <v>-55</v>
      </c>
      <c r="D512">
        <v>5</v>
      </c>
      <c r="E512" t="s">
        <v>8</v>
      </c>
      <c r="F512" t="s">
        <v>73</v>
      </c>
      <c r="G512" t="s">
        <v>28</v>
      </c>
      <c r="H512">
        <f>IF(Table_Sales[[#This Row],[profit]]&lt;0,1,0)</f>
        <v>1</v>
      </c>
      <c r="I512" t="str" cm="1">
        <f t="array" ref="I512">_xlfn.IFS(Table_Sales[[#This Row],[quantity]]&lt;=3,"1-3",Table_Sales[[#This Row],[quantity]]&lt;=7,"2-7",Table_Sales[[#This Row],[quantity]]&lt;=10,"8-10",TRUE,"11 and above")</f>
        <v>2-7</v>
      </c>
      <c r="J512" t="str" cm="1">
        <f t="array" ref="J512">_xlfn.IFS(Table_Sales[[#This Row],[amount]]&lt;1000,"Under 1000",Table_Sales[[#This Row],[amount]]&lt;3000,"1000 - 2999",Table_Sales[[#This Row],[amount]]&lt;5000,"3000 - 4999",TRUE,"5000 &amp; above")</f>
        <v>Under 1000</v>
      </c>
      <c r="K512">
        <f>IF(COUNTIFS(INDEX(Table_Sales[order_id],1):Table_Sales[[#This Row],[order_id]],Table_Sales[[#This Row],[order_id]])=1,1,0)</f>
        <v>0</v>
      </c>
      <c r="L51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513" spans="1:12" x14ac:dyDescent="0.25">
      <c r="A513" t="s">
        <v>134</v>
      </c>
      <c r="B513" s="1">
        <v>74</v>
      </c>
      <c r="C513" s="1">
        <v>33</v>
      </c>
      <c r="D513">
        <v>2</v>
      </c>
      <c r="E513" t="s">
        <v>23</v>
      </c>
      <c r="F513" t="s">
        <v>142</v>
      </c>
      <c r="G513" t="s">
        <v>82</v>
      </c>
      <c r="H513">
        <f>IF(Table_Sales[[#This Row],[profit]]&lt;0,1,0)</f>
        <v>0</v>
      </c>
      <c r="I513" t="str" cm="1">
        <f t="array" ref="I513">_xlfn.IFS(Table_Sales[[#This Row],[quantity]]&lt;=3,"1-3",Table_Sales[[#This Row],[quantity]]&lt;=7,"2-7",Table_Sales[[#This Row],[quantity]]&lt;=10,"8-10",TRUE,"11 and above")</f>
        <v>1-3</v>
      </c>
      <c r="J513" t="str" cm="1">
        <f t="array" ref="J513">_xlfn.IFS(Table_Sales[[#This Row],[amount]]&lt;1000,"Under 1000",Table_Sales[[#This Row],[amount]]&lt;3000,"1000 - 2999",Table_Sales[[#This Row],[amount]]&lt;5000,"3000 - 4999",TRUE,"5000 &amp; above")</f>
        <v>Under 1000</v>
      </c>
      <c r="K513">
        <f>IF(COUNTIFS(INDEX(Table_Sales[order_id],1):Table_Sales[[#This Row],[order_id]],Table_Sales[[#This Row],[order_id]])=1,1,0)</f>
        <v>0</v>
      </c>
      <c r="L51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514" spans="1:12" x14ac:dyDescent="0.25">
      <c r="A514" t="s">
        <v>140</v>
      </c>
      <c r="B514" s="1">
        <v>165</v>
      </c>
      <c r="C514" s="1">
        <v>46</v>
      </c>
      <c r="D514">
        <v>3</v>
      </c>
      <c r="E514" t="s">
        <v>12</v>
      </c>
      <c r="F514" t="s">
        <v>131</v>
      </c>
      <c r="G514" t="s">
        <v>10</v>
      </c>
      <c r="H514">
        <f>IF(Table_Sales[[#This Row],[profit]]&lt;0,1,0)</f>
        <v>0</v>
      </c>
      <c r="I514" t="str" cm="1">
        <f t="array" ref="I514">_xlfn.IFS(Table_Sales[[#This Row],[quantity]]&lt;=3,"1-3",Table_Sales[[#This Row],[quantity]]&lt;=7,"2-7",Table_Sales[[#This Row],[quantity]]&lt;=10,"8-10",TRUE,"11 and above")</f>
        <v>1-3</v>
      </c>
      <c r="J514" t="str" cm="1">
        <f t="array" ref="J514">_xlfn.IFS(Table_Sales[[#This Row],[amount]]&lt;1000,"Under 1000",Table_Sales[[#This Row],[amount]]&lt;3000,"1000 - 2999",Table_Sales[[#This Row],[amount]]&lt;5000,"3000 - 4999",TRUE,"5000 &amp; above")</f>
        <v>Under 1000</v>
      </c>
      <c r="K514">
        <f>IF(COUNTIFS(INDEX(Table_Sales[order_id],1):Table_Sales[[#This Row],[order_id]],Table_Sales[[#This Row],[order_id]])=1,1,0)</f>
        <v>0</v>
      </c>
      <c r="L51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515" spans="1:12" x14ac:dyDescent="0.25">
      <c r="A515" t="s">
        <v>211</v>
      </c>
      <c r="B515" s="1">
        <v>101</v>
      </c>
      <c r="C515" s="1">
        <v>11</v>
      </c>
      <c r="D515">
        <v>2</v>
      </c>
      <c r="E515" t="s">
        <v>23</v>
      </c>
      <c r="F515" t="s">
        <v>30</v>
      </c>
      <c r="G515" t="s">
        <v>28</v>
      </c>
      <c r="H515">
        <f>IF(Table_Sales[[#This Row],[profit]]&lt;0,1,0)</f>
        <v>0</v>
      </c>
      <c r="I515" t="str" cm="1">
        <f t="array" ref="I515">_xlfn.IFS(Table_Sales[[#This Row],[quantity]]&lt;=3,"1-3",Table_Sales[[#This Row],[quantity]]&lt;=7,"2-7",Table_Sales[[#This Row],[quantity]]&lt;=10,"8-10",TRUE,"11 and above")</f>
        <v>1-3</v>
      </c>
      <c r="J515" t="str" cm="1">
        <f t="array" ref="J515">_xlfn.IFS(Table_Sales[[#This Row],[amount]]&lt;1000,"Under 1000",Table_Sales[[#This Row],[amount]]&lt;3000,"1000 - 2999",Table_Sales[[#This Row],[amount]]&lt;5000,"3000 - 4999",TRUE,"5000 &amp; above")</f>
        <v>Under 1000</v>
      </c>
      <c r="K515">
        <f>IF(COUNTIFS(INDEX(Table_Sales[order_id],1):Table_Sales[[#This Row],[order_id]],Table_Sales[[#This Row],[order_id]])=1,1,0)</f>
        <v>0</v>
      </c>
      <c r="L51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516" spans="1:12" x14ac:dyDescent="0.25">
      <c r="A516" t="s">
        <v>327</v>
      </c>
      <c r="B516" s="1">
        <v>162</v>
      </c>
      <c r="C516" s="1">
        <v>73</v>
      </c>
      <c r="D516">
        <v>2</v>
      </c>
      <c r="E516" t="s">
        <v>8</v>
      </c>
      <c r="F516" t="s">
        <v>9</v>
      </c>
      <c r="G516" t="s">
        <v>10</v>
      </c>
      <c r="H516">
        <f>IF(Table_Sales[[#This Row],[profit]]&lt;0,1,0)</f>
        <v>0</v>
      </c>
      <c r="I516" t="str" cm="1">
        <f t="array" ref="I516">_xlfn.IFS(Table_Sales[[#This Row],[quantity]]&lt;=3,"1-3",Table_Sales[[#This Row],[quantity]]&lt;=7,"2-7",Table_Sales[[#This Row],[quantity]]&lt;=10,"8-10",TRUE,"11 and above")</f>
        <v>1-3</v>
      </c>
      <c r="J516" t="str" cm="1">
        <f t="array" ref="J516">_xlfn.IFS(Table_Sales[[#This Row],[amount]]&lt;1000,"Under 1000",Table_Sales[[#This Row],[amount]]&lt;3000,"1000 - 2999",Table_Sales[[#This Row],[amount]]&lt;5000,"3000 - 4999",TRUE,"5000 &amp; above")</f>
        <v>Under 1000</v>
      </c>
      <c r="K516">
        <f>IF(COUNTIFS(INDEX(Table_Sales[order_id],1):Table_Sales[[#This Row],[order_id]],Table_Sales[[#This Row],[order_id]])=1,1,0)</f>
        <v>1</v>
      </c>
      <c r="L51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517" spans="1:12" x14ac:dyDescent="0.25">
      <c r="A517" t="s">
        <v>279</v>
      </c>
      <c r="B517" s="1">
        <v>20</v>
      </c>
      <c r="C517" s="1">
        <v>-22</v>
      </c>
      <c r="D517">
        <v>1</v>
      </c>
      <c r="E517" t="s">
        <v>12</v>
      </c>
      <c r="F517" t="s">
        <v>131</v>
      </c>
      <c r="G517" t="s">
        <v>28</v>
      </c>
      <c r="H517">
        <f>IF(Table_Sales[[#This Row],[profit]]&lt;0,1,0)</f>
        <v>1</v>
      </c>
      <c r="I517" t="str" cm="1">
        <f t="array" ref="I517">_xlfn.IFS(Table_Sales[[#This Row],[quantity]]&lt;=3,"1-3",Table_Sales[[#This Row],[quantity]]&lt;=7,"2-7",Table_Sales[[#This Row],[quantity]]&lt;=10,"8-10",TRUE,"11 and above")</f>
        <v>1-3</v>
      </c>
      <c r="J517" t="str" cm="1">
        <f t="array" ref="J517">_xlfn.IFS(Table_Sales[[#This Row],[amount]]&lt;1000,"Under 1000",Table_Sales[[#This Row],[amount]]&lt;3000,"1000 - 2999",Table_Sales[[#This Row],[amount]]&lt;5000,"3000 - 4999",TRUE,"5000 &amp; above")</f>
        <v>Under 1000</v>
      </c>
      <c r="K517">
        <f>IF(COUNTIFS(INDEX(Table_Sales[order_id],1):Table_Sales[[#This Row],[order_id]],Table_Sales[[#This Row],[order_id]])=1,1,0)</f>
        <v>0</v>
      </c>
      <c r="L51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518" spans="1:12" x14ac:dyDescent="0.25">
      <c r="A518" t="s">
        <v>167</v>
      </c>
      <c r="B518" s="1">
        <v>162</v>
      </c>
      <c r="C518" s="1">
        <v>55</v>
      </c>
      <c r="D518">
        <v>3</v>
      </c>
      <c r="E518" t="s">
        <v>23</v>
      </c>
      <c r="F518" t="s">
        <v>57</v>
      </c>
      <c r="G518" t="s">
        <v>10</v>
      </c>
      <c r="H518">
        <f>IF(Table_Sales[[#This Row],[profit]]&lt;0,1,0)</f>
        <v>0</v>
      </c>
      <c r="I518" t="str" cm="1">
        <f t="array" ref="I518">_xlfn.IFS(Table_Sales[[#This Row],[quantity]]&lt;=3,"1-3",Table_Sales[[#This Row],[quantity]]&lt;=7,"2-7",Table_Sales[[#This Row],[quantity]]&lt;=10,"8-10",TRUE,"11 and above")</f>
        <v>1-3</v>
      </c>
      <c r="J518" t="str" cm="1">
        <f t="array" ref="J518">_xlfn.IFS(Table_Sales[[#This Row],[amount]]&lt;1000,"Under 1000",Table_Sales[[#This Row],[amount]]&lt;3000,"1000 - 2999",Table_Sales[[#This Row],[amount]]&lt;5000,"3000 - 4999",TRUE,"5000 &amp; above")</f>
        <v>Under 1000</v>
      </c>
      <c r="K518">
        <f>IF(COUNTIFS(INDEX(Table_Sales[order_id],1):Table_Sales[[#This Row],[order_id]],Table_Sales[[#This Row],[order_id]])=1,1,0)</f>
        <v>0</v>
      </c>
      <c r="L51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519" spans="1:12" x14ac:dyDescent="0.25">
      <c r="A519" t="s">
        <v>205</v>
      </c>
      <c r="B519" s="1">
        <v>229</v>
      </c>
      <c r="C519" s="1">
        <v>-23</v>
      </c>
      <c r="D519">
        <v>2</v>
      </c>
      <c r="E519" t="s">
        <v>23</v>
      </c>
      <c r="F519" t="s">
        <v>26</v>
      </c>
      <c r="G519" t="s">
        <v>28</v>
      </c>
      <c r="H519">
        <f>IF(Table_Sales[[#This Row],[profit]]&lt;0,1,0)</f>
        <v>1</v>
      </c>
      <c r="I519" t="str" cm="1">
        <f t="array" ref="I519">_xlfn.IFS(Table_Sales[[#This Row],[quantity]]&lt;=3,"1-3",Table_Sales[[#This Row],[quantity]]&lt;=7,"2-7",Table_Sales[[#This Row],[quantity]]&lt;=10,"8-10",TRUE,"11 and above")</f>
        <v>1-3</v>
      </c>
      <c r="J519" t="str" cm="1">
        <f t="array" ref="J519">_xlfn.IFS(Table_Sales[[#This Row],[amount]]&lt;1000,"Under 1000",Table_Sales[[#This Row],[amount]]&lt;3000,"1000 - 2999",Table_Sales[[#This Row],[amount]]&lt;5000,"3000 - 4999",TRUE,"5000 &amp; above")</f>
        <v>Under 1000</v>
      </c>
      <c r="K519">
        <f>IF(COUNTIFS(INDEX(Table_Sales[order_id],1):Table_Sales[[#This Row],[order_id]],Table_Sales[[#This Row],[order_id]])=1,1,0)</f>
        <v>0</v>
      </c>
      <c r="L51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520" spans="1:12" x14ac:dyDescent="0.25">
      <c r="A520" t="s">
        <v>328</v>
      </c>
      <c r="B520" s="1">
        <v>27</v>
      </c>
      <c r="C520" s="1">
        <v>0</v>
      </c>
      <c r="D520">
        <v>2</v>
      </c>
      <c r="E520" t="s">
        <v>23</v>
      </c>
      <c r="F520" t="s">
        <v>63</v>
      </c>
      <c r="G520" t="s">
        <v>10</v>
      </c>
      <c r="H520">
        <f>IF(Table_Sales[[#This Row],[profit]]&lt;0,1,0)</f>
        <v>0</v>
      </c>
      <c r="I520" t="str" cm="1">
        <f t="array" ref="I520">_xlfn.IFS(Table_Sales[[#This Row],[quantity]]&lt;=3,"1-3",Table_Sales[[#This Row],[quantity]]&lt;=7,"2-7",Table_Sales[[#This Row],[quantity]]&lt;=10,"8-10",TRUE,"11 and above")</f>
        <v>1-3</v>
      </c>
      <c r="J520" t="str" cm="1">
        <f t="array" ref="J520">_xlfn.IFS(Table_Sales[[#This Row],[amount]]&lt;1000,"Under 1000",Table_Sales[[#This Row],[amount]]&lt;3000,"1000 - 2999",Table_Sales[[#This Row],[amount]]&lt;5000,"3000 - 4999",TRUE,"5000 &amp; above")</f>
        <v>Under 1000</v>
      </c>
      <c r="K520">
        <f>IF(COUNTIFS(INDEX(Table_Sales[order_id],1):Table_Sales[[#This Row],[order_id]],Table_Sales[[#This Row],[order_id]])=1,1,0)</f>
        <v>1</v>
      </c>
      <c r="L52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521" spans="1:12" x14ac:dyDescent="0.25">
      <c r="A521" t="s">
        <v>44</v>
      </c>
      <c r="B521" s="1">
        <v>685</v>
      </c>
      <c r="C521" s="1">
        <v>7</v>
      </c>
      <c r="D521">
        <v>7</v>
      </c>
      <c r="E521" t="s">
        <v>23</v>
      </c>
      <c r="F521" t="s">
        <v>24</v>
      </c>
      <c r="G521" t="s">
        <v>28</v>
      </c>
      <c r="H521">
        <f>IF(Table_Sales[[#This Row],[profit]]&lt;0,1,0)</f>
        <v>0</v>
      </c>
      <c r="I521" t="str" cm="1">
        <f t="array" ref="I521">_xlfn.IFS(Table_Sales[[#This Row],[quantity]]&lt;=3,"1-3",Table_Sales[[#This Row],[quantity]]&lt;=7,"2-7",Table_Sales[[#This Row],[quantity]]&lt;=10,"8-10",TRUE,"11 and above")</f>
        <v>2-7</v>
      </c>
      <c r="J521" t="str" cm="1">
        <f t="array" ref="J521">_xlfn.IFS(Table_Sales[[#This Row],[amount]]&lt;1000,"Under 1000",Table_Sales[[#This Row],[amount]]&lt;3000,"1000 - 2999",Table_Sales[[#This Row],[amount]]&lt;5000,"3000 - 4999",TRUE,"5000 &amp; above")</f>
        <v>Under 1000</v>
      </c>
      <c r="K521">
        <f>IF(COUNTIFS(INDEX(Table_Sales[order_id],1):Table_Sales[[#This Row],[order_id]],Table_Sales[[#This Row],[order_id]])=1,1,0)</f>
        <v>0</v>
      </c>
      <c r="L52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522" spans="1:12" x14ac:dyDescent="0.25">
      <c r="A522" t="s">
        <v>228</v>
      </c>
      <c r="B522" s="1">
        <v>75</v>
      </c>
      <c r="C522" s="1">
        <v>2</v>
      </c>
      <c r="D522">
        <v>5</v>
      </c>
      <c r="E522" t="s">
        <v>23</v>
      </c>
      <c r="F522" t="s">
        <v>63</v>
      </c>
      <c r="G522" t="s">
        <v>82</v>
      </c>
      <c r="H522">
        <f>IF(Table_Sales[[#This Row],[profit]]&lt;0,1,0)</f>
        <v>0</v>
      </c>
      <c r="I522" t="str" cm="1">
        <f t="array" ref="I522">_xlfn.IFS(Table_Sales[[#This Row],[quantity]]&lt;=3,"1-3",Table_Sales[[#This Row],[quantity]]&lt;=7,"2-7",Table_Sales[[#This Row],[quantity]]&lt;=10,"8-10",TRUE,"11 and above")</f>
        <v>2-7</v>
      </c>
      <c r="J522" t="str" cm="1">
        <f t="array" ref="J522">_xlfn.IFS(Table_Sales[[#This Row],[amount]]&lt;1000,"Under 1000",Table_Sales[[#This Row],[amount]]&lt;3000,"1000 - 2999",Table_Sales[[#This Row],[amount]]&lt;5000,"3000 - 4999",TRUE,"5000 &amp; above")</f>
        <v>Under 1000</v>
      </c>
      <c r="K522">
        <f>IF(COUNTIFS(INDEX(Table_Sales[order_id],1):Table_Sales[[#This Row],[order_id]],Table_Sales[[#This Row],[order_id]])=1,1,0)</f>
        <v>0</v>
      </c>
      <c r="L52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523" spans="1:12" x14ac:dyDescent="0.25">
      <c r="A523" t="s">
        <v>223</v>
      </c>
      <c r="B523" s="1">
        <v>161</v>
      </c>
      <c r="C523" s="1">
        <v>-229</v>
      </c>
      <c r="D523">
        <v>8</v>
      </c>
      <c r="E523" t="s">
        <v>12</v>
      </c>
      <c r="F523" t="s">
        <v>131</v>
      </c>
      <c r="G523" t="s">
        <v>10</v>
      </c>
      <c r="H523">
        <f>IF(Table_Sales[[#This Row],[profit]]&lt;0,1,0)</f>
        <v>1</v>
      </c>
      <c r="I523" t="str" cm="1">
        <f t="array" ref="I523">_xlfn.IFS(Table_Sales[[#This Row],[quantity]]&lt;=3,"1-3",Table_Sales[[#This Row],[quantity]]&lt;=7,"2-7",Table_Sales[[#This Row],[quantity]]&lt;=10,"8-10",TRUE,"11 and above")</f>
        <v>8-10</v>
      </c>
      <c r="J523" t="str" cm="1">
        <f t="array" ref="J523">_xlfn.IFS(Table_Sales[[#This Row],[amount]]&lt;1000,"Under 1000",Table_Sales[[#This Row],[amount]]&lt;3000,"1000 - 2999",Table_Sales[[#This Row],[amount]]&lt;5000,"3000 - 4999",TRUE,"5000 &amp; above")</f>
        <v>Under 1000</v>
      </c>
      <c r="K523">
        <f>IF(COUNTIFS(INDEX(Table_Sales[order_id],1):Table_Sales[[#This Row],[order_id]],Table_Sales[[#This Row],[order_id]])=1,1,0)</f>
        <v>0</v>
      </c>
      <c r="L52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524" spans="1:12" x14ac:dyDescent="0.25">
      <c r="A524" t="s">
        <v>301</v>
      </c>
      <c r="B524" s="1">
        <v>71</v>
      </c>
      <c r="C524" s="1">
        <v>19</v>
      </c>
      <c r="D524">
        <v>3</v>
      </c>
      <c r="E524" t="s">
        <v>23</v>
      </c>
      <c r="F524" t="s">
        <v>81</v>
      </c>
      <c r="G524" t="s">
        <v>10</v>
      </c>
      <c r="H524">
        <f>IF(Table_Sales[[#This Row],[profit]]&lt;0,1,0)</f>
        <v>0</v>
      </c>
      <c r="I524" t="str" cm="1">
        <f t="array" ref="I524">_xlfn.IFS(Table_Sales[[#This Row],[quantity]]&lt;=3,"1-3",Table_Sales[[#This Row],[quantity]]&lt;=7,"2-7",Table_Sales[[#This Row],[quantity]]&lt;=10,"8-10",TRUE,"11 and above")</f>
        <v>1-3</v>
      </c>
      <c r="J524" t="str" cm="1">
        <f t="array" ref="J524">_xlfn.IFS(Table_Sales[[#This Row],[amount]]&lt;1000,"Under 1000",Table_Sales[[#This Row],[amount]]&lt;3000,"1000 - 2999",Table_Sales[[#This Row],[amount]]&lt;5000,"3000 - 4999",TRUE,"5000 &amp; above")</f>
        <v>Under 1000</v>
      </c>
      <c r="K524">
        <f>IF(COUNTIFS(INDEX(Table_Sales[order_id],1):Table_Sales[[#This Row],[order_id]],Table_Sales[[#This Row],[order_id]])=1,1,0)</f>
        <v>0</v>
      </c>
      <c r="L52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525" spans="1:12" x14ac:dyDescent="0.25">
      <c r="A525" t="s">
        <v>135</v>
      </c>
      <c r="B525" s="1">
        <v>211</v>
      </c>
      <c r="C525" s="1">
        <v>-105</v>
      </c>
      <c r="D525">
        <v>2</v>
      </c>
      <c r="E525" t="s">
        <v>23</v>
      </c>
      <c r="F525" t="s">
        <v>26</v>
      </c>
      <c r="G525" t="s">
        <v>19</v>
      </c>
      <c r="H525">
        <f>IF(Table_Sales[[#This Row],[profit]]&lt;0,1,0)</f>
        <v>1</v>
      </c>
      <c r="I525" t="str" cm="1">
        <f t="array" ref="I525">_xlfn.IFS(Table_Sales[[#This Row],[quantity]]&lt;=3,"1-3",Table_Sales[[#This Row],[quantity]]&lt;=7,"2-7",Table_Sales[[#This Row],[quantity]]&lt;=10,"8-10",TRUE,"11 and above")</f>
        <v>1-3</v>
      </c>
      <c r="J525" t="str" cm="1">
        <f t="array" ref="J525">_xlfn.IFS(Table_Sales[[#This Row],[amount]]&lt;1000,"Under 1000",Table_Sales[[#This Row],[amount]]&lt;3000,"1000 - 2999",Table_Sales[[#This Row],[amount]]&lt;5000,"3000 - 4999",TRUE,"5000 &amp; above")</f>
        <v>Under 1000</v>
      </c>
      <c r="K525">
        <f>IF(COUNTIFS(INDEX(Table_Sales[order_id],1):Table_Sales[[#This Row],[order_id]],Table_Sales[[#This Row],[order_id]])=1,1,0)</f>
        <v>0</v>
      </c>
      <c r="L52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526" spans="1:12" x14ac:dyDescent="0.25">
      <c r="A526" t="s">
        <v>329</v>
      </c>
      <c r="B526" s="1">
        <v>79</v>
      </c>
      <c r="C526" s="1">
        <v>5</v>
      </c>
      <c r="D526">
        <v>6</v>
      </c>
      <c r="E526" t="s">
        <v>23</v>
      </c>
      <c r="F526" t="s">
        <v>30</v>
      </c>
      <c r="G526" t="s">
        <v>82</v>
      </c>
      <c r="H526">
        <f>IF(Table_Sales[[#This Row],[profit]]&lt;0,1,0)</f>
        <v>0</v>
      </c>
      <c r="I526" t="str" cm="1">
        <f t="array" ref="I526">_xlfn.IFS(Table_Sales[[#This Row],[quantity]]&lt;=3,"1-3",Table_Sales[[#This Row],[quantity]]&lt;=7,"2-7",Table_Sales[[#This Row],[quantity]]&lt;=10,"8-10",TRUE,"11 and above")</f>
        <v>2-7</v>
      </c>
      <c r="J526" t="str" cm="1">
        <f t="array" ref="J526">_xlfn.IFS(Table_Sales[[#This Row],[amount]]&lt;1000,"Under 1000",Table_Sales[[#This Row],[amount]]&lt;3000,"1000 - 2999",Table_Sales[[#This Row],[amount]]&lt;5000,"3000 - 4999",TRUE,"5000 &amp; above")</f>
        <v>Under 1000</v>
      </c>
      <c r="K526">
        <f>IF(COUNTIFS(INDEX(Table_Sales[order_id],1):Table_Sales[[#This Row],[order_id]],Table_Sales[[#This Row],[order_id]])=1,1,0)</f>
        <v>1</v>
      </c>
      <c r="L52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527" spans="1:12" x14ac:dyDescent="0.25">
      <c r="A527" t="s">
        <v>143</v>
      </c>
      <c r="B527" s="1">
        <v>32</v>
      </c>
      <c r="C527" s="1">
        <v>-22</v>
      </c>
      <c r="D527">
        <v>5</v>
      </c>
      <c r="E527" t="s">
        <v>23</v>
      </c>
      <c r="F527" t="s">
        <v>26</v>
      </c>
      <c r="G527" t="s">
        <v>28</v>
      </c>
      <c r="H527">
        <f>IF(Table_Sales[[#This Row],[profit]]&lt;0,1,0)</f>
        <v>1</v>
      </c>
      <c r="I527" t="str" cm="1">
        <f t="array" ref="I527">_xlfn.IFS(Table_Sales[[#This Row],[quantity]]&lt;=3,"1-3",Table_Sales[[#This Row],[quantity]]&lt;=7,"2-7",Table_Sales[[#This Row],[quantity]]&lt;=10,"8-10",TRUE,"11 and above")</f>
        <v>2-7</v>
      </c>
      <c r="J527" t="str" cm="1">
        <f t="array" ref="J527">_xlfn.IFS(Table_Sales[[#This Row],[amount]]&lt;1000,"Under 1000",Table_Sales[[#This Row],[amount]]&lt;3000,"1000 - 2999",Table_Sales[[#This Row],[amount]]&lt;5000,"3000 - 4999",TRUE,"5000 &amp; above")</f>
        <v>Under 1000</v>
      </c>
      <c r="K527">
        <f>IF(COUNTIFS(INDEX(Table_Sales[order_id],1):Table_Sales[[#This Row],[order_id]],Table_Sales[[#This Row],[order_id]])=1,1,0)</f>
        <v>0</v>
      </c>
      <c r="L52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528" spans="1:12" x14ac:dyDescent="0.25">
      <c r="A528" t="s">
        <v>330</v>
      </c>
      <c r="B528" s="1">
        <v>161</v>
      </c>
      <c r="C528" s="1">
        <v>40</v>
      </c>
      <c r="D528">
        <v>3</v>
      </c>
      <c r="E528" t="s">
        <v>23</v>
      </c>
      <c r="F528" t="s">
        <v>57</v>
      </c>
      <c r="G528" t="s">
        <v>10</v>
      </c>
      <c r="H528">
        <f>IF(Table_Sales[[#This Row],[profit]]&lt;0,1,0)</f>
        <v>0</v>
      </c>
      <c r="I528" t="str" cm="1">
        <f t="array" ref="I528">_xlfn.IFS(Table_Sales[[#This Row],[quantity]]&lt;=3,"1-3",Table_Sales[[#This Row],[quantity]]&lt;=7,"2-7",Table_Sales[[#This Row],[quantity]]&lt;=10,"8-10",TRUE,"11 and above")</f>
        <v>1-3</v>
      </c>
      <c r="J528" t="str" cm="1">
        <f t="array" ref="J528">_xlfn.IFS(Table_Sales[[#This Row],[amount]]&lt;1000,"Under 1000",Table_Sales[[#This Row],[amount]]&lt;3000,"1000 - 2999",Table_Sales[[#This Row],[amount]]&lt;5000,"3000 - 4999",TRUE,"5000 &amp; above")</f>
        <v>Under 1000</v>
      </c>
      <c r="K528">
        <f>IF(COUNTIFS(INDEX(Table_Sales[order_id],1):Table_Sales[[#This Row],[order_id]],Table_Sales[[#This Row],[order_id]])=1,1,0)</f>
        <v>1</v>
      </c>
      <c r="L52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529" spans="1:12" x14ac:dyDescent="0.25">
      <c r="A529" t="s">
        <v>119</v>
      </c>
      <c r="B529" s="1">
        <v>159</v>
      </c>
      <c r="C529" s="1">
        <v>4</v>
      </c>
      <c r="D529">
        <v>1</v>
      </c>
      <c r="E529" t="s">
        <v>23</v>
      </c>
      <c r="F529" t="s">
        <v>26</v>
      </c>
      <c r="G529" t="s">
        <v>10</v>
      </c>
      <c r="H529">
        <f>IF(Table_Sales[[#This Row],[profit]]&lt;0,1,0)</f>
        <v>0</v>
      </c>
      <c r="I529" t="str" cm="1">
        <f t="array" ref="I529">_xlfn.IFS(Table_Sales[[#This Row],[quantity]]&lt;=3,"1-3",Table_Sales[[#This Row],[quantity]]&lt;=7,"2-7",Table_Sales[[#This Row],[quantity]]&lt;=10,"8-10",TRUE,"11 and above")</f>
        <v>1-3</v>
      </c>
      <c r="J529" t="str" cm="1">
        <f t="array" ref="J529">_xlfn.IFS(Table_Sales[[#This Row],[amount]]&lt;1000,"Under 1000",Table_Sales[[#This Row],[amount]]&lt;3000,"1000 - 2999",Table_Sales[[#This Row],[amount]]&lt;5000,"3000 - 4999",TRUE,"5000 &amp; above")</f>
        <v>Under 1000</v>
      </c>
      <c r="K529">
        <f>IF(COUNTIFS(INDEX(Table_Sales[order_id],1):Table_Sales[[#This Row],[order_id]],Table_Sales[[#This Row],[order_id]])=1,1,0)</f>
        <v>0</v>
      </c>
      <c r="L52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530" spans="1:12" x14ac:dyDescent="0.25">
      <c r="A530" t="s">
        <v>145</v>
      </c>
      <c r="B530" s="1">
        <v>210</v>
      </c>
      <c r="C530" s="1">
        <v>-50</v>
      </c>
      <c r="D530">
        <v>4</v>
      </c>
      <c r="E530" t="s">
        <v>23</v>
      </c>
      <c r="F530" t="s">
        <v>30</v>
      </c>
      <c r="G530" t="s">
        <v>19</v>
      </c>
      <c r="H530">
        <f>IF(Table_Sales[[#This Row],[profit]]&lt;0,1,0)</f>
        <v>1</v>
      </c>
      <c r="I530" t="str" cm="1">
        <f t="array" ref="I530">_xlfn.IFS(Table_Sales[[#This Row],[quantity]]&lt;=3,"1-3",Table_Sales[[#This Row],[quantity]]&lt;=7,"2-7",Table_Sales[[#This Row],[quantity]]&lt;=10,"8-10",TRUE,"11 and above")</f>
        <v>2-7</v>
      </c>
      <c r="J530" t="str" cm="1">
        <f t="array" ref="J530">_xlfn.IFS(Table_Sales[[#This Row],[amount]]&lt;1000,"Under 1000",Table_Sales[[#This Row],[amount]]&lt;3000,"1000 - 2999",Table_Sales[[#This Row],[amount]]&lt;5000,"3000 - 4999",TRUE,"5000 &amp; above")</f>
        <v>Under 1000</v>
      </c>
      <c r="K530">
        <f>IF(COUNTIFS(INDEX(Table_Sales[order_id],1):Table_Sales[[#This Row],[order_id]],Table_Sales[[#This Row],[order_id]])=1,1,0)</f>
        <v>0</v>
      </c>
      <c r="L53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531" spans="1:12" x14ac:dyDescent="0.25">
      <c r="A531" t="s">
        <v>225</v>
      </c>
      <c r="B531" s="1">
        <v>79</v>
      </c>
      <c r="C531" s="1">
        <v>39</v>
      </c>
      <c r="D531">
        <v>2</v>
      </c>
      <c r="E531" t="s">
        <v>23</v>
      </c>
      <c r="F531" t="s">
        <v>142</v>
      </c>
      <c r="G531" t="s">
        <v>82</v>
      </c>
      <c r="H531">
        <f>IF(Table_Sales[[#This Row],[profit]]&lt;0,1,0)</f>
        <v>0</v>
      </c>
      <c r="I531" t="str" cm="1">
        <f t="array" ref="I531">_xlfn.IFS(Table_Sales[[#This Row],[quantity]]&lt;=3,"1-3",Table_Sales[[#This Row],[quantity]]&lt;=7,"2-7",Table_Sales[[#This Row],[quantity]]&lt;=10,"8-10",TRUE,"11 and above")</f>
        <v>1-3</v>
      </c>
      <c r="J531" t="str" cm="1">
        <f t="array" ref="J531">_xlfn.IFS(Table_Sales[[#This Row],[amount]]&lt;1000,"Under 1000",Table_Sales[[#This Row],[amount]]&lt;3000,"1000 - 2999",Table_Sales[[#This Row],[amount]]&lt;5000,"3000 - 4999",TRUE,"5000 &amp; above")</f>
        <v>Under 1000</v>
      </c>
      <c r="K531">
        <f>IF(COUNTIFS(INDEX(Table_Sales[order_id],1):Table_Sales[[#This Row],[order_id]],Table_Sales[[#This Row],[order_id]])=1,1,0)</f>
        <v>0</v>
      </c>
      <c r="L53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532" spans="1:12" x14ac:dyDescent="0.25">
      <c r="A532" t="s">
        <v>182</v>
      </c>
      <c r="B532" s="1">
        <v>207</v>
      </c>
      <c r="C532" s="1">
        <v>153</v>
      </c>
      <c r="D532">
        <v>3</v>
      </c>
      <c r="E532" t="s">
        <v>23</v>
      </c>
      <c r="F532" t="s">
        <v>26</v>
      </c>
      <c r="G532" t="s">
        <v>19</v>
      </c>
      <c r="H532">
        <f>IF(Table_Sales[[#This Row],[profit]]&lt;0,1,0)</f>
        <v>0</v>
      </c>
      <c r="I532" t="str" cm="1">
        <f t="array" ref="I532">_xlfn.IFS(Table_Sales[[#This Row],[quantity]]&lt;=3,"1-3",Table_Sales[[#This Row],[quantity]]&lt;=7,"2-7",Table_Sales[[#This Row],[quantity]]&lt;=10,"8-10",TRUE,"11 and above")</f>
        <v>1-3</v>
      </c>
      <c r="J532" t="str" cm="1">
        <f t="array" ref="J532">_xlfn.IFS(Table_Sales[[#This Row],[amount]]&lt;1000,"Under 1000",Table_Sales[[#This Row],[amount]]&lt;3000,"1000 - 2999",Table_Sales[[#This Row],[amount]]&lt;5000,"3000 - 4999",TRUE,"5000 &amp; above")</f>
        <v>Under 1000</v>
      </c>
      <c r="K532">
        <f>IF(COUNTIFS(INDEX(Table_Sales[order_id],1):Table_Sales[[#This Row],[order_id]],Table_Sales[[#This Row],[order_id]])=1,1,0)</f>
        <v>0</v>
      </c>
      <c r="L53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533" spans="1:12" x14ac:dyDescent="0.25">
      <c r="A533" t="s">
        <v>198</v>
      </c>
      <c r="B533" s="1">
        <v>36</v>
      </c>
      <c r="C533" s="1">
        <v>0</v>
      </c>
      <c r="D533">
        <v>4</v>
      </c>
      <c r="E533" t="s">
        <v>23</v>
      </c>
      <c r="F533" t="s">
        <v>32</v>
      </c>
      <c r="G533" t="s">
        <v>10</v>
      </c>
      <c r="H533">
        <f>IF(Table_Sales[[#This Row],[profit]]&lt;0,1,0)</f>
        <v>0</v>
      </c>
      <c r="I533" t="str" cm="1">
        <f t="array" ref="I533">_xlfn.IFS(Table_Sales[[#This Row],[quantity]]&lt;=3,"1-3",Table_Sales[[#This Row],[quantity]]&lt;=7,"2-7",Table_Sales[[#This Row],[quantity]]&lt;=10,"8-10",TRUE,"11 and above")</f>
        <v>2-7</v>
      </c>
      <c r="J533" t="str" cm="1">
        <f t="array" ref="J533">_xlfn.IFS(Table_Sales[[#This Row],[amount]]&lt;1000,"Under 1000",Table_Sales[[#This Row],[amount]]&lt;3000,"1000 - 2999",Table_Sales[[#This Row],[amount]]&lt;5000,"3000 - 4999",TRUE,"5000 &amp; above")</f>
        <v>Under 1000</v>
      </c>
      <c r="K533">
        <f>IF(COUNTIFS(INDEX(Table_Sales[order_id],1):Table_Sales[[#This Row],[order_id]],Table_Sales[[#This Row],[order_id]])=1,1,0)</f>
        <v>0</v>
      </c>
      <c r="L53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534" spans="1:12" x14ac:dyDescent="0.25">
      <c r="A534" t="s">
        <v>106</v>
      </c>
      <c r="B534" s="1">
        <v>206</v>
      </c>
      <c r="C534" s="1">
        <v>12</v>
      </c>
      <c r="D534">
        <v>1</v>
      </c>
      <c r="E534" t="s">
        <v>8</v>
      </c>
      <c r="F534" t="s">
        <v>18</v>
      </c>
      <c r="G534" t="s">
        <v>19</v>
      </c>
      <c r="H534">
        <f>IF(Table_Sales[[#This Row],[profit]]&lt;0,1,0)</f>
        <v>0</v>
      </c>
      <c r="I534" t="str" cm="1">
        <f t="array" ref="I534">_xlfn.IFS(Table_Sales[[#This Row],[quantity]]&lt;=3,"1-3",Table_Sales[[#This Row],[quantity]]&lt;=7,"2-7",Table_Sales[[#This Row],[quantity]]&lt;=10,"8-10",TRUE,"11 and above")</f>
        <v>1-3</v>
      </c>
      <c r="J534" t="str" cm="1">
        <f t="array" ref="J534">_xlfn.IFS(Table_Sales[[#This Row],[amount]]&lt;1000,"Under 1000",Table_Sales[[#This Row],[amount]]&lt;3000,"1000 - 2999",Table_Sales[[#This Row],[amount]]&lt;5000,"3000 - 4999",TRUE,"5000 &amp; above")</f>
        <v>Under 1000</v>
      </c>
      <c r="K534">
        <f>IF(COUNTIFS(INDEX(Table_Sales[order_id],1):Table_Sales[[#This Row],[order_id]],Table_Sales[[#This Row],[order_id]])=1,1,0)</f>
        <v>0</v>
      </c>
      <c r="L53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535" spans="1:12" x14ac:dyDescent="0.25">
      <c r="A535" t="s">
        <v>140</v>
      </c>
      <c r="B535" s="1">
        <v>46</v>
      </c>
      <c r="C535" s="1">
        <v>0</v>
      </c>
      <c r="D535">
        <v>4</v>
      </c>
      <c r="E535" t="s">
        <v>23</v>
      </c>
      <c r="F535" t="s">
        <v>63</v>
      </c>
      <c r="G535" t="s">
        <v>10</v>
      </c>
      <c r="H535">
        <f>IF(Table_Sales[[#This Row],[profit]]&lt;0,1,0)</f>
        <v>0</v>
      </c>
      <c r="I535" t="str" cm="1">
        <f t="array" ref="I535">_xlfn.IFS(Table_Sales[[#This Row],[quantity]]&lt;=3,"1-3",Table_Sales[[#This Row],[quantity]]&lt;=7,"2-7",Table_Sales[[#This Row],[quantity]]&lt;=10,"8-10",TRUE,"11 and above")</f>
        <v>2-7</v>
      </c>
      <c r="J535" t="str" cm="1">
        <f t="array" ref="J535">_xlfn.IFS(Table_Sales[[#This Row],[amount]]&lt;1000,"Under 1000",Table_Sales[[#This Row],[amount]]&lt;3000,"1000 - 2999",Table_Sales[[#This Row],[amount]]&lt;5000,"3000 - 4999",TRUE,"5000 &amp; above")</f>
        <v>Under 1000</v>
      </c>
      <c r="K535">
        <f>IF(COUNTIFS(INDEX(Table_Sales[order_id],1):Table_Sales[[#This Row],[order_id]],Table_Sales[[#This Row],[order_id]])=1,1,0)</f>
        <v>0</v>
      </c>
      <c r="L53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536" spans="1:12" x14ac:dyDescent="0.25">
      <c r="A536" t="s">
        <v>273</v>
      </c>
      <c r="B536" s="1">
        <v>156</v>
      </c>
      <c r="C536" s="1">
        <v>23</v>
      </c>
      <c r="D536">
        <v>3</v>
      </c>
      <c r="E536" t="s">
        <v>23</v>
      </c>
      <c r="F536" t="s">
        <v>57</v>
      </c>
      <c r="G536" t="s">
        <v>10</v>
      </c>
      <c r="H536">
        <f>IF(Table_Sales[[#This Row],[profit]]&lt;0,1,0)</f>
        <v>0</v>
      </c>
      <c r="I536" t="str" cm="1">
        <f t="array" ref="I536">_xlfn.IFS(Table_Sales[[#This Row],[quantity]]&lt;=3,"1-3",Table_Sales[[#This Row],[quantity]]&lt;=7,"2-7",Table_Sales[[#This Row],[quantity]]&lt;=10,"8-10",TRUE,"11 and above")</f>
        <v>1-3</v>
      </c>
      <c r="J536" t="str" cm="1">
        <f t="array" ref="J536">_xlfn.IFS(Table_Sales[[#This Row],[amount]]&lt;1000,"Under 1000",Table_Sales[[#This Row],[amount]]&lt;3000,"1000 - 2999",Table_Sales[[#This Row],[amount]]&lt;5000,"3000 - 4999",TRUE,"5000 &amp; above")</f>
        <v>Under 1000</v>
      </c>
      <c r="K536">
        <f>IF(COUNTIFS(INDEX(Table_Sales[order_id],1):Table_Sales[[#This Row],[order_id]],Table_Sales[[#This Row],[order_id]])=1,1,0)</f>
        <v>0</v>
      </c>
      <c r="L53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537" spans="1:12" x14ac:dyDescent="0.25">
      <c r="A537" t="s">
        <v>286</v>
      </c>
      <c r="B537" s="1">
        <v>154</v>
      </c>
      <c r="C537" s="1">
        <v>54</v>
      </c>
      <c r="D537">
        <v>3</v>
      </c>
      <c r="E537" t="s">
        <v>23</v>
      </c>
      <c r="F537" t="s">
        <v>30</v>
      </c>
      <c r="G537" t="s">
        <v>10</v>
      </c>
      <c r="H537">
        <f>IF(Table_Sales[[#This Row],[profit]]&lt;0,1,0)</f>
        <v>0</v>
      </c>
      <c r="I537" t="str" cm="1">
        <f t="array" ref="I537">_xlfn.IFS(Table_Sales[[#This Row],[quantity]]&lt;=3,"1-3",Table_Sales[[#This Row],[quantity]]&lt;=7,"2-7",Table_Sales[[#This Row],[quantity]]&lt;=10,"8-10",TRUE,"11 and above")</f>
        <v>1-3</v>
      </c>
      <c r="J537" t="str" cm="1">
        <f t="array" ref="J537">_xlfn.IFS(Table_Sales[[#This Row],[amount]]&lt;1000,"Under 1000",Table_Sales[[#This Row],[amount]]&lt;3000,"1000 - 2999",Table_Sales[[#This Row],[amount]]&lt;5000,"3000 - 4999",TRUE,"5000 &amp; above")</f>
        <v>Under 1000</v>
      </c>
      <c r="K537">
        <f>IF(COUNTIFS(INDEX(Table_Sales[order_id],1):Table_Sales[[#This Row],[order_id]],Table_Sales[[#This Row],[order_id]])=1,1,0)</f>
        <v>0</v>
      </c>
      <c r="L53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538" spans="1:12" x14ac:dyDescent="0.25">
      <c r="A538" t="s">
        <v>331</v>
      </c>
      <c r="B538" s="1">
        <v>36</v>
      </c>
      <c r="C538" s="1">
        <v>15</v>
      </c>
      <c r="D538">
        <v>3</v>
      </c>
      <c r="E538" t="s">
        <v>23</v>
      </c>
      <c r="F538" t="s">
        <v>57</v>
      </c>
      <c r="G538" t="s">
        <v>28</v>
      </c>
      <c r="H538">
        <f>IF(Table_Sales[[#This Row],[profit]]&lt;0,1,0)</f>
        <v>0</v>
      </c>
      <c r="I538" t="str" cm="1">
        <f t="array" ref="I538">_xlfn.IFS(Table_Sales[[#This Row],[quantity]]&lt;=3,"1-3",Table_Sales[[#This Row],[quantity]]&lt;=7,"2-7",Table_Sales[[#This Row],[quantity]]&lt;=10,"8-10",TRUE,"11 and above")</f>
        <v>1-3</v>
      </c>
      <c r="J538" t="str" cm="1">
        <f t="array" ref="J538">_xlfn.IFS(Table_Sales[[#This Row],[amount]]&lt;1000,"Under 1000",Table_Sales[[#This Row],[amount]]&lt;3000,"1000 - 2999",Table_Sales[[#This Row],[amount]]&lt;5000,"3000 - 4999",TRUE,"5000 &amp; above")</f>
        <v>Under 1000</v>
      </c>
      <c r="K538">
        <f>IF(COUNTIFS(INDEX(Table_Sales[order_id],1):Table_Sales[[#This Row],[order_id]],Table_Sales[[#This Row],[order_id]])=1,1,0)</f>
        <v>1</v>
      </c>
      <c r="L53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539" spans="1:12" x14ac:dyDescent="0.25">
      <c r="A539" t="s">
        <v>332</v>
      </c>
      <c r="B539" s="1">
        <v>206</v>
      </c>
      <c r="C539" s="1">
        <v>51</v>
      </c>
      <c r="D539">
        <v>4</v>
      </c>
      <c r="E539" t="s">
        <v>23</v>
      </c>
      <c r="F539" t="s">
        <v>30</v>
      </c>
      <c r="G539" t="s">
        <v>19</v>
      </c>
      <c r="H539">
        <f>IF(Table_Sales[[#This Row],[profit]]&lt;0,1,0)</f>
        <v>0</v>
      </c>
      <c r="I539" t="str" cm="1">
        <f t="array" ref="I539">_xlfn.IFS(Table_Sales[[#This Row],[quantity]]&lt;=3,"1-3",Table_Sales[[#This Row],[quantity]]&lt;=7,"2-7",Table_Sales[[#This Row],[quantity]]&lt;=10,"8-10",TRUE,"11 and above")</f>
        <v>2-7</v>
      </c>
      <c r="J539" t="str" cm="1">
        <f t="array" ref="J539">_xlfn.IFS(Table_Sales[[#This Row],[amount]]&lt;1000,"Under 1000",Table_Sales[[#This Row],[amount]]&lt;3000,"1000 - 2999",Table_Sales[[#This Row],[amount]]&lt;5000,"3000 - 4999",TRUE,"5000 &amp; above")</f>
        <v>Under 1000</v>
      </c>
      <c r="K539">
        <f>IF(COUNTIFS(INDEX(Table_Sales[order_id],1):Table_Sales[[#This Row],[order_id]],Table_Sales[[#This Row],[order_id]])=1,1,0)</f>
        <v>1</v>
      </c>
      <c r="L53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540" spans="1:12" x14ac:dyDescent="0.25">
      <c r="A540" t="s">
        <v>333</v>
      </c>
      <c r="B540" s="1">
        <v>200</v>
      </c>
      <c r="C540" s="1">
        <v>7</v>
      </c>
      <c r="D540">
        <v>4</v>
      </c>
      <c r="E540" t="s">
        <v>8</v>
      </c>
      <c r="F540" t="s">
        <v>9</v>
      </c>
      <c r="G540" t="s">
        <v>19</v>
      </c>
      <c r="H540">
        <f>IF(Table_Sales[[#This Row],[profit]]&lt;0,1,0)</f>
        <v>0</v>
      </c>
      <c r="I540" t="str" cm="1">
        <f t="array" ref="I540">_xlfn.IFS(Table_Sales[[#This Row],[quantity]]&lt;=3,"1-3",Table_Sales[[#This Row],[quantity]]&lt;=7,"2-7",Table_Sales[[#This Row],[quantity]]&lt;=10,"8-10",TRUE,"11 and above")</f>
        <v>2-7</v>
      </c>
      <c r="J540" t="str" cm="1">
        <f t="array" ref="J540">_xlfn.IFS(Table_Sales[[#This Row],[amount]]&lt;1000,"Under 1000",Table_Sales[[#This Row],[amount]]&lt;3000,"1000 - 2999",Table_Sales[[#This Row],[amount]]&lt;5000,"3000 - 4999",TRUE,"5000 &amp; above")</f>
        <v>Under 1000</v>
      </c>
      <c r="K540">
        <f>IF(COUNTIFS(INDEX(Table_Sales[order_id],1):Table_Sales[[#This Row],[order_id]],Table_Sales[[#This Row],[order_id]])=1,1,0)</f>
        <v>1</v>
      </c>
      <c r="L54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541" spans="1:12" x14ac:dyDescent="0.25">
      <c r="A541" t="s">
        <v>332</v>
      </c>
      <c r="B541" s="1">
        <v>199</v>
      </c>
      <c r="C541" s="1">
        <v>-1</v>
      </c>
      <c r="D541">
        <v>1</v>
      </c>
      <c r="E541" t="s">
        <v>23</v>
      </c>
      <c r="F541" t="s">
        <v>26</v>
      </c>
      <c r="G541" t="s">
        <v>19</v>
      </c>
      <c r="H541">
        <f>IF(Table_Sales[[#This Row],[profit]]&lt;0,1,0)</f>
        <v>1</v>
      </c>
      <c r="I541" t="str" cm="1">
        <f t="array" ref="I541">_xlfn.IFS(Table_Sales[[#This Row],[quantity]]&lt;=3,"1-3",Table_Sales[[#This Row],[quantity]]&lt;=7,"2-7",Table_Sales[[#This Row],[quantity]]&lt;=10,"8-10",TRUE,"11 and above")</f>
        <v>1-3</v>
      </c>
      <c r="J541" t="str" cm="1">
        <f t="array" ref="J541">_xlfn.IFS(Table_Sales[[#This Row],[amount]]&lt;1000,"Under 1000",Table_Sales[[#This Row],[amount]]&lt;3000,"1000 - 2999",Table_Sales[[#This Row],[amount]]&lt;5000,"3000 - 4999",TRUE,"5000 &amp; above")</f>
        <v>Under 1000</v>
      </c>
      <c r="K541">
        <f>IF(COUNTIFS(INDEX(Table_Sales[order_id],1):Table_Sales[[#This Row],[order_id]],Table_Sales[[#This Row],[order_id]])=1,1,0)</f>
        <v>0</v>
      </c>
      <c r="L54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542" spans="1:12" x14ac:dyDescent="0.25">
      <c r="A542" t="s">
        <v>288</v>
      </c>
      <c r="B542" s="1">
        <v>154</v>
      </c>
      <c r="C542" s="1">
        <v>22</v>
      </c>
      <c r="D542">
        <v>7</v>
      </c>
      <c r="E542" t="s">
        <v>23</v>
      </c>
      <c r="F542" t="s">
        <v>81</v>
      </c>
      <c r="G542" t="s">
        <v>10</v>
      </c>
      <c r="H542">
        <f>IF(Table_Sales[[#This Row],[profit]]&lt;0,1,0)</f>
        <v>0</v>
      </c>
      <c r="I542" t="str" cm="1">
        <f t="array" ref="I542">_xlfn.IFS(Table_Sales[[#This Row],[quantity]]&lt;=3,"1-3",Table_Sales[[#This Row],[quantity]]&lt;=7,"2-7",Table_Sales[[#This Row],[quantity]]&lt;=10,"8-10",TRUE,"11 and above")</f>
        <v>2-7</v>
      </c>
      <c r="J542" t="str" cm="1">
        <f t="array" ref="J542">_xlfn.IFS(Table_Sales[[#This Row],[amount]]&lt;1000,"Under 1000",Table_Sales[[#This Row],[amount]]&lt;3000,"1000 - 2999",Table_Sales[[#This Row],[amount]]&lt;5000,"3000 - 4999",TRUE,"5000 &amp; above")</f>
        <v>Under 1000</v>
      </c>
      <c r="K542">
        <f>IF(COUNTIFS(INDEX(Table_Sales[order_id],1):Table_Sales[[#This Row],[order_id]],Table_Sales[[#This Row],[order_id]])=1,1,0)</f>
        <v>0</v>
      </c>
      <c r="L54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543" spans="1:12" x14ac:dyDescent="0.25">
      <c r="A543" t="s">
        <v>334</v>
      </c>
      <c r="B543" s="1">
        <v>152</v>
      </c>
      <c r="C543" s="1">
        <v>23</v>
      </c>
      <c r="D543">
        <v>3</v>
      </c>
      <c r="E543" t="s">
        <v>12</v>
      </c>
      <c r="F543" t="s">
        <v>131</v>
      </c>
      <c r="G543" t="s">
        <v>10</v>
      </c>
      <c r="H543">
        <f>IF(Table_Sales[[#This Row],[profit]]&lt;0,1,0)</f>
        <v>0</v>
      </c>
      <c r="I543" t="str" cm="1">
        <f t="array" ref="I543">_xlfn.IFS(Table_Sales[[#This Row],[quantity]]&lt;=3,"1-3",Table_Sales[[#This Row],[quantity]]&lt;=7,"2-7",Table_Sales[[#This Row],[quantity]]&lt;=10,"8-10",TRUE,"11 and above")</f>
        <v>1-3</v>
      </c>
      <c r="J543" t="str" cm="1">
        <f t="array" ref="J543">_xlfn.IFS(Table_Sales[[#This Row],[amount]]&lt;1000,"Under 1000",Table_Sales[[#This Row],[amount]]&lt;3000,"1000 - 2999",Table_Sales[[#This Row],[amount]]&lt;5000,"3000 - 4999",TRUE,"5000 &amp; above")</f>
        <v>Under 1000</v>
      </c>
      <c r="K543">
        <f>IF(COUNTIFS(INDEX(Table_Sales[order_id],1):Table_Sales[[#This Row],[order_id]],Table_Sales[[#This Row],[order_id]])=1,1,0)</f>
        <v>1</v>
      </c>
      <c r="L54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544" spans="1:12" x14ac:dyDescent="0.25">
      <c r="A544" t="s">
        <v>335</v>
      </c>
      <c r="B544" s="1">
        <v>152</v>
      </c>
      <c r="C544" s="1">
        <v>50</v>
      </c>
      <c r="D544">
        <v>6</v>
      </c>
      <c r="E544" t="s">
        <v>23</v>
      </c>
      <c r="F544" t="s">
        <v>57</v>
      </c>
      <c r="G544" t="s">
        <v>10</v>
      </c>
      <c r="H544">
        <f>IF(Table_Sales[[#This Row],[profit]]&lt;0,1,0)</f>
        <v>0</v>
      </c>
      <c r="I544" t="str" cm="1">
        <f t="array" ref="I544">_xlfn.IFS(Table_Sales[[#This Row],[quantity]]&lt;=3,"1-3",Table_Sales[[#This Row],[quantity]]&lt;=7,"2-7",Table_Sales[[#This Row],[quantity]]&lt;=10,"8-10",TRUE,"11 and above")</f>
        <v>2-7</v>
      </c>
      <c r="J544" t="str" cm="1">
        <f t="array" ref="J544">_xlfn.IFS(Table_Sales[[#This Row],[amount]]&lt;1000,"Under 1000",Table_Sales[[#This Row],[amount]]&lt;3000,"1000 - 2999",Table_Sales[[#This Row],[amount]]&lt;5000,"3000 - 4999",TRUE,"5000 &amp; above")</f>
        <v>Under 1000</v>
      </c>
      <c r="K544">
        <f>IF(COUNTIFS(INDEX(Table_Sales[order_id],1):Table_Sales[[#This Row],[order_id]],Table_Sales[[#This Row],[order_id]])=1,1,0)</f>
        <v>1</v>
      </c>
      <c r="L54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545" spans="1:12" x14ac:dyDescent="0.25">
      <c r="A545" t="s">
        <v>205</v>
      </c>
      <c r="B545" s="1">
        <v>122</v>
      </c>
      <c r="C545" s="1">
        <v>-21</v>
      </c>
      <c r="D545">
        <v>3</v>
      </c>
      <c r="E545" t="s">
        <v>12</v>
      </c>
      <c r="F545" t="s">
        <v>131</v>
      </c>
      <c r="G545" t="s">
        <v>28</v>
      </c>
      <c r="H545">
        <f>IF(Table_Sales[[#This Row],[profit]]&lt;0,1,0)</f>
        <v>1</v>
      </c>
      <c r="I545" t="str" cm="1">
        <f t="array" ref="I545">_xlfn.IFS(Table_Sales[[#This Row],[quantity]]&lt;=3,"1-3",Table_Sales[[#This Row],[quantity]]&lt;=7,"2-7",Table_Sales[[#This Row],[quantity]]&lt;=10,"8-10",TRUE,"11 and above")</f>
        <v>1-3</v>
      </c>
      <c r="J545" t="str" cm="1">
        <f t="array" ref="J545">_xlfn.IFS(Table_Sales[[#This Row],[amount]]&lt;1000,"Under 1000",Table_Sales[[#This Row],[amount]]&lt;3000,"1000 - 2999",Table_Sales[[#This Row],[amount]]&lt;5000,"3000 - 4999",TRUE,"5000 &amp; above")</f>
        <v>Under 1000</v>
      </c>
      <c r="K545">
        <f>IF(COUNTIFS(INDEX(Table_Sales[order_id],1):Table_Sales[[#This Row],[order_id]],Table_Sales[[#This Row],[order_id]])=1,1,0)</f>
        <v>0</v>
      </c>
      <c r="L54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546" spans="1:12" x14ac:dyDescent="0.25">
      <c r="A546" t="s">
        <v>234</v>
      </c>
      <c r="B546" s="1">
        <v>149</v>
      </c>
      <c r="C546" s="1">
        <v>48</v>
      </c>
      <c r="D546">
        <v>6</v>
      </c>
      <c r="E546" t="s">
        <v>23</v>
      </c>
      <c r="F546" t="s">
        <v>57</v>
      </c>
      <c r="G546" t="s">
        <v>10</v>
      </c>
      <c r="H546">
        <f>IF(Table_Sales[[#This Row],[profit]]&lt;0,1,0)</f>
        <v>0</v>
      </c>
      <c r="I546" t="str" cm="1">
        <f t="array" ref="I546">_xlfn.IFS(Table_Sales[[#This Row],[quantity]]&lt;=3,"1-3",Table_Sales[[#This Row],[quantity]]&lt;=7,"2-7",Table_Sales[[#This Row],[quantity]]&lt;=10,"8-10",TRUE,"11 and above")</f>
        <v>2-7</v>
      </c>
      <c r="J546" t="str" cm="1">
        <f t="array" ref="J546">_xlfn.IFS(Table_Sales[[#This Row],[amount]]&lt;1000,"Under 1000",Table_Sales[[#This Row],[amount]]&lt;3000,"1000 - 2999",Table_Sales[[#This Row],[amount]]&lt;5000,"3000 - 4999",TRUE,"5000 &amp; above")</f>
        <v>Under 1000</v>
      </c>
      <c r="K546">
        <f>IF(COUNTIFS(INDEX(Table_Sales[order_id],1):Table_Sales[[#This Row],[order_id]],Table_Sales[[#This Row],[order_id]])=1,1,0)</f>
        <v>0</v>
      </c>
      <c r="L54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547" spans="1:12" x14ac:dyDescent="0.25">
      <c r="A547" t="s">
        <v>336</v>
      </c>
      <c r="B547" s="1">
        <v>149</v>
      </c>
      <c r="C547" s="1">
        <v>-87</v>
      </c>
      <c r="D547">
        <v>4</v>
      </c>
      <c r="E547" t="s">
        <v>23</v>
      </c>
      <c r="F547" t="s">
        <v>26</v>
      </c>
      <c r="G547" t="s">
        <v>10</v>
      </c>
      <c r="H547">
        <f>IF(Table_Sales[[#This Row],[profit]]&lt;0,1,0)</f>
        <v>1</v>
      </c>
      <c r="I547" t="str" cm="1">
        <f t="array" ref="I547">_xlfn.IFS(Table_Sales[[#This Row],[quantity]]&lt;=3,"1-3",Table_Sales[[#This Row],[quantity]]&lt;=7,"2-7",Table_Sales[[#This Row],[quantity]]&lt;=10,"8-10",TRUE,"11 and above")</f>
        <v>2-7</v>
      </c>
      <c r="J547" t="str" cm="1">
        <f t="array" ref="J547">_xlfn.IFS(Table_Sales[[#This Row],[amount]]&lt;1000,"Under 1000",Table_Sales[[#This Row],[amount]]&lt;3000,"1000 - 2999",Table_Sales[[#This Row],[amount]]&lt;5000,"3000 - 4999",TRUE,"5000 &amp; above")</f>
        <v>Under 1000</v>
      </c>
      <c r="K547">
        <f>IF(COUNTIFS(INDEX(Table_Sales[order_id],1):Table_Sales[[#This Row],[order_id]],Table_Sales[[#This Row],[order_id]])=1,1,0)</f>
        <v>1</v>
      </c>
      <c r="L54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548" spans="1:12" x14ac:dyDescent="0.25">
      <c r="A548" t="s">
        <v>281</v>
      </c>
      <c r="B548" s="1">
        <v>197</v>
      </c>
      <c r="C548" s="1">
        <v>20</v>
      </c>
      <c r="D548">
        <v>4</v>
      </c>
      <c r="E548" t="s">
        <v>23</v>
      </c>
      <c r="F548" t="s">
        <v>32</v>
      </c>
      <c r="G548" t="s">
        <v>19</v>
      </c>
      <c r="H548">
        <f>IF(Table_Sales[[#This Row],[profit]]&lt;0,1,0)</f>
        <v>0</v>
      </c>
      <c r="I548" t="str" cm="1">
        <f t="array" ref="I548">_xlfn.IFS(Table_Sales[[#This Row],[quantity]]&lt;=3,"1-3",Table_Sales[[#This Row],[quantity]]&lt;=7,"2-7",Table_Sales[[#This Row],[quantity]]&lt;=10,"8-10",TRUE,"11 and above")</f>
        <v>2-7</v>
      </c>
      <c r="J548" t="str" cm="1">
        <f t="array" ref="J548">_xlfn.IFS(Table_Sales[[#This Row],[amount]]&lt;1000,"Under 1000",Table_Sales[[#This Row],[amount]]&lt;3000,"1000 - 2999",Table_Sales[[#This Row],[amount]]&lt;5000,"3000 - 4999",TRUE,"5000 &amp; above")</f>
        <v>Under 1000</v>
      </c>
      <c r="K548">
        <f>IF(COUNTIFS(INDEX(Table_Sales[order_id],1):Table_Sales[[#This Row],[order_id]],Table_Sales[[#This Row],[order_id]])=1,1,0)</f>
        <v>0</v>
      </c>
      <c r="L54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549" spans="1:12" x14ac:dyDescent="0.25">
      <c r="A549" t="s">
        <v>66</v>
      </c>
      <c r="B549" s="1">
        <v>76</v>
      </c>
      <c r="C549" s="1">
        <v>-54</v>
      </c>
      <c r="D549">
        <v>3</v>
      </c>
      <c r="E549" t="s">
        <v>8</v>
      </c>
      <c r="F549" t="s">
        <v>9</v>
      </c>
      <c r="G549" t="s">
        <v>10</v>
      </c>
      <c r="H549">
        <f>IF(Table_Sales[[#This Row],[profit]]&lt;0,1,0)</f>
        <v>1</v>
      </c>
      <c r="I549" t="str" cm="1">
        <f t="array" ref="I549">_xlfn.IFS(Table_Sales[[#This Row],[quantity]]&lt;=3,"1-3",Table_Sales[[#This Row],[quantity]]&lt;=7,"2-7",Table_Sales[[#This Row],[quantity]]&lt;=10,"8-10",TRUE,"11 and above")</f>
        <v>1-3</v>
      </c>
      <c r="J549" t="str" cm="1">
        <f t="array" ref="J549">_xlfn.IFS(Table_Sales[[#This Row],[amount]]&lt;1000,"Under 1000",Table_Sales[[#This Row],[amount]]&lt;3000,"1000 - 2999",Table_Sales[[#This Row],[amount]]&lt;5000,"3000 - 4999",TRUE,"5000 &amp; above")</f>
        <v>Under 1000</v>
      </c>
      <c r="K549">
        <f>IF(COUNTIFS(INDEX(Table_Sales[order_id],1):Table_Sales[[#This Row],[order_id]],Table_Sales[[#This Row],[order_id]])=1,1,0)</f>
        <v>0</v>
      </c>
      <c r="L54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550" spans="1:12" x14ac:dyDescent="0.25">
      <c r="A550" t="s">
        <v>262</v>
      </c>
      <c r="B550" s="1">
        <v>221</v>
      </c>
      <c r="C550" s="1">
        <v>-15</v>
      </c>
      <c r="D550">
        <v>2</v>
      </c>
      <c r="E550" t="s">
        <v>8</v>
      </c>
      <c r="F550" t="s">
        <v>9</v>
      </c>
      <c r="G550" t="s">
        <v>10</v>
      </c>
      <c r="H550">
        <f>IF(Table_Sales[[#This Row],[profit]]&lt;0,1,0)</f>
        <v>1</v>
      </c>
      <c r="I550" t="str" cm="1">
        <f t="array" ref="I550">_xlfn.IFS(Table_Sales[[#This Row],[quantity]]&lt;=3,"1-3",Table_Sales[[#This Row],[quantity]]&lt;=7,"2-7",Table_Sales[[#This Row],[quantity]]&lt;=10,"8-10",TRUE,"11 and above")</f>
        <v>1-3</v>
      </c>
      <c r="J550" t="str" cm="1">
        <f t="array" ref="J550">_xlfn.IFS(Table_Sales[[#This Row],[amount]]&lt;1000,"Under 1000",Table_Sales[[#This Row],[amount]]&lt;3000,"1000 - 2999",Table_Sales[[#This Row],[amount]]&lt;5000,"3000 - 4999",TRUE,"5000 &amp; above")</f>
        <v>Under 1000</v>
      </c>
      <c r="K550">
        <f>IF(COUNTIFS(INDEX(Table_Sales[order_id],1):Table_Sales[[#This Row],[order_id]],Table_Sales[[#This Row],[order_id]])=1,1,0)</f>
        <v>0</v>
      </c>
      <c r="L55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551" spans="1:12" x14ac:dyDescent="0.25">
      <c r="A551" t="s">
        <v>230</v>
      </c>
      <c r="B551" s="1">
        <v>79</v>
      </c>
      <c r="C551" s="1">
        <v>32</v>
      </c>
      <c r="D551">
        <v>3</v>
      </c>
      <c r="E551" t="s">
        <v>23</v>
      </c>
      <c r="F551" t="s">
        <v>26</v>
      </c>
      <c r="G551" t="s">
        <v>82</v>
      </c>
      <c r="H551">
        <f>IF(Table_Sales[[#This Row],[profit]]&lt;0,1,0)</f>
        <v>0</v>
      </c>
      <c r="I551" t="str" cm="1">
        <f t="array" ref="I551">_xlfn.IFS(Table_Sales[[#This Row],[quantity]]&lt;=3,"1-3",Table_Sales[[#This Row],[quantity]]&lt;=7,"2-7",Table_Sales[[#This Row],[quantity]]&lt;=10,"8-10",TRUE,"11 and above")</f>
        <v>1-3</v>
      </c>
      <c r="J551" t="str" cm="1">
        <f t="array" ref="J551">_xlfn.IFS(Table_Sales[[#This Row],[amount]]&lt;1000,"Under 1000",Table_Sales[[#This Row],[amount]]&lt;3000,"1000 - 2999",Table_Sales[[#This Row],[amount]]&lt;5000,"3000 - 4999",TRUE,"5000 &amp; above")</f>
        <v>Under 1000</v>
      </c>
      <c r="K551">
        <f>IF(COUNTIFS(INDEX(Table_Sales[order_id],1):Table_Sales[[#This Row],[order_id]],Table_Sales[[#This Row],[order_id]])=1,1,0)</f>
        <v>0</v>
      </c>
      <c r="L55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552" spans="1:12" x14ac:dyDescent="0.25">
      <c r="A552" t="s">
        <v>337</v>
      </c>
      <c r="B552" s="1">
        <v>45</v>
      </c>
      <c r="C552" s="1">
        <v>12</v>
      </c>
      <c r="D552">
        <v>7</v>
      </c>
      <c r="E552" t="s">
        <v>23</v>
      </c>
      <c r="F552" t="s">
        <v>30</v>
      </c>
      <c r="G552" t="s">
        <v>28</v>
      </c>
      <c r="H552">
        <f>IF(Table_Sales[[#This Row],[profit]]&lt;0,1,0)</f>
        <v>0</v>
      </c>
      <c r="I552" t="str" cm="1">
        <f t="array" ref="I552">_xlfn.IFS(Table_Sales[[#This Row],[quantity]]&lt;=3,"1-3",Table_Sales[[#This Row],[quantity]]&lt;=7,"2-7",Table_Sales[[#This Row],[quantity]]&lt;=10,"8-10",TRUE,"11 and above")</f>
        <v>2-7</v>
      </c>
      <c r="J552" t="str" cm="1">
        <f t="array" ref="J552">_xlfn.IFS(Table_Sales[[#This Row],[amount]]&lt;1000,"Under 1000",Table_Sales[[#This Row],[amount]]&lt;3000,"1000 - 2999",Table_Sales[[#This Row],[amount]]&lt;5000,"3000 - 4999",TRUE,"5000 &amp; above")</f>
        <v>Under 1000</v>
      </c>
      <c r="K552">
        <f>IF(COUNTIFS(INDEX(Table_Sales[order_id],1):Table_Sales[[#This Row],[order_id]],Table_Sales[[#This Row],[order_id]])=1,1,0)</f>
        <v>1</v>
      </c>
      <c r="L55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553" spans="1:12" x14ac:dyDescent="0.25">
      <c r="A553" t="s">
        <v>221</v>
      </c>
      <c r="B553" s="1">
        <v>149</v>
      </c>
      <c r="C553" s="1">
        <v>-1</v>
      </c>
      <c r="D553">
        <v>1</v>
      </c>
      <c r="E553" t="s">
        <v>23</v>
      </c>
      <c r="F553" t="s">
        <v>26</v>
      </c>
      <c r="G553" t="s">
        <v>10</v>
      </c>
      <c r="H553">
        <f>IF(Table_Sales[[#This Row],[profit]]&lt;0,1,0)</f>
        <v>1</v>
      </c>
      <c r="I553" t="str" cm="1">
        <f t="array" ref="I553">_xlfn.IFS(Table_Sales[[#This Row],[quantity]]&lt;=3,"1-3",Table_Sales[[#This Row],[quantity]]&lt;=7,"2-7",Table_Sales[[#This Row],[quantity]]&lt;=10,"8-10",TRUE,"11 and above")</f>
        <v>1-3</v>
      </c>
      <c r="J553" t="str" cm="1">
        <f t="array" ref="J553">_xlfn.IFS(Table_Sales[[#This Row],[amount]]&lt;1000,"Under 1000",Table_Sales[[#This Row],[amount]]&lt;3000,"1000 - 2999",Table_Sales[[#This Row],[amount]]&lt;5000,"3000 - 4999",TRUE,"5000 &amp; above")</f>
        <v>Under 1000</v>
      </c>
      <c r="K553">
        <f>IF(COUNTIFS(INDEX(Table_Sales[order_id],1):Table_Sales[[#This Row],[order_id]],Table_Sales[[#This Row],[order_id]])=1,1,0)</f>
        <v>0</v>
      </c>
      <c r="L55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554" spans="1:12" x14ac:dyDescent="0.25">
      <c r="A554" t="s">
        <v>301</v>
      </c>
      <c r="B554" s="1">
        <v>80</v>
      </c>
      <c r="C554" s="1">
        <v>22</v>
      </c>
      <c r="D554">
        <v>3</v>
      </c>
      <c r="E554" t="s">
        <v>23</v>
      </c>
      <c r="F554" t="s">
        <v>57</v>
      </c>
      <c r="G554" t="s">
        <v>82</v>
      </c>
      <c r="H554">
        <f>IF(Table_Sales[[#This Row],[profit]]&lt;0,1,0)</f>
        <v>0</v>
      </c>
      <c r="I554" t="str" cm="1">
        <f t="array" ref="I554">_xlfn.IFS(Table_Sales[[#This Row],[quantity]]&lt;=3,"1-3",Table_Sales[[#This Row],[quantity]]&lt;=7,"2-7",Table_Sales[[#This Row],[quantity]]&lt;=10,"8-10",TRUE,"11 and above")</f>
        <v>1-3</v>
      </c>
      <c r="J554" t="str" cm="1">
        <f t="array" ref="J554">_xlfn.IFS(Table_Sales[[#This Row],[amount]]&lt;1000,"Under 1000",Table_Sales[[#This Row],[amount]]&lt;3000,"1000 - 2999",Table_Sales[[#This Row],[amount]]&lt;5000,"3000 - 4999",TRUE,"5000 &amp; above")</f>
        <v>Under 1000</v>
      </c>
      <c r="K554">
        <f>IF(COUNTIFS(INDEX(Table_Sales[order_id],1):Table_Sales[[#This Row],[order_id]],Table_Sales[[#This Row],[order_id]])=1,1,0)</f>
        <v>0</v>
      </c>
      <c r="L55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555" spans="1:12" x14ac:dyDescent="0.25">
      <c r="A555" t="s">
        <v>256</v>
      </c>
      <c r="B555" s="1">
        <v>195</v>
      </c>
      <c r="C555" s="1">
        <v>12</v>
      </c>
      <c r="D555">
        <v>9</v>
      </c>
      <c r="E555" t="s">
        <v>23</v>
      </c>
      <c r="F555" t="s">
        <v>142</v>
      </c>
      <c r="G555" t="s">
        <v>19</v>
      </c>
      <c r="H555">
        <f>IF(Table_Sales[[#This Row],[profit]]&lt;0,1,0)</f>
        <v>0</v>
      </c>
      <c r="I555" t="str" cm="1">
        <f t="array" ref="I555">_xlfn.IFS(Table_Sales[[#This Row],[quantity]]&lt;=3,"1-3",Table_Sales[[#This Row],[quantity]]&lt;=7,"2-7",Table_Sales[[#This Row],[quantity]]&lt;=10,"8-10",TRUE,"11 and above")</f>
        <v>8-10</v>
      </c>
      <c r="J555" t="str" cm="1">
        <f t="array" ref="J555">_xlfn.IFS(Table_Sales[[#This Row],[amount]]&lt;1000,"Under 1000",Table_Sales[[#This Row],[amount]]&lt;3000,"1000 - 2999",Table_Sales[[#This Row],[amount]]&lt;5000,"3000 - 4999",TRUE,"5000 &amp; above")</f>
        <v>Under 1000</v>
      </c>
      <c r="K555">
        <f>IF(COUNTIFS(INDEX(Table_Sales[order_id],1):Table_Sales[[#This Row],[order_id]],Table_Sales[[#This Row],[order_id]])=1,1,0)</f>
        <v>0</v>
      </c>
      <c r="L55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556" spans="1:12" x14ac:dyDescent="0.25">
      <c r="A556" t="s">
        <v>54</v>
      </c>
      <c r="B556" s="1">
        <v>19</v>
      </c>
      <c r="C556" s="1">
        <v>0</v>
      </c>
      <c r="D556">
        <v>3</v>
      </c>
      <c r="E556" t="s">
        <v>23</v>
      </c>
      <c r="F556" t="s">
        <v>43</v>
      </c>
      <c r="G556" t="s">
        <v>28</v>
      </c>
      <c r="H556">
        <f>IF(Table_Sales[[#This Row],[profit]]&lt;0,1,0)</f>
        <v>0</v>
      </c>
      <c r="I556" t="str" cm="1">
        <f t="array" ref="I556">_xlfn.IFS(Table_Sales[[#This Row],[quantity]]&lt;=3,"1-3",Table_Sales[[#This Row],[quantity]]&lt;=7,"2-7",Table_Sales[[#This Row],[quantity]]&lt;=10,"8-10",TRUE,"11 and above")</f>
        <v>1-3</v>
      </c>
      <c r="J556" t="str" cm="1">
        <f t="array" ref="J556">_xlfn.IFS(Table_Sales[[#This Row],[amount]]&lt;1000,"Under 1000",Table_Sales[[#This Row],[amount]]&lt;3000,"1000 - 2999",Table_Sales[[#This Row],[amount]]&lt;5000,"3000 - 4999",TRUE,"5000 &amp; above")</f>
        <v>Under 1000</v>
      </c>
      <c r="K556">
        <f>IF(COUNTIFS(INDEX(Table_Sales[order_id],1):Table_Sales[[#This Row],[order_id]],Table_Sales[[#This Row],[order_id]])=1,1,0)</f>
        <v>0</v>
      </c>
      <c r="L55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557" spans="1:12" x14ac:dyDescent="0.25">
      <c r="A557" t="s">
        <v>132</v>
      </c>
      <c r="B557" s="1">
        <v>81</v>
      </c>
      <c r="C557" s="1">
        <v>41</v>
      </c>
      <c r="D557">
        <v>3</v>
      </c>
      <c r="E557" t="s">
        <v>23</v>
      </c>
      <c r="F557" t="s">
        <v>57</v>
      </c>
      <c r="G557" t="s">
        <v>82</v>
      </c>
      <c r="H557">
        <f>IF(Table_Sales[[#This Row],[profit]]&lt;0,1,0)</f>
        <v>0</v>
      </c>
      <c r="I557" t="str" cm="1">
        <f t="array" ref="I557">_xlfn.IFS(Table_Sales[[#This Row],[quantity]]&lt;=3,"1-3",Table_Sales[[#This Row],[quantity]]&lt;=7,"2-7",Table_Sales[[#This Row],[quantity]]&lt;=10,"8-10",TRUE,"11 and above")</f>
        <v>1-3</v>
      </c>
      <c r="J557" t="str" cm="1">
        <f t="array" ref="J557">_xlfn.IFS(Table_Sales[[#This Row],[amount]]&lt;1000,"Under 1000",Table_Sales[[#This Row],[amount]]&lt;3000,"1000 - 2999",Table_Sales[[#This Row],[amount]]&lt;5000,"3000 - 4999",TRUE,"5000 &amp; above")</f>
        <v>Under 1000</v>
      </c>
      <c r="K557">
        <f>IF(COUNTIFS(INDEX(Table_Sales[order_id],1):Table_Sales[[#This Row],[order_id]],Table_Sales[[#This Row],[order_id]])=1,1,0)</f>
        <v>0</v>
      </c>
      <c r="L55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558" spans="1:12" x14ac:dyDescent="0.25">
      <c r="A558" t="s">
        <v>338</v>
      </c>
      <c r="B558" s="1">
        <v>83</v>
      </c>
      <c r="C558" s="1">
        <v>34</v>
      </c>
      <c r="D558">
        <v>5</v>
      </c>
      <c r="E558" t="s">
        <v>23</v>
      </c>
      <c r="F558" t="s">
        <v>142</v>
      </c>
      <c r="G558" t="s">
        <v>82</v>
      </c>
      <c r="H558">
        <f>IF(Table_Sales[[#This Row],[profit]]&lt;0,1,0)</f>
        <v>0</v>
      </c>
      <c r="I558" t="str" cm="1">
        <f t="array" ref="I558">_xlfn.IFS(Table_Sales[[#This Row],[quantity]]&lt;=3,"1-3",Table_Sales[[#This Row],[quantity]]&lt;=7,"2-7",Table_Sales[[#This Row],[quantity]]&lt;=10,"8-10",TRUE,"11 and above")</f>
        <v>2-7</v>
      </c>
      <c r="J558" t="str" cm="1">
        <f t="array" ref="J558">_xlfn.IFS(Table_Sales[[#This Row],[amount]]&lt;1000,"Under 1000",Table_Sales[[#This Row],[amount]]&lt;3000,"1000 - 2999",Table_Sales[[#This Row],[amount]]&lt;5000,"3000 - 4999",TRUE,"5000 &amp; above")</f>
        <v>Under 1000</v>
      </c>
      <c r="K558">
        <f>IF(COUNTIFS(INDEX(Table_Sales[order_id],1):Table_Sales[[#This Row],[order_id]],Table_Sales[[#This Row],[order_id]])=1,1,0)</f>
        <v>1</v>
      </c>
      <c r="L55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559" spans="1:12" x14ac:dyDescent="0.25">
      <c r="A559" t="s">
        <v>49</v>
      </c>
      <c r="B559" s="1">
        <v>149</v>
      </c>
      <c r="C559" s="1">
        <v>17</v>
      </c>
      <c r="D559">
        <v>4</v>
      </c>
      <c r="E559" t="s">
        <v>12</v>
      </c>
      <c r="F559" t="s">
        <v>131</v>
      </c>
      <c r="G559" t="s">
        <v>10</v>
      </c>
      <c r="H559">
        <f>IF(Table_Sales[[#This Row],[profit]]&lt;0,1,0)</f>
        <v>0</v>
      </c>
      <c r="I559" t="str" cm="1">
        <f t="array" ref="I559">_xlfn.IFS(Table_Sales[[#This Row],[quantity]]&lt;=3,"1-3",Table_Sales[[#This Row],[quantity]]&lt;=7,"2-7",Table_Sales[[#This Row],[quantity]]&lt;=10,"8-10",TRUE,"11 and above")</f>
        <v>2-7</v>
      </c>
      <c r="J559" t="str" cm="1">
        <f t="array" ref="J559">_xlfn.IFS(Table_Sales[[#This Row],[amount]]&lt;1000,"Under 1000",Table_Sales[[#This Row],[amount]]&lt;3000,"1000 - 2999",Table_Sales[[#This Row],[amount]]&lt;5000,"3000 - 4999",TRUE,"5000 &amp; above")</f>
        <v>Under 1000</v>
      </c>
      <c r="K559">
        <f>IF(COUNTIFS(INDEX(Table_Sales[order_id],1):Table_Sales[[#This Row],[order_id]],Table_Sales[[#This Row],[order_id]])=1,1,0)</f>
        <v>0</v>
      </c>
      <c r="L55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560" spans="1:12" x14ac:dyDescent="0.25">
      <c r="A560" t="s">
        <v>339</v>
      </c>
      <c r="B560" s="1">
        <v>193</v>
      </c>
      <c r="C560" s="1">
        <v>46</v>
      </c>
      <c r="D560">
        <v>1</v>
      </c>
      <c r="E560" t="s">
        <v>8</v>
      </c>
      <c r="F560" t="s">
        <v>18</v>
      </c>
      <c r="G560" t="s">
        <v>19</v>
      </c>
      <c r="H560">
        <f>IF(Table_Sales[[#This Row],[profit]]&lt;0,1,0)</f>
        <v>0</v>
      </c>
      <c r="I560" t="str" cm="1">
        <f t="array" ref="I560">_xlfn.IFS(Table_Sales[[#This Row],[quantity]]&lt;=3,"1-3",Table_Sales[[#This Row],[quantity]]&lt;=7,"2-7",Table_Sales[[#This Row],[quantity]]&lt;=10,"8-10",TRUE,"11 and above")</f>
        <v>1-3</v>
      </c>
      <c r="J560" t="str" cm="1">
        <f t="array" ref="J560">_xlfn.IFS(Table_Sales[[#This Row],[amount]]&lt;1000,"Under 1000",Table_Sales[[#This Row],[amount]]&lt;3000,"1000 - 2999",Table_Sales[[#This Row],[amount]]&lt;5000,"3000 - 4999",TRUE,"5000 &amp; above")</f>
        <v>Under 1000</v>
      </c>
      <c r="K560">
        <f>IF(COUNTIFS(INDEX(Table_Sales[order_id],1):Table_Sales[[#This Row],[order_id]],Table_Sales[[#This Row],[order_id]])=1,1,0)</f>
        <v>1</v>
      </c>
      <c r="L56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561" spans="1:12" x14ac:dyDescent="0.25">
      <c r="A561" t="s">
        <v>88</v>
      </c>
      <c r="B561" s="1">
        <v>85</v>
      </c>
      <c r="C561" s="1">
        <v>24</v>
      </c>
      <c r="D561">
        <v>10</v>
      </c>
      <c r="E561" t="s">
        <v>23</v>
      </c>
      <c r="F561" t="s">
        <v>30</v>
      </c>
      <c r="G561" t="s">
        <v>82</v>
      </c>
      <c r="H561">
        <f>IF(Table_Sales[[#This Row],[profit]]&lt;0,1,0)</f>
        <v>0</v>
      </c>
      <c r="I561" t="str" cm="1">
        <f t="array" ref="I561">_xlfn.IFS(Table_Sales[[#This Row],[quantity]]&lt;=3,"1-3",Table_Sales[[#This Row],[quantity]]&lt;=7,"2-7",Table_Sales[[#This Row],[quantity]]&lt;=10,"8-10",TRUE,"11 and above")</f>
        <v>8-10</v>
      </c>
      <c r="J561" t="str" cm="1">
        <f t="array" ref="J561">_xlfn.IFS(Table_Sales[[#This Row],[amount]]&lt;1000,"Under 1000",Table_Sales[[#This Row],[amount]]&lt;3000,"1000 - 2999",Table_Sales[[#This Row],[amount]]&lt;5000,"3000 - 4999",TRUE,"5000 &amp; above")</f>
        <v>Under 1000</v>
      </c>
      <c r="K561">
        <f>IF(COUNTIFS(INDEX(Table_Sales[order_id],1):Table_Sales[[#This Row],[order_id]],Table_Sales[[#This Row],[order_id]])=1,1,0)</f>
        <v>0</v>
      </c>
      <c r="L56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562" spans="1:12" x14ac:dyDescent="0.25">
      <c r="A562" t="s">
        <v>221</v>
      </c>
      <c r="B562" s="1">
        <v>44</v>
      </c>
      <c r="C562" s="1">
        <v>-17</v>
      </c>
      <c r="D562">
        <v>5</v>
      </c>
      <c r="E562" t="s">
        <v>23</v>
      </c>
      <c r="F562" t="s">
        <v>26</v>
      </c>
      <c r="G562" t="s">
        <v>28</v>
      </c>
      <c r="H562">
        <f>IF(Table_Sales[[#This Row],[profit]]&lt;0,1,0)</f>
        <v>1</v>
      </c>
      <c r="I562" t="str" cm="1">
        <f t="array" ref="I562">_xlfn.IFS(Table_Sales[[#This Row],[quantity]]&lt;=3,"1-3",Table_Sales[[#This Row],[quantity]]&lt;=7,"2-7",Table_Sales[[#This Row],[quantity]]&lt;=10,"8-10",TRUE,"11 and above")</f>
        <v>2-7</v>
      </c>
      <c r="J562" t="str" cm="1">
        <f t="array" ref="J562">_xlfn.IFS(Table_Sales[[#This Row],[amount]]&lt;1000,"Under 1000",Table_Sales[[#This Row],[amount]]&lt;3000,"1000 - 2999",Table_Sales[[#This Row],[amount]]&lt;5000,"3000 - 4999",TRUE,"5000 &amp; above")</f>
        <v>Under 1000</v>
      </c>
      <c r="K562">
        <f>IF(COUNTIFS(INDEX(Table_Sales[order_id],1):Table_Sales[[#This Row],[order_id]],Table_Sales[[#This Row],[order_id]])=1,1,0)</f>
        <v>0</v>
      </c>
      <c r="L56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563" spans="1:12" x14ac:dyDescent="0.25">
      <c r="A563" t="s">
        <v>340</v>
      </c>
      <c r="B563" s="1">
        <v>149</v>
      </c>
      <c r="C563" s="1">
        <v>-40</v>
      </c>
      <c r="D563">
        <v>2</v>
      </c>
      <c r="E563" t="s">
        <v>8</v>
      </c>
      <c r="F563" t="s">
        <v>21</v>
      </c>
      <c r="G563" t="s">
        <v>10</v>
      </c>
      <c r="H563">
        <f>IF(Table_Sales[[#This Row],[profit]]&lt;0,1,0)</f>
        <v>1</v>
      </c>
      <c r="I563" t="str" cm="1">
        <f t="array" ref="I563">_xlfn.IFS(Table_Sales[[#This Row],[quantity]]&lt;=3,"1-3",Table_Sales[[#This Row],[quantity]]&lt;=7,"2-7",Table_Sales[[#This Row],[quantity]]&lt;=10,"8-10",TRUE,"11 and above")</f>
        <v>1-3</v>
      </c>
      <c r="J563" t="str" cm="1">
        <f t="array" ref="J563">_xlfn.IFS(Table_Sales[[#This Row],[amount]]&lt;1000,"Under 1000",Table_Sales[[#This Row],[amount]]&lt;3000,"1000 - 2999",Table_Sales[[#This Row],[amount]]&lt;5000,"3000 - 4999",TRUE,"5000 &amp; above")</f>
        <v>Under 1000</v>
      </c>
      <c r="K563">
        <f>IF(COUNTIFS(INDEX(Table_Sales[order_id],1):Table_Sales[[#This Row],[order_id]],Table_Sales[[#This Row],[order_id]])=1,1,0)</f>
        <v>1</v>
      </c>
      <c r="L56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564" spans="1:12" x14ac:dyDescent="0.25">
      <c r="A564" t="s">
        <v>341</v>
      </c>
      <c r="B564" s="1">
        <v>26</v>
      </c>
      <c r="C564" s="1">
        <v>0</v>
      </c>
      <c r="D564">
        <v>2</v>
      </c>
      <c r="E564" t="s">
        <v>23</v>
      </c>
      <c r="F564" t="s">
        <v>32</v>
      </c>
      <c r="G564" t="s">
        <v>10</v>
      </c>
      <c r="H564">
        <f>IF(Table_Sales[[#This Row],[profit]]&lt;0,1,0)</f>
        <v>0</v>
      </c>
      <c r="I564" t="str" cm="1">
        <f t="array" ref="I564">_xlfn.IFS(Table_Sales[[#This Row],[quantity]]&lt;=3,"1-3",Table_Sales[[#This Row],[quantity]]&lt;=7,"2-7",Table_Sales[[#This Row],[quantity]]&lt;=10,"8-10",TRUE,"11 and above")</f>
        <v>1-3</v>
      </c>
      <c r="J564" t="str" cm="1">
        <f t="array" ref="J564">_xlfn.IFS(Table_Sales[[#This Row],[amount]]&lt;1000,"Under 1000",Table_Sales[[#This Row],[amount]]&lt;3000,"1000 - 2999",Table_Sales[[#This Row],[amount]]&lt;5000,"3000 - 4999",TRUE,"5000 &amp; above")</f>
        <v>Under 1000</v>
      </c>
      <c r="K564">
        <f>IF(COUNTIFS(INDEX(Table_Sales[order_id],1):Table_Sales[[#This Row],[order_id]],Table_Sales[[#This Row],[order_id]])=1,1,0)</f>
        <v>1</v>
      </c>
      <c r="L56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565" spans="1:12" x14ac:dyDescent="0.25">
      <c r="A565" t="s">
        <v>258</v>
      </c>
      <c r="B565" s="1">
        <v>86</v>
      </c>
      <c r="C565" s="1">
        <v>0</v>
      </c>
      <c r="D565">
        <v>4</v>
      </c>
      <c r="E565" t="s">
        <v>23</v>
      </c>
      <c r="F565" t="s">
        <v>81</v>
      </c>
      <c r="G565" t="s">
        <v>82</v>
      </c>
      <c r="H565">
        <f>IF(Table_Sales[[#This Row],[profit]]&lt;0,1,0)</f>
        <v>0</v>
      </c>
      <c r="I565" t="str" cm="1">
        <f t="array" ref="I565">_xlfn.IFS(Table_Sales[[#This Row],[quantity]]&lt;=3,"1-3",Table_Sales[[#This Row],[quantity]]&lt;=7,"2-7",Table_Sales[[#This Row],[quantity]]&lt;=10,"8-10",TRUE,"11 and above")</f>
        <v>2-7</v>
      </c>
      <c r="J565" t="str" cm="1">
        <f t="array" ref="J565">_xlfn.IFS(Table_Sales[[#This Row],[amount]]&lt;1000,"Under 1000",Table_Sales[[#This Row],[amount]]&lt;3000,"1000 - 2999",Table_Sales[[#This Row],[amount]]&lt;5000,"3000 - 4999",TRUE,"5000 &amp; above")</f>
        <v>Under 1000</v>
      </c>
      <c r="K565">
        <f>IF(COUNTIFS(INDEX(Table_Sales[order_id],1):Table_Sales[[#This Row],[order_id]],Table_Sales[[#This Row],[order_id]])=1,1,0)</f>
        <v>0</v>
      </c>
      <c r="L56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566" spans="1:12" x14ac:dyDescent="0.25">
      <c r="A566" t="s">
        <v>342</v>
      </c>
      <c r="B566" s="1">
        <v>86</v>
      </c>
      <c r="C566" s="1">
        <v>22</v>
      </c>
      <c r="D566">
        <v>2</v>
      </c>
      <c r="E566" t="s">
        <v>23</v>
      </c>
      <c r="F566" t="s">
        <v>26</v>
      </c>
      <c r="G566" t="s">
        <v>82</v>
      </c>
      <c r="H566">
        <f>IF(Table_Sales[[#This Row],[profit]]&lt;0,1,0)</f>
        <v>0</v>
      </c>
      <c r="I566" t="str" cm="1">
        <f t="array" ref="I566">_xlfn.IFS(Table_Sales[[#This Row],[quantity]]&lt;=3,"1-3",Table_Sales[[#This Row],[quantity]]&lt;=7,"2-7",Table_Sales[[#This Row],[quantity]]&lt;=10,"8-10",TRUE,"11 and above")</f>
        <v>1-3</v>
      </c>
      <c r="J566" t="str" cm="1">
        <f t="array" ref="J566">_xlfn.IFS(Table_Sales[[#This Row],[amount]]&lt;1000,"Under 1000",Table_Sales[[#This Row],[amount]]&lt;3000,"1000 - 2999",Table_Sales[[#This Row],[amount]]&lt;5000,"3000 - 4999",TRUE,"5000 &amp; above")</f>
        <v>Under 1000</v>
      </c>
      <c r="K566">
        <f>IF(COUNTIFS(INDEX(Table_Sales[order_id],1):Table_Sales[[#This Row],[order_id]],Table_Sales[[#This Row],[order_id]])=1,1,0)</f>
        <v>1</v>
      </c>
      <c r="L56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567" spans="1:12" x14ac:dyDescent="0.25">
      <c r="A567" t="s">
        <v>60</v>
      </c>
      <c r="B567" s="1">
        <v>79</v>
      </c>
      <c r="C567" s="1">
        <v>16</v>
      </c>
      <c r="D567">
        <v>3</v>
      </c>
      <c r="E567" t="s">
        <v>23</v>
      </c>
      <c r="F567" t="s">
        <v>81</v>
      </c>
      <c r="G567" t="s">
        <v>10</v>
      </c>
      <c r="H567">
        <f>IF(Table_Sales[[#This Row],[profit]]&lt;0,1,0)</f>
        <v>0</v>
      </c>
      <c r="I567" t="str" cm="1">
        <f t="array" ref="I567">_xlfn.IFS(Table_Sales[[#This Row],[quantity]]&lt;=3,"1-3",Table_Sales[[#This Row],[quantity]]&lt;=7,"2-7",Table_Sales[[#This Row],[quantity]]&lt;=10,"8-10",TRUE,"11 and above")</f>
        <v>1-3</v>
      </c>
      <c r="J567" t="str" cm="1">
        <f t="array" ref="J567">_xlfn.IFS(Table_Sales[[#This Row],[amount]]&lt;1000,"Under 1000",Table_Sales[[#This Row],[amount]]&lt;3000,"1000 - 2999",Table_Sales[[#This Row],[amount]]&lt;5000,"3000 - 4999",TRUE,"5000 &amp; above")</f>
        <v>Under 1000</v>
      </c>
      <c r="K567">
        <f>IF(COUNTIFS(INDEX(Table_Sales[order_id],1):Table_Sales[[#This Row],[order_id]],Table_Sales[[#This Row],[order_id]])=1,1,0)</f>
        <v>0</v>
      </c>
      <c r="L56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568" spans="1:12" x14ac:dyDescent="0.25">
      <c r="A568" t="s">
        <v>343</v>
      </c>
      <c r="B568" s="1">
        <v>193</v>
      </c>
      <c r="C568" s="1">
        <v>-275</v>
      </c>
      <c r="D568">
        <v>3</v>
      </c>
      <c r="E568" t="s">
        <v>8</v>
      </c>
      <c r="F568" t="s">
        <v>21</v>
      </c>
      <c r="G568" t="s">
        <v>19</v>
      </c>
      <c r="H568">
        <f>IF(Table_Sales[[#This Row],[profit]]&lt;0,1,0)</f>
        <v>1</v>
      </c>
      <c r="I568" t="str" cm="1">
        <f t="array" ref="I568">_xlfn.IFS(Table_Sales[[#This Row],[quantity]]&lt;=3,"1-3",Table_Sales[[#This Row],[quantity]]&lt;=7,"2-7",Table_Sales[[#This Row],[quantity]]&lt;=10,"8-10",TRUE,"11 and above")</f>
        <v>1-3</v>
      </c>
      <c r="J568" t="str" cm="1">
        <f t="array" ref="J568">_xlfn.IFS(Table_Sales[[#This Row],[amount]]&lt;1000,"Under 1000",Table_Sales[[#This Row],[amount]]&lt;3000,"1000 - 2999",Table_Sales[[#This Row],[amount]]&lt;5000,"3000 - 4999",TRUE,"5000 &amp; above")</f>
        <v>Under 1000</v>
      </c>
      <c r="K568">
        <f>IF(COUNTIFS(INDEX(Table_Sales[order_id],1):Table_Sales[[#This Row],[order_id]],Table_Sales[[#This Row],[order_id]])=1,1,0)</f>
        <v>1</v>
      </c>
      <c r="L56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569" spans="1:12" x14ac:dyDescent="0.25">
      <c r="A569" t="s">
        <v>163</v>
      </c>
      <c r="B569" s="1">
        <v>148</v>
      </c>
      <c r="C569" s="1">
        <v>0</v>
      </c>
      <c r="D569">
        <v>3</v>
      </c>
      <c r="E569" t="s">
        <v>23</v>
      </c>
      <c r="F569" t="s">
        <v>26</v>
      </c>
      <c r="G569" t="s">
        <v>10</v>
      </c>
      <c r="H569">
        <f>IF(Table_Sales[[#This Row],[profit]]&lt;0,1,0)</f>
        <v>0</v>
      </c>
      <c r="I569" t="str" cm="1">
        <f t="array" ref="I569">_xlfn.IFS(Table_Sales[[#This Row],[quantity]]&lt;=3,"1-3",Table_Sales[[#This Row],[quantity]]&lt;=7,"2-7",Table_Sales[[#This Row],[quantity]]&lt;=10,"8-10",TRUE,"11 and above")</f>
        <v>1-3</v>
      </c>
      <c r="J569" t="str" cm="1">
        <f t="array" ref="J569">_xlfn.IFS(Table_Sales[[#This Row],[amount]]&lt;1000,"Under 1000",Table_Sales[[#This Row],[amount]]&lt;3000,"1000 - 2999",Table_Sales[[#This Row],[amount]]&lt;5000,"3000 - 4999",TRUE,"5000 &amp; above")</f>
        <v>Under 1000</v>
      </c>
      <c r="K569">
        <f>IF(COUNTIFS(INDEX(Table_Sales[order_id],1):Table_Sales[[#This Row],[order_id]],Table_Sales[[#This Row],[order_id]])=1,1,0)</f>
        <v>0</v>
      </c>
      <c r="L56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570" spans="1:12" x14ac:dyDescent="0.25">
      <c r="A570" t="s">
        <v>344</v>
      </c>
      <c r="B570" s="1">
        <v>70</v>
      </c>
      <c r="C570" s="1">
        <v>-14</v>
      </c>
      <c r="D570">
        <v>2</v>
      </c>
      <c r="E570" t="s">
        <v>12</v>
      </c>
      <c r="F570" t="s">
        <v>131</v>
      </c>
      <c r="G570" t="s">
        <v>28</v>
      </c>
      <c r="H570">
        <f>IF(Table_Sales[[#This Row],[profit]]&lt;0,1,0)</f>
        <v>1</v>
      </c>
      <c r="I570" t="str" cm="1">
        <f t="array" ref="I570">_xlfn.IFS(Table_Sales[[#This Row],[quantity]]&lt;=3,"1-3",Table_Sales[[#This Row],[quantity]]&lt;=7,"2-7",Table_Sales[[#This Row],[quantity]]&lt;=10,"8-10",TRUE,"11 and above")</f>
        <v>1-3</v>
      </c>
      <c r="J570" t="str" cm="1">
        <f t="array" ref="J570">_xlfn.IFS(Table_Sales[[#This Row],[amount]]&lt;1000,"Under 1000",Table_Sales[[#This Row],[amount]]&lt;3000,"1000 - 2999",Table_Sales[[#This Row],[amount]]&lt;5000,"3000 - 4999",TRUE,"5000 &amp; above")</f>
        <v>Under 1000</v>
      </c>
      <c r="K570">
        <f>IF(COUNTIFS(INDEX(Table_Sales[order_id],1):Table_Sales[[#This Row],[order_id]],Table_Sales[[#This Row],[order_id]])=1,1,0)</f>
        <v>1</v>
      </c>
      <c r="L57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571" spans="1:12" x14ac:dyDescent="0.25">
      <c r="A571" t="s">
        <v>345</v>
      </c>
      <c r="B571" s="1">
        <v>148</v>
      </c>
      <c r="C571" s="1">
        <v>59</v>
      </c>
      <c r="D571">
        <v>3</v>
      </c>
      <c r="E571" t="s">
        <v>23</v>
      </c>
      <c r="F571" t="s">
        <v>30</v>
      </c>
      <c r="G571" t="s">
        <v>10</v>
      </c>
      <c r="H571">
        <f>IF(Table_Sales[[#This Row],[profit]]&lt;0,1,0)</f>
        <v>0</v>
      </c>
      <c r="I571" t="str" cm="1">
        <f t="array" ref="I571">_xlfn.IFS(Table_Sales[[#This Row],[quantity]]&lt;=3,"1-3",Table_Sales[[#This Row],[quantity]]&lt;=7,"2-7",Table_Sales[[#This Row],[quantity]]&lt;=10,"8-10",TRUE,"11 and above")</f>
        <v>1-3</v>
      </c>
      <c r="J571" t="str" cm="1">
        <f t="array" ref="J571">_xlfn.IFS(Table_Sales[[#This Row],[amount]]&lt;1000,"Under 1000",Table_Sales[[#This Row],[amount]]&lt;3000,"1000 - 2999",Table_Sales[[#This Row],[amount]]&lt;5000,"3000 - 4999",TRUE,"5000 &amp; above")</f>
        <v>Under 1000</v>
      </c>
      <c r="K571">
        <f>IF(COUNTIFS(INDEX(Table_Sales[order_id],1):Table_Sales[[#This Row],[order_id]],Table_Sales[[#This Row],[order_id]])=1,1,0)</f>
        <v>1</v>
      </c>
      <c r="L57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572" spans="1:12" x14ac:dyDescent="0.25">
      <c r="A572" t="s">
        <v>46</v>
      </c>
      <c r="B572" s="1">
        <v>190</v>
      </c>
      <c r="C572" s="1">
        <v>19</v>
      </c>
      <c r="D572">
        <v>9</v>
      </c>
      <c r="E572" t="s">
        <v>12</v>
      </c>
      <c r="F572" t="s">
        <v>131</v>
      </c>
      <c r="G572" t="s">
        <v>19</v>
      </c>
      <c r="H572">
        <f>IF(Table_Sales[[#This Row],[profit]]&lt;0,1,0)</f>
        <v>0</v>
      </c>
      <c r="I572" t="str" cm="1">
        <f t="array" ref="I572">_xlfn.IFS(Table_Sales[[#This Row],[quantity]]&lt;=3,"1-3",Table_Sales[[#This Row],[quantity]]&lt;=7,"2-7",Table_Sales[[#This Row],[quantity]]&lt;=10,"8-10",TRUE,"11 and above")</f>
        <v>8-10</v>
      </c>
      <c r="J572" t="str" cm="1">
        <f t="array" ref="J572">_xlfn.IFS(Table_Sales[[#This Row],[amount]]&lt;1000,"Under 1000",Table_Sales[[#This Row],[amount]]&lt;3000,"1000 - 2999",Table_Sales[[#This Row],[amount]]&lt;5000,"3000 - 4999",TRUE,"5000 &amp; above")</f>
        <v>Under 1000</v>
      </c>
      <c r="K572">
        <f>IF(COUNTIFS(INDEX(Table_Sales[order_id],1):Table_Sales[[#This Row],[order_id]],Table_Sales[[#This Row],[order_id]])=1,1,0)</f>
        <v>0</v>
      </c>
      <c r="L57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573" spans="1:12" x14ac:dyDescent="0.25">
      <c r="A573" t="s">
        <v>260</v>
      </c>
      <c r="B573" s="1">
        <v>52</v>
      </c>
      <c r="C573" s="1">
        <v>14</v>
      </c>
      <c r="D573">
        <v>2</v>
      </c>
      <c r="E573" t="s">
        <v>23</v>
      </c>
      <c r="F573" t="s">
        <v>57</v>
      </c>
      <c r="G573" t="s">
        <v>10</v>
      </c>
      <c r="H573">
        <f>IF(Table_Sales[[#This Row],[profit]]&lt;0,1,0)</f>
        <v>0</v>
      </c>
      <c r="I573" t="str" cm="1">
        <f t="array" ref="I573">_xlfn.IFS(Table_Sales[[#This Row],[quantity]]&lt;=3,"1-3",Table_Sales[[#This Row],[quantity]]&lt;=7,"2-7",Table_Sales[[#This Row],[quantity]]&lt;=10,"8-10",TRUE,"11 and above")</f>
        <v>1-3</v>
      </c>
      <c r="J573" t="str" cm="1">
        <f t="array" ref="J573">_xlfn.IFS(Table_Sales[[#This Row],[amount]]&lt;1000,"Under 1000",Table_Sales[[#This Row],[amount]]&lt;3000,"1000 - 2999",Table_Sales[[#This Row],[amount]]&lt;5000,"3000 - 4999",TRUE,"5000 &amp; above")</f>
        <v>Under 1000</v>
      </c>
      <c r="K573">
        <f>IF(COUNTIFS(INDEX(Table_Sales[order_id],1):Table_Sales[[#This Row],[order_id]],Table_Sales[[#This Row],[order_id]])=1,1,0)</f>
        <v>0</v>
      </c>
      <c r="L57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574" spans="1:12" x14ac:dyDescent="0.25">
      <c r="A574" t="s">
        <v>327</v>
      </c>
      <c r="B574" s="1">
        <v>147</v>
      </c>
      <c r="C574" s="1">
        <v>44</v>
      </c>
      <c r="D574">
        <v>3</v>
      </c>
      <c r="E574" t="s">
        <v>23</v>
      </c>
      <c r="F574" t="s">
        <v>26</v>
      </c>
      <c r="G574" t="s">
        <v>10</v>
      </c>
      <c r="H574">
        <f>IF(Table_Sales[[#This Row],[profit]]&lt;0,1,0)</f>
        <v>0</v>
      </c>
      <c r="I574" t="str" cm="1">
        <f t="array" ref="I574">_xlfn.IFS(Table_Sales[[#This Row],[quantity]]&lt;=3,"1-3",Table_Sales[[#This Row],[quantity]]&lt;=7,"2-7",Table_Sales[[#This Row],[quantity]]&lt;=10,"8-10",TRUE,"11 and above")</f>
        <v>1-3</v>
      </c>
      <c r="J574" t="str" cm="1">
        <f t="array" ref="J574">_xlfn.IFS(Table_Sales[[#This Row],[amount]]&lt;1000,"Under 1000",Table_Sales[[#This Row],[amount]]&lt;3000,"1000 - 2999",Table_Sales[[#This Row],[amount]]&lt;5000,"3000 - 4999",TRUE,"5000 &amp; above")</f>
        <v>Under 1000</v>
      </c>
      <c r="K574">
        <f>IF(COUNTIFS(INDEX(Table_Sales[order_id],1):Table_Sales[[#This Row],[order_id]],Table_Sales[[#This Row],[order_id]])=1,1,0)</f>
        <v>0</v>
      </c>
      <c r="L57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575" spans="1:12" x14ac:dyDescent="0.25">
      <c r="A575" t="s">
        <v>191</v>
      </c>
      <c r="B575" s="1">
        <v>190</v>
      </c>
      <c r="C575" s="1">
        <v>68</v>
      </c>
      <c r="D575">
        <v>8</v>
      </c>
      <c r="E575" t="s">
        <v>23</v>
      </c>
      <c r="F575" t="s">
        <v>81</v>
      </c>
      <c r="G575" t="s">
        <v>19</v>
      </c>
      <c r="H575">
        <f>IF(Table_Sales[[#This Row],[profit]]&lt;0,1,0)</f>
        <v>0</v>
      </c>
      <c r="I575" t="str" cm="1">
        <f t="array" ref="I575">_xlfn.IFS(Table_Sales[[#This Row],[quantity]]&lt;=3,"1-3",Table_Sales[[#This Row],[quantity]]&lt;=7,"2-7",Table_Sales[[#This Row],[quantity]]&lt;=10,"8-10",TRUE,"11 and above")</f>
        <v>8-10</v>
      </c>
      <c r="J575" t="str" cm="1">
        <f t="array" ref="J575">_xlfn.IFS(Table_Sales[[#This Row],[amount]]&lt;1000,"Under 1000",Table_Sales[[#This Row],[amount]]&lt;3000,"1000 - 2999",Table_Sales[[#This Row],[amount]]&lt;5000,"3000 - 4999",TRUE,"5000 &amp; above")</f>
        <v>Under 1000</v>
      </c>
      <c r="K575">
        <f>IF(COUNTIFS(INDEX(Table_Sales[order_id],1):Table_Sales[[#This Row],[order_id]],Table_Sales[[#This Row],[order_id]])=1,1,0)</f>
        <v>0</v>
      </c>
      <c r="L57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576" spans="1:12" x14ac:dyDescent="0.25">
      <c r="A576" t="s">
        <v>346</v>
      </c>
      <c r="B576" s="1">
        <v>80</v>
      </c>
      <c r="C576" s="1">
        <v>-56</v>
      </c>
      <c r="D576">
        <v>4</v>
      </c>
      <c r="E576" t="s">
        <v>8</v>
      </c>
      <c r="F576" t="s">
        <v>9</v>
      </c>
      <c r="G576" t="s">
        <v>28</v>
      </c>
      <c r="H576">
        <f>IF(Table_Sales[[#This Row],[profit]]&lt;0,1,0)</f>
        <v>1</v>
      </c>
      <c r="I576" t="str" cm="1">
        <f t="array" ref="I576">_xlfn.IFS(Table_Sales[[#This Row],[quantity]]&lt;=3,"1-3",Table_Sales[[#This Row],[quantity]]&lt;=7,"2-7",Table_Sales[[#This Row],[quantity]]&lt;=10,"8-10",TRUE,"11 and above")</f>
        <v>2-7</v>
      </c>
      <c r="J576" t="str" cm="1">
        <f t="array" ref="J576">_xlfn.IFS(Table_Sales[[#This Row],[amount]]&lt;1000,"Under 1000",Table_Sales[[#This Row],[amount]]&lt;3000,"1000 - 2999",Table_Sales[[#This Row],[amount]]&lt;5000,"3000 - 4999",TRUE,"5000 &amp; above")</f>
        <v>Under 1000</v>
      </c>
      <c r="K576">
        <f>IF(COUNTIFS(INDEX(Table_Sales[order_id],1):Table_Sales[[#This Row],[order_id]],Table_Sales[[#This Row],[order_id]])=1,1,0)</f>
        <v>1</v>
      </c>
      <c r="L57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577" spans="1:12" x14ac:dyDescent="0.25">
      <c r="A577" t="s">
        <v>133</v>
      </c>
      <c r="B577" s="1">
        <v>147</v>
      </c>
      <c r="C577" s="1">
        <v>48</v>
      </c>
      <c r="D577">
        <v>3</v>
      </c>
      <c r="E577" t="s">
        <v>23</v>
      </c>
      <c r="F577" t="s">
        <v>26</v>
      </c>
      <c r="G577" t="s">
        <v>10</v>
      </c>
      <c r="H577">
        <f>IF(Table_Sales[[#This Row],[profit]]&lt;0,1,0)</f>
        <v>0</v>
      </c>
      <c r="I577" t="str" cm="1">
        <f t="array" ref="I577">_xlfn.IFS(Table_Sales[[#This Row],[quantity]]&lt;=3,"1-3",Table_Sales[[#This Row],[quantity]]&lt;=7,"2-7",Table_Sales[[#This Row],[quantity]]&lt;=10,"8-10",TRUE,"11 and above")</f>
        <v>1-3</v>
      </c>
      <c r="J577" t="str" cm="1">
        <f t="array" ref="J577">_xlfn.IFS(Table_Sales[[#This Row],[amount]]&lt;1000,"Under 1000",Table_Sales[[#This Row],[amount]]&lt;3000,"1000 - 2999",Table_Sales[[#This Row],[amount]]&lt;5000,"3000 - 4999",TRUE,"5000 &amp; above")</f>
        <v>Under 1000</v>
      </c>
      <c r="K577">
        <f>IF(COUNTIFS(INDEX(Table_Sales[order_id],1):Table_Sales[[#This Row],[order_id]],Table_Sales[[#This Row],[order_id]])=1,1,0)</f>
        <v>0</v>
      </c>
      <c r="L57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578" spans="1:12" x14ac:dyDescent="0.25">
      <c r="A578" t="s">
        <v>186</v>
      </c>
      <c r="B578" s="1">
        <v>66</v>
      </c>
      <c r="C578" s="1">
        <v>12</v>
      </c>
      <c r="D578">
        <v>3</v>
      </c>
      <c r="E578" t="s">
        <v>23</v>
      </c>
      <c r="F578" t="s">
        <v>57</v>
      </c>
      <c r="G578" t="s">
        <v>10</v>
      </c>
      <c r="H578">
        <f>IF(Table_Sales[[#This Row],[profit]]&lt;0,1,0)</f>
        <v>0</v>
      </c>
      <c r="I578" t="str" cm="1">
        <f t="array" ref="I578">_xlfn.IFS(Table_Sales[[#This Row],[quantity]]&lt;=3,"1-3",Table_Sales[[#This Row],[quantity]]&lt;=7,"2-7",Table_Sales[[#This Row],[quantity]]&lt;=10,"8-10",TRUE,"11 and above")</f>
        <v>1-3</v>
      </c>
      <c r="J578" t="str" cm="1">
        <f t="array" ref="J578">_xlfn.IFS(Table_Sales[[#This Row],[amount]]&lt;1000,"Under 1000",Table_Sales[[#This Row],[amount]]&lt;3000,"1000 - 2999",Table_Sales[[#This Row],[amount]]&lt;5000,"3000 - 4999",TRUE,"5000 &amp; above")</f>
        <v>Under 1000</v>
      </c>
      <c r="K578">
        <f>IF(COUNTIFS(INDEX(Table_Sales[order_id],1):Table_Sales[[#This Row],[order_id]],Table_Sales[[#This Row],[order_id]])=1,1,0)</f>
        <v>0</v>
      </c>
      <c r="L57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579" spans="1:12" x14ac:dyDescent="0.25">
      <c r="A579" t="s">
        <v>347</v>
      </c>
      <c r="B579" s="1">
        <v>86</v>
      </c>
      <c r="C579" s="1">
        <v>8</v>
      </c>
      <c r="D579">
        <v>2</v>
      </c>
      <c r="E579" t="s">
        <v>23</v>
      </c>
      <c r="F579" t="s">
        <v>26</v>
      </c>
      <c r="G579" t="s">
        <v>82</v>
      </c>
      <c r="H579">
        <f>IF(Table_Sales[[#This Row],[profit]]&lt;0,1,0)</f>
        <v>0</v>
      </c>
      <c r="I579" t="str" cm="1">
        <f t="array" ref="I579">_xlfn.IFS(Table_Sales[[#This Row],[quantity]]&lt;=3,"1-3",Table_Sales[[#This Row],[quantity]]&lt;=7,"2-7",Table_Sales[[#This Row],[quantity]]&lt;=10,"8-10",TRUE,"11 and above")</f>
        <v>1-3</v>
      </c>
      <c r="J579" t="str" cm="1">
        <f t="array" ref="J579">_xlfn.IFS(Table_Sales[[#This Row],[amount]]&lt;1000,"Under 1000",Table_Sales[[#This Row],[amount]]&lt;3000,"1000 - 2999",Table_Sales[[#This Row],[amount]]&lt;5000,"3000 - 4999",TRUE,"5000 &amp; above")</f>
        <v>Under 1000</v>
      </c>
      <c r="K579">
        <f>IF(COUNTIFS(INDEX(Table_Sales[order_id],1):Table_Sales[[#This Row],[order_id]],Table_Sales[[#This Row],[order_id]])=1,1,0)</f>
        <v>1</v>
      </c>
      <c r="L57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580" spans="1:12" x14ac:dyDescent="0.25">
      <c r="A580" t="s">
        <v>273</v>
      </c>
      <c r="B580" s="1">
        <v>88</v>
      </c>
      <c r="C580" s="1">
        <v>19</v>
      </c>
      <c r="D580">
        <v>2</v>
      </c>
      <c r="E580" t="s">
        <v>23</v>
      </c>
      <c r="F580" t="s">
        <v>142</v>
      </c>
      <c r="G580" t="s">
        <v>82</v>
      </c>
      <c r="H580">
        <f>IF(Table_Sales[[#This Row],[profit]]&lt;0,1,0)</f>
        <v>0</v>
      </c>
      <c r="I580" t="str" cm="1">
        <f t="array" ref="I580">_xlfn.IFS(Table_Sales[[#This Row],[quantity]]&lt;=3,"1-3",Table_Sales[[#This Row],[quantity]]&lt;=7,"2-7",Table_Sales[[#This Row],[quantity]]&lt;=10,"8-10",TRUE,"11 and above")</f>
        <v>1-3</v>
      </c>
      <c r="J580" t="str" cm="1">
        <f t="array" ref="J580">_xlfn.IFS(Table_Sales[[#This Row],[amount]]&lt;1000,"Under 1000",Table_Sales[[#This Row],[amount]]&lt;3000,"1000 - 2999",Table_Sales[[#This Row],[amount]]&lt;5000,"3000 - 4999",TRUE,"5000 &amp; above")</f>
        <v>Under 1000</v>
      </c>
      <c r="K580">
        <f>IF(COUNTIFS(INDEX(Table_Sales[order_id],1):Table_Sales[[#This Row],[order_id]],Table_Sales[[#This Row],[order_id]])=1,1,0)</f>
        <v>0</v>
      </c>
      <c r="L58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581" spans="1:12" x14ac:dyDescent="0.25">
      <c r="A581" t="s">
        <v>132</v>
      </c>
      <c r="B581" s="1">
        <v>188</v>
      </c>
      <c r="C581" s="1">
        <v>-193</v>
      </c>
      <c r="D581">
        <v>2</v>
      </c>
      <c r="E581" t="s">
        <v>8</v>
      </c>
      <c r="F581" t="s">
        <v>9</v>
      </c>
      <c r="G581" t="s">
        <v>19</v>
      </c>
      <c r="H581">
        <f>IF(Table_Sales[[#This Row],[profit]]&lt;0,1,0)</f>
        <v>1</v>
      </c>
      <c r="I581" t="str" cm="1">
        <f t="array" ref="I581">_xlfn.IFS(Table_Sales[[#This Row],[quantity]]&lt;=3,"1-3",Table_Sales[[#This Row],[quantity]]&lt;=7,"2-7",Table_Sales[[#This Row],[quantity]]&lt;=10,"8-10",TRUE,"11 and above")</f>
        <v>1-3</v>
      </c>
      <c r="J581" t="str" cm="1">
        <f t="array" ref="J581">_xlfn.IFS(Table_Sales[[#This Row],[amount]]&lt;1000,"Under 1000",Table_Sales[[#This Row],[amount]]&lt;3000,"1000 - 2999",Table_Sales[[#This Row],[amount]]&lt;5000,"3000 - 4999",TRUE,"5000 &amp; above")</f>
        <v>Under 1000</v>
      </c>
      <c r="K581">
        <f>IF(COUNTIFS(INDEX(Table_Sales[order_id],1):Table_Sales[[#This Row],[order_id]],Table_Sales[[#This Row],[order_id]])=1,1,0)</f>
        <v>0</v>
      </c>
      <c r="L58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582" spans="1:12" x14ac:dyDescent="0.25">
      <c r="A582" t="s">
        <v>179</v>
      </c>
      <c r="B582" s="1">
        <v>89</v>
      </c>
      <c r="C582" s="1">
        <v>29</v>
      </c>
      <c r="D582">
        <v>2</v>
      </c>
      <c r="E582" t="s">
        <v>23</v>
      </c>
      <c r="F582" t="s">
        <v>57</v>
      </c>
      <c r="G582" t="s">
        <v>28</v>
      </c>
      <c r="H582">
        <f>IF(Table_Sales[[#This Row],[profit]]&lt;0,1,0)</f>
        <v>0</v>
      </c>
      <c r="I582" t="str" cm="1">
        <f t="array" ref="I582">_xlfn.IFS(Table_Sales[[#This Row],[quantity]]&lt;=3,"1-3",Table_Sales[[#This Row],[quantity]]&lt;=7,"2-7",Table_Sales[[#This Row],[quantity]]&lt;=10,"8-10",TRUE,"11 and above")</f>
        <v>1-3</v>
      </c>
      <c r="J582" t="str" cm="1">
        <f t="array" ref="J582">_xlfn.IFS(Table_Sales[[#This Row],[amount]]&lt;1000,"Under 1000",Table_Sales[[#This Row],[amount]]&lt;3000,"1000 - 2999",Table_Sales[[#This Row],[amount]]&lt;5000,"3000 - 4999",TRUE,"5000 &amp; above")</f>
        <v>Under 1000</v>
      </c>
      <c r="K582">
        <f>IF(COUNTIFS(INDEX(Table_Sales[order_id],1):Table_Sales[[#This Row],[order_id]],Table_Sales[[#This Row],[order_id]])=1,1,0)</f>
        <v>0</v>
      </c>
      <c r="L58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583" spans="1:12" x14ac:dyDescent="0.25">
      <c r="A583" t="s">
        <v>348</v>
      </c>
      <c r="B583" s="1">
        <v>146</v>
      </c>
      <c r="C583" s="1">
        <v>19</v>
      </c>
      <c r="D583">
        <v>5</v>
      </c>
      <c r="E583" t="s">
        <v>23</v>
      </c>
      <c r="F583" t="s">
        <v>57</v>
      </c>
      <c r="G583" t="s">
        <v>10</v>
      </c>
      <c r="H583">
        <f>IF(Table_Sales[[#This Row],[profit]]&lt;0,1,0)</f>
        <v>0</v>
      </c>
      <c r="I583" t="str" cm="1">
        <f t="array" ref="I583">_xlfn.IFS(Table_Sales[[#This Row],[quantity]]&lt;=3,"1-3",Table_Sales[[#This Row],[quantity]]&lt;=7,"2-7",Table_Sales[[#This Row],[quantity]]&lt;=10,"8-10",TRUE,"11 and above")</f>
        <v>2-7</v>
      </c>
      <c r="J583" t="str" cm="1">
        <f t="array" ref="J583">_xlfn.IFS(Table_Sales[[#This Row],[amount]]&lt;1000,"Under 1000",Table_Sales[[#This Row],[amount]]&lt;3000,"1000 - 2999",Table_Sales[[#This Row],[amount]]&lt;5000,"3000 - 4999",TRUE,"5000 &amp; above")</f>
        <v>Under 1000</v>
      </c>
      <c r="K583">
        <f>IF(COUNTIFS(INDEX(Table_Sales[order_id],1):Table_Sales[[#This Row],[order_id]],Table_Sales[[#This Row],[order_id]])=1,1,0)</f>
        <v>1</v>
      </c>
      <c r="L58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584" spans="1:12" x14ac:dyDescent="0.25">
      <c r="A584" t="s">
        <v>124</v>
      </c>
      <c r="B584" s="1">
        <v>143</v>
      </c>
      <c r="C584" s="1">
        <v>32</v>
      </c>
      <c r="D584">
        <v>1</v>
      </c>
      <c r="E584" t="s">
        <v>12</v>
      </c>
      <c r="F584" t="s">
        <v>16</v>
      </c>
      <c r="G584" t="s">
        <v>10</v>
      </c>
      <c r="H584">
        <f>IF(Table_Sales[[#This Row],[profit]]&lt;0,1,0)</f>
        <v>0</v>
      </c>
      <c r="I584" t="str" cm="1">
        <f t="array" ref="I584">_xlfn.IFS(Table_Sales[[#This Row],[quantity]]&lt;=3,"1-3",Table_Sales[[#This Row],[quantity]]&lt;=7,"2-7",Table_Sales[[#This Row],[quantity]]&lt;=10,"8-10",TRUE,"11 and above")</f>
        <v>1-3</v>
      </c>
      <c r="J584" t="str" cm="1">
        <f t="array" ref="J584">_xlfn.IFS(Table_Sales[[#This Row],[amount]]&lt;1000,"Under 1000",Table_Sales[[#This Row],[amount]]&lt;3000,"1000 - 2999",Table_Sales[[#This Row],[amount]]&lt;5000,"3000 - 4999",TRUE,"5000 &amp; above")</f>
        <v>Under 1000</v>
      </c>
      <c r="K584">
        <f>IF(COUNTIFS(INDEX(Table_Sales[order_id],1):Table_Sales[[#This Row],[order_id]],Table_Sales[[#This Row],[order_id]])=1,1,0)</f>
        <v>0</v>
      </c>
      <c r="L58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585" spans="1:12" x14ac:dyDescent="0.25">
      <c r="A585" t="s">
        <v>276</v>
      </c>
      <c r="B585" s="1">
        <v>25</v>
      </c>
      <c r="C585" s="1">
        <v>-1</v>
      </c>
      <c r="D585">
        <v>4</v>
      </c>
      <c r="E585" t="s">
        <v>23</v>
      </c>
      <c r="F585" t="s">
        <v>32</v>
      </c>
      <c r="G585" t="s">
        <v>10</v>
      </c>
      <c r="H585">
        <f>IF(Table_Sales[[#This Row],[profit]]&lt;0,1,0)</f>
        <v>1</v>
      </c>
      <c r="I585" t="str" cm="1">
        <f t="array" ref="I585">_xlfn.IFS(Table_Sales[[#This Row],[quantity]]&lt;=3,"1-3",Table_Sales[[#This Row],[quantity]]&lt;=7,"2-7",Table_Sales[[#This Row],[quantity]]&lt;=10,"8-10",TRUE,"11 and above")</f>
        <v>2-7</v>
      </c>
      <c r="J585" t="str" cm="1">
        <f t="array" ref="J585">_xlfn.IFS(Table_Sales[[#This Row],[amount]]&lt;1000,"Under 1000",Table_Sales[[#This Row],[amount]]&lt;3000,"1000 - 2999",Table_Sales[[#This Row],[amount]]&lt;5000,"3000 - 4999",TRUE,"5000 &amp; above")</f>
        <v>Under 1000</v>
      </c>
      <c r="K585">
        <f>IF(COUNTIFS(INDEX(Table_Sales[order_id],1):Table_Sales[[#This Row],[order_id]],Table_Sales[[#This Row],[order_id]])=1,1,0)</f>
        <v>0</v>
      </c>
      <c r="L58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586" spans="1:12" x14ac:dyDescent="0.25">
      <c r="A586" t="s">
        <v>329</v>
      </c>
      <c r="B586" s="1">
        <v>30</v>
      </c>
      <c r="C586" s="1">
        <v>12</v>
      </c>
      <c r="D586">
        <v>3</v>
      </c>
      <c r="E586" t="s">
        <v>23</v>
      </c>
      <c r="F586" t="s">
        <v>43</v>
      </c>
      <c r="G586" t="s">
        <v>28</v>
      </c>
      <c r="H586">
        <f>IF(Table_Sales[[#This Row],[profit]]&lt;0,1,0)</f>
        <v>0</v>
      </c>
      <c r="I586" t="str" cm="1">
        <f t="array" ref="I586">_xlfn.IFS(Table_Sales[[#This Row],[quantity]]&lt;=3,"1-3",Table_Sales[[#This Row],[quantity]]&lt;=7,"2-7",Table_Sales[[#This Row],[quantity]]&lt;=10,"8-10",TRUE,"11 and above")</f>
        <v>1-3</v>
      </c>
      <c r="J586" t="str" cm="1">
        <f t="array" ref="J586">_xlfn.IFS(Table_Sales[[#This Row],[amount]]&lt;1000,"Under 1000",Table_Sales[[#This Row],[amount]]&lt;3000,"1000 - 2999",Table_Sales[[#This Row],[amount]]&lt;5000,"3000 - 4999",TRUE,"5000 &amp; above")</f>
        <v>Under 1000</v>
      </c>
      <c r="K586">
        <f>IF(COUNTIFS(INDEX(Table_Sales[order_id],1):Table_Sales[[#This Row],[order_id]],Table_Sales[[#This Row],[order_id]])=1,1,0)</f>
        <v>0</v>
      </c>
      <c r="L58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587" spans="1:12" x14ac:dyDescent="0.25">
      <c r="A587" t="s">
        <v>144</v>
      </c>
      <c r="B587" s="1">
        <v>140</v>
      </c>
      <c r="C587" s="1">
        <v>-58</v>
      </c>
      <c r="D587">
        <v>4</v>
      </c>
      <c r="E587" t="s">
        <v>12</v>
      </c>
      <c r="F587" t="s">
        <v>131</v>
      </c>
      <c r="G587" t="s">
        <v>10</v>
      </c>
      <c r="H587">
        <f>IF(Table_Sales[[#This Row],[profit]]&lt;0,1,0)</f>
        <v>1</v>
      </c>
      <c r="I587" t="str" cm="1">
        <f t="array" ref="I587">_xlfn.IFS(Table_Sales[[#This Row],[quantity]]&lt;=3,"1-3",Table_Sales[[#This Row],[quantity]]&lt;=7,"2-7",Table_Sales[[#This Row],[quantity]]&lt;=10,"8-10",TRUE,"11 and above")</f>
        <v>2-7</v>
      </c>
      <c r="J587" t="str" cm="1">
        <f t="array" ref="J587">_xlfn.IFS(Table_Sales[[#This Row],[amount]]&lt;1000,"Under 1000",Table_Sales[[#This Row],[amount]]&lt;3000,"1000 - 2999",Table_Sales[[#This Row],[amount]]&lt;5000,"3000 - 4999",TRUE,"5000 &amp; above")</f>
        <v>Under 1000</v>
      </c>
      <c r="K587">
        <f>IF(COUNTIFS(INDEX(Table_Sales[order_id],1):Table_Sales[[#This Row],[order_id]],Table_Sales[[#This Row],[order_id]])=1,1,0)</f>
        <v>0</v>
      </c>
      <c r="L58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588" spans="1:12" x14ac:dyDescent="0.25">
      <c r="A588" t="s">
        <v>246</v>
      </c>
      <c r="B588" s="1">
        <v>83</v>
      </c>
      <c r="C588" s="1">
        <v>-48</v>
      </c>
      <c r="D588">
        <v>1</v>
      </c>
      <c r="E588" t="s">
        <v>12</v>
      </c>
      <c r="F588" t="s">
        <v>16</v>
      </c>
      <c r="G588" t="s">
        <v>28</v>
      </c>
      <c r="H588">
        <f>IF(Table_Sales[[#This Row],[profit]]&lt;0,1,0)</f>
        <v>1</v>
      </c>
      <c r="I588" t="str" cm="1">
        <f t="array" ref="I588">_xlfn.IFS(Table_Sales[[#This Row],[quantity]]&lt;=3,"1-3",Table_Sales[[#This Row],[quantity]]&lt;=7,"2-7",Table_Sales[[#This Row],[quantity]]&lt;=10,"8-10",TRUE,"11 and above")</f>
        <v>1-3</v>
      </c>
      <c r="J588" t="str" cm="1">
        <f t="array" ref="J588">_xlfn.IFS(Table_Sales[[#This Row],[amount]]&lt;1000,"Under 1000",Table_Sales[[#This Row],[amount]]&lt;3000,"1000 - 2999",Table_Sales[[#This Row],[amount]]&lt;5000,"3000 - 4999",TRUE,"5000 &amp; above")</f>
        <v>Under 1000</v>
      </c>
      <c r="K588">
        <f>IF(COUNTIFS(INDEX(Table_Sales[order_id],1):Table_Sales[[#This Row],[order_id]],Table_Sales[[#This Row],[order_id]])=1,1,0)</f>
        <v>0</v>
      </c>
      <c r="L58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589" spans="1:12" x14ac:dyDescent="0.25">
      <c r="A589" t="s">
        <v>349</v>
      </c>
      <c r="B589" s="1">
        <v>140</v>
      </c>
      <c r="C589" s="1">
        <v>6</v>
      </c>
      <c r="D589">
        <v>5</v>
      </c>
      <c r="E589" t="s">
        <v>23</v>
      </c>
      <c r="F589" t="s">
        <v>26</v>
      </c>
      <c r="G589" t="s">
        <v>10</v>
      </c>
      <c r="H589">
        <f>IF(Table_Sales[[#This Row],[profit]]&lt;0,1,0)</f>
        <v>0</v>
      </c>
      <c r="I589" t="str" cm="1">
        <f t="array" ref="I589">_xlfn.IFS(Table_Sales[[#This Row],[quantity]]&lt;=3,"1-3",Table_Sales[[#This Row],[quantity]]&lt;=7,"2-7",Table_Sales[[#This Row],[quantity]]&lt;=10,"8-10",TRUE,"11 and above")</f>
        <v>2-7</v>
      </c>
      <c r="J589" t="str" cm="1">
        <f t="array" ref="J589">_xlfn.IFS(Table_Sales[[#This Row],[amount]]&lt;1000,"Under 1000",Table_Sales[[#This Row],[amount]]&lt;3000,"1000 - 2999",Table_Sales[[#This Row],[amount]]&lt;5000,"3000 - 4999",TRUE,"5000 &amp; above")</f>
        <v>Under 1000</v>
      </c>
      <c r="K589">
        <f>IF(COUNTIFS(INDEX(Table_Sales[order_id],1):Table_Sales[[#This Row],[order_id]],Table_Sales[[#This Row],[order_id]])=1,1,0)</f>
        <v>1</v>
      </c>
      <c r="L58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590" spans="1:12" x14ac:dyDescent="0.25">
      <c r="A590" t="s">
        <v>198</v>
      </c>
      <c r="B590" s="1">
        <v>28</v>
      </c>
      <c r="C590" s="1">
        <v>14</v>
      </c>
      <c r="D590">
        <v>4</v>
      </c>
      <c r="E590" t="s">
        <v>23</v>
      </c>
      <c r="F590" t="s">
        <v>30</v>
      </c>
      <c r="G590" t="s">
        <v>10</v>
      </c>
      <c r="H590">
        <f>IF(Table_Sales[[#This Row],[profit]]&lt;0,1,0)</f>
        <v>0</v>
      </c>
      <c r="I590" t="str" cm="1">
        <f t="array" ref="I590">_xlfn.IFS(Table_Sales[[#This Row],[quantity]]&lt;=3,"1-3",Table_Sales[[#This Row],[quantity]]&lt;=7,"2-7",Table_Sales[[#This Row],[quantity]]&lt;=10,"8-10",TRUE,"11 and above")</f>
        <v>2-7</v>
      </c>
      <c r="J590" t="str" cm="1">
        <f t="array" ref="J590">_xlfn.IFS(Table_Sales[[#This Row],[amount]]&lt;1000,"Under 1000",Table_Sales[[#This Row],[amount]]&lt;3000,"1000 - 2999",Table_Sales[[#This Row],[amount]]&lt;5000,"3000 - 4999",TRUE,"5000 &amp; above")</f>
        <v>Under 1000</v>
      </c>
      <c r="K590">
        <f>IF(COUNTIFS(INDEX(Table_Sales[order_id],1):Table_Sales[[#This Row],[order_id]],Table_Sales[[#This Row],[order_id]])=1,1,0)</f>
        <v>0</v>
      </c>
      <c r="L59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591" spans="1:12" x14ac:dyDescent="0.25">
      <c r="A591" t="s">
        <v>350</v>
      </c>
      <c r="B591" s="1">
        <v>139</v>
      </c>
      <c r="C591" s="1">
        <v>14</v>
      </c>
      <c r="D591">
        <v>3</v>
      </c>
      <c r="E591" t="s">
        <v>23</v>
      </c>
      <c r="F591" t="s">
        <v>57</v>
      </c>
      <c r="G591" t="s">
        <v>10</v>
      </c>
      <c r="H591">
        <f>IF(Table_Sales[[#This Row],[profit]]&lt;0,1,0)</f>
        <v>0</v>
      </c>
      <c r="I591" t="str" cm="1">
        <f t="array" ref="I591">_xlfn.IFS(Table_Sales[[#This Row],[quantity]]&lt;=3,"1-3",Table_Sales[[#This Row],[quantity]]&lt;=7,"2-7",Table_Sales[[#This Row],[quantity]]&lt;=10,"8-10",TRUE,"11 and above")</f>
        <v>1-3</v>
      </c>
      <c r="J591" t="str" cm="1">
        <f t="array" ref="J591">_xlfn.IFS(Table_Sales[[#This Row],[amount]]&lt;1000,"Under 1000",Table_Sales[[#This Row],[amount]]&lt;3000,"1000 - 2999",Table_Sales[[#This Row],[amount]]&lt;5000,"3000 - 4999",TRUE,"5000 &amp; above")</f>
        <v>Under 1000</v>
      </c>
      <c r="K591">
        <f>IF(COUNTIFS(INDEX(Table_Sales[order_id],1):Table_Sales[[#This Row],[order_id]],Table_Sales[[#This Row],[order_id]])=1,1,0)</f>
        <v>1</v>
      </c>
      <c r="L59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592" spans="1:12" x14ac:dyDescent="0.25">
      <c r="A592" t="s">
        <v>41</v>
      </c>
      <c r="B592" s="1">
        <v>30</v>
      </c>
      <c r="C592" s="1">
        <v>14</v>
      </c>
      <c r="D592">
        <v>3</v>
      </c>
      <c r="E592" t="s">
        <v>23</v>
      </c>
      <c r="F592" t="s">
        <v>30</v>
      </c>
      <c r="G592" t="s">
        <v>28</v>
      </c>
      <c r="H592">
        <f>IF(Table_Sales[[#This Row],[profit]]&lt;0,1,0)</f>
        <v>0</v>
      </c>
      <c r="I592" t="str" cm="1">
        <f t="array" ref="I592">_xlfn.IFS(Table_Sales[[#This Row],[quantity]]&lt;=3,"1-3",Table_Sales[[#This Row],[quantity]]&lt;=7,"2-7",Table_Sales[[#This Row],[quantity]]&lt;=10,"8-10",TRUE,"11 and above")</f>
        <v>1-3</v>
      </c>
      <c r="J592" t="str" cm="1">
        <f t="array" ref="J592">_xlfn.IFS(Table_Sales[[#This Row],[amount]]&lt;1000,"Under 1000",Table_Sales[[#This Row],[amount]]&lt;3000,"1000 - 2999",Table_Sales[[#This Row],[amount]]&lt;5000,"3000 - 4999",TRUE,"5000 &amp; above")</f>
        <v>Under 1000</v>
      </c>
      <c r="K592">
        <f>IF(COUNTIFS(INDEX(Table_Sales[order_id],1):Table_Sales[[#This Row],[order_id]],Table_Sales[[#This Row],[order_id]])=1,1,0)</f>
        <v>0</v>
      </c>
      <c r="L59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593" spans="1:12" x14ac:dyDescent="0.25">
      <c r="A593" t="s">
        <v>254</v>
      </c>
      <c r="B593" s="1">
        <v>89</v>
      </c>
      <c r="C593" s="1">
        <v>36</v>
      </c>
      <c r="D593">
        <v>3</v>
      </c>
      <c r="E593" t="s">
        <v>23</v>
      </c>
      <c r="F593" t="s">
        <v>142</v>
      </c>
      <c r="G593" t="s">
        <v>28</v>
      </c>
      <c r="H593">
        <f>IF(Table_Sales[[#This Row],[profit]]&lt;0,1,0)</f>
        <v>0</v>
      </c>
      <c r="I593" t="str" cm="1">
        <f t="array" ref="I593">_xlfn.IFS(Table_Sales[[#This Row],[quantity]]&lt;=3,"1-3",Table_Sales[[#This Row],[quantity]]&lt;=7,"2-7",Table_Sales[[#This Row],[quantity]]&lt;=10,"8-10",TRUE,"11 and above")</f>
        <v>1-3</v>
      </c>
      <c r="J593" t="str" cm="1">
        <f t="array" ref="J593">_xlfn.IFS(Table_Sales[[#This Row],[amount]]&lt;1000,"Under 1000",Table_Sales[[#This Row],[amount]]&lt;3000,"1000 - 2999",Table_Sales[[#This Row],[amount]]&lt;5000,"3000 - 4999",TRUE,"5000 &amp; above")</f>
        <v>Under 1000</v>
      </c>
      <c r="K593">
        <f>IF(COUNTIFS(INDEX(Table_Sales[order_id],1):Table_Sales[[#This Row],[order_id]],Table_Sales[[#This Row],[order_id]])=1,1,0)</f>
        <v>0</v>
      </c>
      <c r="L59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594" spans="1:12" x14ac:dyDescent="0.25">
      <c r="A594" t="s">
        <v>121</v>
      </c>
      <c r="B594" s="1">
        <v>187</v>
      </c>
      <c r="C594" s="1">
        <v>30</v>
      </c>
      <c r="D594">
        <v>4</v>
      </c>
      <c r="E594" t="s">
        <v>8</v>
      </c>
      <c r="F594" t="s">
        <v>73</v>
      </c>
      <c r="G594" t="s">
        <v>19</v>
      </c>
      <c r="H594">
        <f>IF(Table_Sales[[#This Row],[profit]]&lt;0,1,0)</f>
        <v>0</v>
      </c>
      <c r="I594" t="str" cm="1">
        <f t="array" ref="I594">_xlfn.IFS(Table_Sales[[#This Row],[quantity]]&lt;=3,"1-3",Table_Sales[[#This Row],[quantity]]&lt;=7,"2-7",Table_Sales[[#This Row],[quantity]]&lt;=10,"8-10",TRUE,"11 and above")</f>
        <v>2-7</v>
      </c>
      <c r="J594" t="str" cm="1">
        <f t="array" ref="J594">_xlfn.IFS(Table_Sales[[#This Row],[amount]]&lt;1000,"Under 1000",Table_Sales[[#This Row],[amount]]&lt;3000,"1000 - 2999",Table_Sales[[#This Row],[amount]]&lt;5000,"3000 - 4999",TRUE,"5000 &amp; above")</f>
        <v>Under 1000</v>
      </c>
      <c r="K594">
        <f>IF(COUNTIFS(INDEX(Table_Sales[order_id],1):Table_Sales[[#This Row],[order_id]],Table_Sales[[#This Row],[order_id]])=1,1,0)</f>
        <v>0</v>
      </c>
      <c r="L59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595" spans="1:12" x14ac:dyDescent="0.25">
      <c r="A595" t="s">
        <v>273</v>
      </c>
      <c r="B595" s="1">
        <v>139</v>
      </c>
      <c r="C595" s="1">
        <v>21</v>
      </c>
      <c r="D595">
        <v>3</v>
      </c>
      <c r="E595" t="s">
        <v>8</v>
      </c>
      <c r="F595" t="s">
        <v>73</v>
      </c>
      <c r="G595" t="s">
        <v>10</v>
      </c>
      <c r="H595">
        <f>IF(Table_Sales[[#This Row],[profit]]&lt;0,1,0)</f>
        <v>0</v>
      </c>
      <c r="I595" t="str" cm="1">
        <f t="array" ref="I595">_xlfn.IFS(Table_Sales[[#This Row],[quantity]]&lt;=3,"1-3",Table_Sales[[#This Row],[quantity]]&lt;=7,"2-7",Table_Sales[[#This Row],[quantity]]&lt;=10,"8-10",TRUE,"11 and above")</f>
        <v>1-3</v>
      </c>
      <c r="J595" t="str" cm="1">
        <f t="array" ref="J595">_xlfn.IFS(Table_Sales[[#This Row],[amount]]&lt;1000,"Under 1000",Table_Sales[[#This Row],[amount]]&lt;3000,"1000 - 2999",Table_Sales[[#This Row],[amount]]&lt;5000,"3000 - 4999",TRUE,"5000 &amp; above")</f>
        <v>Under 1000</v>
      </c>
      <c r="K595">
        <f>IF(COUNTIFS(INDEX(Table_Sales[order_id],1):Table_Sales[[#This Row],[order_id]],Table_Sales[[#This Row],[order_id]])=1,1,0)</f>
        <v>0</v>
      </c>
      <c r="L59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596" spans="1:12" x14ac:dyDescent="0.25">
      <c r="A596" t="s">
        <v>289</v>
      </c>
      <c r="B596" s="1">
        <v>437</v>
      </c>
      <c r="C596" s="1">
        <v>-14</v>
      </c>
      <c r="D596">
        <v>2</v>
      </c>
      <c r="E596" t="s">
        <v>23</v>
      </c>
      <c r="F596" t="s">
        <v>26</v>
      </c>
      <c r="G596" t="s">
        <v>28</v>
      </c>
      <c r="H596">
        <f>IF(Table_Sales[[#This Row],[profit]]&lt;0,1,0)</f>
        <v>1</v>
      </c>
      <c r="I596" t="str" cm="1">
        <f t="array" ref="I596">_xlfn.IFS(Table_Sales[[#This Row],[quantity]]&lt;=3,"1-3",Table_Sales[[#This Row],[quantity]]&lt;=7,"2-7",Table_Sales[[#This Row],[quantity]]&lt;=10,"8-10",TRUE,"11 and above")</f>
        <v>1-3</v>
      </c>
      <c r="J596" t="str" cm="1">
        <f t="array" ref="J596">_xlfn.IFS(Table_Sales[[#This Row],[amount]]&lt;1000,"Under 1000",Table_Sales[[#This Row],[amount]]&lt;3000,"1000 - 2999",Table_Sales[[#This Row],[amount]]&lt;5000,"3000 - 4999",TRUE,"5000 &amp; above")</f>
        <v>Under 1000</v>
      </c>
      <c r="K596">
        <f>IF(COUNTIFS(INDEX(Table_Sales[order_id],1):Table_Sales[[#This Row],[order_id]],Table_Sales[[#This Row],[order_id]])=1,1,0)</f>
        <v>0</v>
      </c>
      <c r="L59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597" spans="1:12" x14ac:dyDescent="0.25">
      <c r="A597" t="s">
        <v>227</v>
      </c>
      <c r="B597" s="1">
        <v>138</v>
      </c>
      <c r="C597" s="1">
        <v>-3</v>
      </c>
      <c r="D597">
        <v>5</v>
      </c>
      <c r="E597" t="s">
        <v>23</v>
      </c>
      <c r="F597" t="s">
        <v>26</v>
      </c>
      <c r="G597" t="s">
        <v>10</v>
      </c>
      <c r="H597">
        <f>IF(Table_Sales[[#This Row],[profit]]&lt;0,1,0)</f>
        <v>1</v>
      </c>
      <c r="I597" t="str" cm="1">
        <f t="array" ref="I597">_xlfn.IFS(Table_Sales[[#This Row],[quantity]]&lt;=3,"1-3",Table_Sales[[#This Row],[quantity]]&lt;=7,"2-7",Table_Sales[[#This Row],[quantity]]&lt;=10,"8-10",TRUE,"11 and above")</f>
        <v>2-7</v>
      </c>
      <c r="J597" t="str" cm="1">
        <f t="array" ref="J597">_xlfn.IFS(Table_Sales[[#This Row],[amount]]&lt;1000,"Under 1000",Table_Sales[[#This Row],[amount]]&lt;3000,"1000 - 2999",Table_Sales[[#This Row],[amount]]&lt;5000,"3000 - 4999",TRUE,"5000 &amp; above")</f>
        <v>Under 1000</v>
      </c>
      <c r="K597">
        <f>IF(COUNTIFS(INDEX(Table_Sales[order_id],1):Table_Sales[[#This Row],[order_id]],Table_Sales[[#This Row],[order_id]])=1,1,0)</f>
        <v>0</v>
      </c>
      <c r="L59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598" spans="1:12" x14ac:dyDescent="0.25">
      <c r="A598" t="s">
        <v>299</v>
      </c>
      <c r="B598" s="1">
        <v>85</v>
      </c>
      <c r="C598" s="1">
        <v>13</v>
      </c>
      <c r="D598">
        <v>2</v>
      </c>
      <c r="E598" t="s">
        <v>23</v>
      </c>
      <c r="F598" t="s">
        <v>142</v>
      </c>
      <c r="G598" t="s">
        <v>28</v>
      </c>
      <c r="H598">
        <f>IF(Table_Sales[[#This Row],[profit]]&lt;0,1,0)</f>
        <v>0</v>
      </c>
      <c r="I598" t="str" cm="1">
        <f t="array" ref="I598">_xlfn.IFS(Table_Sales[[#This Row],[quantity]]&lt;=3,"1-3",Table_Sales[[#This Row],[quantity]]&lt;=7,"2-7",Table_Sales[[#This Row],[quantity]]&lt;=10,"8-10",TRUE,"11 and above")</f>
        <v>1-3</v>
      </c>
      <c r="J598" t="str" cm="1">
        <f t="array" ref="J598">_xlfn.IFS(Table_Sales[[#This Row],[amount]]&lt;1000,"Under 1000",Table_Sales[[#This Row],[amount]]&lt;3000,"1000 - 2999",Table_Sales[[#This Row],[amount]]&lt;5000,"3000 - 4999",TRUE,"5000 &amp; above")</f>
        <v>Under 1000</v>
      </c>
      <c r="K598">
        <f>IF(COUNTIFS(INDEX(Table_Sales[order_id],1):Table_Sales[[#This Row],[order_id]],Table_Sales[[#This Row],[order_id]])=1,1,0)</f>
        <v>0</v>
      </c>
      <c r="L59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599" spans="1:12" x14ac:dyDescent="0.25">
      <c r="A599" t="s">
        <v>202</v>
      </c>
      <c r="B599" s="1">
        <v>83</v>
      </c>
      <c r="C599" s="1">
        <v>12</v>
      </c>
      <c r="D599">
        <v>3</v>
      </c>
      <c r="E599" t="s">
        <v>23</v>
      </c>
      <c r="F599" t="s">
        <v>57</v>
      </c>
      <c r="G599" t="s">
        <v>28</v>
      </c>
      <c r="H599">
        <f>IF(Table_Sales[[#This Row],[profit]]&lt;0,1,0)</f>
        <v>0</v>
      </c>
      <c r="I599" t="str" cm="1">
        <f t="array" ref="I599">_xlfn.IFS(Table_Sales[[#This Row],[quantity]]&lt;=3,"1-3",Table_Sales[[#This Row],[quantity]]&lt;=7,"2-7",Table_Sales[[#This Row],[quantity]]&lt;=10,"8-10",TRUE,"11 and above")</f>
        <v>1-3</v>
      </c>
      <c r="J599" t="str" cm="1">
        <f t="array" ref="J599">_xlfn.IFS(Table_Sales[[#This Row],[amount]]&lt;1000,"Under 1000",Table_Sales[[#This Row],[amount]]&lt;3000,"1000 - 2999",Table_Sales[[#This Row],[amount]]&lt;5000,"3000 - 4999",TRUE,"5000 &amp; above")</f>
        <v>Under 1000</v>
      </c>
      <c r="K599">
        <f>IF(COUNTIFS(INDEX(Table_Sales[order_id],1):Table_Sales[[#This Row],[order_id]],Table_Sales[[#This Row],[order_id]])=1,1,0)</f>
        <v>0</v>
      </c>
      <c r="L59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600" spans="1:12" x14ac:dyDescent="0.25">
      <c r="A600" t="s">
        <v>294</v>
      </c>
      <c r="B600" s="1">
        <v>91</v>
      </c>
      <c r="C600" s="1">
        <v>22</v>
      </c>
      <c r="D600">
        <v>2</v>
      </c>
      <c r="E600" t="s">
        <v>23</v>
      </c>
      <c r="F600" t="s">
        <v>57</v>
      </c>
      <c r="G600" t="s">
        <v>28</v>
      </c>
      <c r="H600">
        <f>IF(Table_Sales[[#This Row],[profit]]&lt;0,1,0)</f>
        <v>0</v>
      </c>
      <c r="I600" t="str" cm="1">
        <f t="array" ref="I600">_xlfn.IFS(Table_Sales[[#This Row],[quantity]]&lt;=3,"1-3",Table_Sales[[#This Row],[quantity]]&lt;=7,"2-7",Table_Sales[[#This Row],[quantity]]&lt;=10,"8-10",TRUE,"11 and above")</f>
        <v>1-3</v>
      </c>
      <c r="J600" t="str" cm="1">
        <f t="array" ref="J600">_xlfn.IFS(Table_Sales[[#This Row],[amount]]&lt;1000,"Under 1000",Table_Sales[[#This Row],[amount]]&lt;3000,"1000 - 2999",Table_Sales[[#This Row],[amount]]&lt;5000,"3000 - 4999",TRUE,"5000 &amp; above")</f>
        <v>Under 1000</v>
      </c>
      <c r="K600">
        <f>IF(COUNTIFS(INDEX(Table_Sales[order_id],1):Table_Sales[[#This Row],[order_id]],Table_Sales[[#This Row],[order_id]])=1,1,0)</f>
        <v>0</v>
      </c>
      <c r="L60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601" spans="1:12" x14ac:dyDescent="0.25">
      <c r="A601" t="s">
        <v>172</v>
      </c>
      <c r="B601" s="1">
        <v>137</v>
      </c>
      <c r="C601" s="1">
        <v>5</v>
      </c>
      <c r="D601">
        <v>5</v>
      </c>
      <c r="E601" t="s">
        <v>23</v>
      </c>
      <c r="F601" t="s">
        <v>142</v>
      </c>
      <c r="G601" t="s">
        <v>10</v>
      </c>
      <c r="H601">
        <f>IF(Table_Sales[[#This Row],[profit]]&lt;0,1,0)</f>
        <v>0</v>
      </c>
      <c r="I601" t="str" cm="1">
        <f t="array" ref="I601">_xlfn.IFS(Table_Sales[[#This Row],[quantity]]&lt;=3,"1-3",Table_Sales[[#This Row],[quantity]]&lt;=7,"2-7",Table_Sales[[#This Row],[quantity]]&lt;=10,"8-10",TRUE,"11 and above")</f>
        <v>2-7</v>
      </c>
      <c r="J601" t="str" cm="1">
        <f t="array" ref="J601">_xlfn.IFS(Table_Sales[[#This Row],[amount]]&lt;1000,"Under 1000",Table_Sales[[#This Row],[amount]]&lt;3000,"1000 - 2999",Table_Sales[[#This Row],[amount]]&lt;5000,"3000 - 4999",TRUE,"5000 &amp; above")</f>
        <v>Under 1000</v>
      </c>
      <c r="K601">
        <f>IF(COUNTIFS(INDEX(Table_Sales[order_id],1):Table_Sales[[#This Row],[order_id]],Table_Sales[[#This Row],[order_id]])=1,1,0)</f>
        <v>0</v>
      </c>
      <c r="L60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602" spans="1:12" x14ac:dyDescent="0.25">
      <c r="A602" t="s">
        <v>351</v>
      </c>
      <c r="B602" s="1">
        <v>33</v>
      </c>
      <c r="C602" s="1">
        <v>-12</v>
      </c>
      <c r="D602">
        <v>7</v>
      </c>
      <c r="E602" t="s">
        <v>23</v>
      </c>
      <c r="F602" t="s">
        <v>26</v>
      </c>
      <c r="G602" t="s">
        <v>28</v>
      </c>
      <c r="H602">
        <f>IF(Table_Sales[[#This Row],[profit]]&lt;0,1,0)</f>
        <v>1</v>
      </c>
      <c r="I602" t="str" cm="1">
        <f t="array" ref="I602">_xlfn.IFS(Table_Sales[[#This Row],[quantity]]&lt;=3,"1-3",Table_Sales[[#This Row],[quantity]]&lt;=7,"2-7",Table_Sales[[#This Row],[quantity]]&lt;=10,"8-10",TRUE,"11 and above")</f>
        <v>2-7</v>
      </c>
      <c r="J602" t="str" cm="1">
        <f t="array" ref="J602">_xlfn.IFS(Table_Sales[[#This Row],[amount]]&lt;1000,"Under 1000",Table_Sales[[#This Row],[amount]]&lt;3000,"1000 - 2999",Table_Sales[[#This Row],[amount]]&lt;5000,"3000 - 4999",TRUE,"5000 &amp; above")</f>
        <v>Under 1000</v>
      </c>
      <c r="K602">
        <f>IF(COUNTIFS(INDEX(Table_Sales[order_id],1):Table_Sales[[#This Row],[order_id]],Table_Sales[[#This Row],[order_id]])=1,1,0)</f>
        <v>1</v>
      </c>
      <c r="L60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603" spans="1:12" x14ac:dyDescent="0.25">
      <c r="A603" t="s">
        <v>67</v>
      </c>
      <c r="B603" s="1">
        <v>134</v>
      </c>
      <c r="C603" s="1">
        <v>-34</v>
      </c>
      <c r="D603">
        <v>2</v>
      </c>
      <c r="E603" t="s">
        <v>12</v>
      </c>
      <c r="F603" t="s">
        <v>13</v>
      </c>
      <c r="G603" t="s">
        <v>10</v>
      </c>
      <c r="H603">
        <f>IF(Table_Sales[[#This Row],[profit]]&lt;0,1,0)</f>
        <v>1</v>
      </c>
      <c r="I603" t="str" cm="1">
        <f t="array" ref="I603">_xlfn.IFS(Table_Sales[[#This Row],[quantity]]&lt;=3,"1-3",Table_Sales[[#This Row],[quantity]]&lt;=7,"2-7",Table_Sales[[#This Row],[quantity]]&lt;=10,"8-10",TRUE,"11 and above")</f>
        <v>1-3</v>
      </c>
      <c r="J603" t="str" cm="1">
        <f t="array" ref="J603">_xlfn.IFS(Table_Sales[[#This Row],[amount]]&lt;1000,"Under 1000",Table_Sales[[#This Row],[amount]]&lt;3000,"1000 - 2999",Table_Sales[[#This Row],[amount]]&lt;5000,"3000 - 4999",TRUE,"5000 &amp; above")</f>
        <v>Under 1000</v>
      </c>
      <c r="K603">
        <f>IF(COUNTIFS(INDEX(Table_Sales[order_id],1):Table_Sales[[#This Row],[order_id]],Table_Sales[[#This Row],[order_id]])=1,1,0)</f>
        <v>0</v>
      </c>
      <c r="L60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604" spans="1:12" x14ac:dyDescent="0.25">
      <c r="A604" t="s">
        <v>352</v>
      </c>
      <c r="B604" s="1">
        <v>134</v>
      </c>
      <c r="C604" s="1">
        <v>42</v>
      </c>
      <c r="D604">
        <v>2</v>
      </c>
      <c r="E604" t="s">
        <v>12</v>
      </c>
      <c r="F604" t="s">
        <v>13</v>
      </c>
      <c r="G604" t="s">
        <v>10</v>
      </c>
      <c r="H604">
        <f>IF(Table_Sales[[#This Row],[profit]]&lt;0,1,0)</f>
        <v>0</v>
      </c>
      <c r="I604" t="str" cm="1">
        <f t="array" ref="I604">_xlfn.IFS(Table_Sales[[#This Row],[quantity]]&lt;=3,"1-3",Table_Sales[[#This Row],[quantity]]&lt;=7,"2-7",Table_Sales[[#This Row],[quantity]]&lt;=10,"8-10",TRUE,"11 and above")</f>
        <v>1-3</v>
      </c>
      <c r="J604" t="str" cm="1">
        <f t="array" ref="J604">_xlfn.IFS(Table_Sales[[#This Row],[amount]]&lt;1000,"Under 1000",Table_Sales[[#This Row],[amount]]&lt;3000,"1000 - 2999",Table_Sales[[#This Row],[amount]]&lt;5000,"3000 - 4999",TRUE,"5000 &amp; above")</f>
        <v>Under 1000</v>
      </c>
      <c r="K604">
        <f>IF(COUNTIFS(INDEX(Table_Sales[order_id],1):Table_Sales[[#This Row],[order_id]],Table_Sales[[#This Row],[order_id]])=1,1,0)</f>
        <v>1</v>
      </c>
      <c r="L60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605" spans="1:12" x14ac:dyDescent="0.25">
      <c r="A605" t="s">
        <v>353</v>
      </c>
      <c r="B605" s="1">
        <v>133</v>
      </c>
      <c r="C605" s="1">
        <v>-56</v>
      </c>
      <c r="D605">
        <v>2</v>
      </c>
      <c r="E605" t="s">
        <v>12</v>
      </c>
      <c r="F605" t="s">
        <v>13</v>
      </c>
      <c r="G605" t="s">
        <v>10</v>
      </c>
      <c r="H605">
        <f>IF(Table_Sales[[#This Row],[profit]]&lt;0,1,0)</f>
        <v>1</v>
      </c>
      <c r="I605" t="str" cm="1">
        <f t="array" ref="I605">_xlfn.IFS(Table_Sales[[#This Row],[quantity]]&lt;=3,"1-3",Table_Sales[[#This Row],[quantity]]&lt;=7,"2-7",Table_Sales[[#This Row],[quantity]]&lt;=10,"8-10",TRUE,"11 and above")</f>
        <v>1-3</v>
      </c>
      <c r="J605" t="str" cm="1">
        <f t="array" ref="J605">_xlfn.IFS(Table_Sales[[#This Row],[amount]]&lt;1000,"Under 1000",Table_Sales[[#This Row],[amount]]&lt;3000,"1000 - 2999",Table_Sales[[#This Row],[amount]]&lt;5000,"3000 - 4999",TRUE,"5000 &amp; above")</f>
        <v>Under 1000</v>
      </c>
      <c r="K605">
        <f>IF(COUNTIFS(INDEX(Table_Sales[order_id],1):Table_Sales[[#This Row],[order_id]],Table_Sales[[#This Row],[order_id]])=1,1,0)</f>
        <v>1</v>
      </c>
      <c r="L60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606" spans="1:12" x14ac:dyDescent="0.25">
      <c r="A606" t="s">
        <v>200</v>
      </c>
      <c r="B606" s="1">
        <v>93</v>
      </c>
      <c r="C606" s="1">
        <v>-84</v>
      </c>
      <c r="D606">
        <v>3</v>
      </c>
      <c r="E606" t="s">
        <v>23</v>
      </c>
      <c r="F606" t="s">
        <v>26</v>
      </c>
      <c r="G606" t="s">
        <v>28</v>
      </c>
      <c r="H606">
        <f>IF(Table_Sales[[#This Row],[profit]]&lt;0,1,0)</f>
        <v>1</v>
      </c>
      <c r="I606" t="str" cm="1">
        <f t="array" ref="I606">_xlfn.IFS(Table_Sales[[#This Row],[quantity]]&lt;=3,"1-3",Table_Sales[[#This Row],[quantity]]&lt;=7,"2-7",Table_Sales[[#This Row],[quantity]]&lt;=10,"8-10",TRUE,"11 and above")</f>
        <v>1-3</v>
      </c>
      <c r="J606" t="str" cm="1">
        <f t="array" ref="J606">_xlfn.IFS(Table_Sales[[#This Row],[amount]]&lt;1000,"Under 1000",Table_Sales[[#This Row],[amount]]&lt;3000,"1000 - 2999",Table_Sales[[#This Row],[amount]]&lt;5000,"3000 - 4999",TRUE,"5000 &amp; above")</f>
        <v>Under 1000</v>
      </c>
      <c r="K606">
        <f>IF(COUNTIFS(INDEX(Table_Sales[order_id],1):Table_Sales[[#This Row],[order_id]],Table_Sales[[#This Row],[order_id]])=1,1,0)</f>
        <v>0</v>
      </c>
      <c r="L60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607" spans="1:12" x14ac:dyDescent="0.25">
      <c r="A607" t="s">
        <v>161</v>
      </c>
      <c r="B607" s="1">
        <v>86</v>
      </c>
      <c r="C607" s="1">
        <v>-21</v>
      </c>
      <c r="D607">
        <v>1</v>
      </c>
      <c r="E607" t="s">
        <v>8</v>
      </c>
      <c r="F607" t="s">
        <v>9</v>
      </c>
      <c r="G607" t="s">
        <v>28</v>
      </c>
      <c r="H607">
        <f>IF(Table_Sales[[#This Row],[profit]]&lt;0,1,0)</f>
        <v>1</v>
      </c>
      <c r="I607" t="str" cm="1">
        <f t="array" ref="I607">_xlfn.IFS(Table_Sales[[#This Row],[quantity]]&lt;=3,"1-3",Table_Sales[[#This Row],[quantity]]&lt;=7,"2-7",Table_Sales[[#This Row],[quantity]]&lt;=10,"8-10",TRUE,"11 and above")</f>
        <v>1-3</v>
      </c>
      <c r="J607" t="str" cm="1">
        <f t="array" ref="J607">_xlfn.IFS(Table_Sales[[#This Row],[amount]]&lt;1000,"Under 1000",Table_Sales[[#This Row],[amount]]&lt;3000,"1000 - 2999",Table_Sales[[#This Row],[amount]]&lt;5000,"3000 - 4999",TRUE,"5000 &amp; above")</f>
        <v>Under 1000</v>
      </c>
      <c r="K607">
        <f>IF(COUNTIFS(INDEX(Table_Sales[order_id],1):Table_Sales[[#This Row],[order_id]],Table_Sales[[#This Row],[order_id]])=1,1,0)</f>
        <v>0</v>
      </c>
      <c r="L60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608" spans="1:12" x14ac:dyDescent="0.25">
      <c r="A608" t="s">
        <v>48</v>
      </c>
      <c r="B608" s="1">
        <v>132</v>
      </c>
      <c r="C608" s="1">
        <v>54</v>
      </c>
      <c r="D608">
        <v>5</v>
      </c>
      <c r="E608" t="s">
        <v>23</v>
      </c>
      <c r="F608" t="s">
        <v>57</v>
      </c>
      <c r="G608" t="s">
        <v>10</v>
      </c>
      <c r="H608">
        <f>IF(Table_Sales[[#This Row],[profit]]&lt;0,1,0)</f>
        <v>0</v>
      </c>
      <c r="I608" t="str" cm="1">
        <f t="array" ref="I608">_xlfn.IFS(Table_Sales[[#This Row],[quantity]]&lt;=3,"1-3",Table_Sales[[#This Row],[quantity]]&lt;=7,"2-7",Table_Sales[[#This Row],[quantity]]&lt;=10,"8-10",TRUE,"11 and above")</f>
        <v>2-7</v>
      </c>
      <c r="J608" t="str" cm="1">
        <f t="array" ref="J608">_xlfn.IFS(Table_Sales[[#This Row],[amount]]&lt;1000,"Under 1000",Table_Sales[[#This Row],[amount]]&lt;3000,"1000 - 2999",Table_Sales[[#This Row],[amount]]&lt;5000,"3000 - 4999",TRUE,"5000 &amp; above")</f>
        <v>Under 1000</v>
      </c>
      <c r="K608">
        <f>IF(COUNTIFS(INDEX(Table_Sales[order_id],1):Table_Sales[[#This Row],[order_id]],Table_Sales[[#This Row],[order_id]])=1,1,0)</f>
        <v>0</v>
      </c>
      <c r="L60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609" spans="1:12" x14ac:dyDescent="0.25">
      <c r="A609" t="s">
        <v>83</v>
      </c>
      <c r="B609" s="1">
        <v>132</v>
      </c>
      <c r="C609" s="1">
        <v>-10</v>
      </c>
      <c r="D609">
        <v>3</v>
      </c>
      <c r="E609" t="s">
        <v>23</v>
      </c>
      <c r="F609" t="s">
        <v>26</v>
      </c>
      <c r="G609" t="s">
        <v>10</v>
      </c>
      <c r="H609">
        <f>IF(Table_Sales[[#This Row],[profit]]&lt;0,1,0)</f>
        <v>1</v>
      </c>
      <c r="I609" t="str" cm="1">
        <f t="array" ref="I609">_xlfn.IFS(Table_Sales[[#This Row],[quantity]]&lt;=3,"1-3",Table_Sales[[#This Row],[quantity]]&lt;=7,"2-7",Table_Sales[[#This Row],[quantity]]&lt;=10,"8-10",TRUE,"11 and above")</f>
        <v>1-3</v>
      </c>
      <c r="J609" t="str" cm="1">
        <f t="array" ref="J609">_xlfn.IFS(Table_Sales[[#This Row],[amount]]&lt;1000,"Under 1000",Table_Sales[[#This Row],[amount]]&lt;3000,"1000 - 2999",Table_Sales[[#This Row],[amount]]&lt;5000,"3000 - 4999",TRUE,"5000 &amp; above")</f>
        <v>Under 1000</v>
      </c>
      <c r="K609">
        <f>IF(COUNTIFS(INDEX(Table_Sales[order_id],1):Table_Sales[[#This Row],[order_id]],Table_Sales[[#This Row],[order_id]])=1,1,0)</f>
        <v>0</v>
      </c>
      <c r="L60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610" spans="1:12" x14ac:dyDescent="0.25">
      <c r="A610" t="s">
        <v>252</v>
      </c>
      <c r="B610" s="1">
        <v>132</v>
      </c>
      <c r="C610" s="1">
        <v>-79</v>
      </c>
      <c r="D610">
        <v>5</v>
      </c>
      <c r="E610" t="s">
        <v>12</v>
      </c>
      <c r="F610" t="s">
        <v>131</v>
      </c>
      <c r="G610" t="s">
        <v>10</v>
      </c>
      <c r="H610">
        <f>IF(Table_Sales[[#This Row],[profit]]&lt;0,1,0)</f>
        <v>1</v>
      </c>
      <c r="I610" t="str" cm="1">
        <f t="array" ref="I610">_xlfn.IFS(Table_Sales[[#This Row],[quantity]]&lt;=3,"1-3",Table_Sales[[#This Row],[quantity]]&lt;=7,"2-7",Table_Sales[[#This Row],[quantity]]&lt;=10,"8-10",TRUE,"11 and above")</f>
        <v>2-7</v>
      </c>
      <c r="J610" t="str" cm="1">
        <f t="array" ref="J610">_xlfn.IFS(Table_Sales[[#This Row],[amount]]&lt;1000,"Under 1000",Table_Sales[[#This Row],[amount]]&lt;3000,"1000 - 2999",Table_Sales[[#This Row],[amount]]&lt;5000,"3000 - 4999",TRUE,"5000 &amp; above")</f>
        <v>Under 1000</v>
      </c>
      <c r="K610">
        <f>IF(COUNTIFS(INDEX(Table_Sales[order_id],1):Table_Sales[[#This Row],[order_id]],Table_Sales[[#This Row],[order_id]])=1,1,0)</f>
        <v>0</v>
      </c>
      <c r="L61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611" spans="1:12" x14ac:dyDescent="0.25">
      <c r="A611" t="s">
        <v>292</v>
      </c>
      <c r="B611" s="1">
        <v>93</v>
      </c>
      <c r="C611" s="1">
        <v>-65</v>
      </c>
      <c r="D611">
        <v>4</v>
      </c>
      <c r="E611" t="s">
        <v>23</v>
      </c>
      <c r="F611" t="s">
        <v>57</v>
      </c>
      <c r="G611" t="s">
        <v>28</v>
      </c>
      <c r="H611">
        <f>IF(Table_Sales[[#This Row],[profit]]&lt;0,1,0)</f>
        <v>1</v>
      </c>
      <c r="I611" t="str" cm="1">
        <f t="array" ref="I611">_xlfn.IFS(Table_Sales[[#This Row],[quantity]]&lt;=3,"1-3",Table_Sales[[#This Row],[quantity]]&lt;=7,"2-7",Table_Sales[[#This Row],[quantity]]&lt;=10,"8-10",TRUE,"11 and above")</f>
        <v>2-7</v>
      </c>
      <c r="J611" t="str" cm="1">
        <f t="array" ref="J611">_xlfn.IFS(Table_Sales[[#This Row],[amount]]&lt;1000,"Under 1000",Table_Sales[[#This Row],[amount]]&lt;3000,"1000 - 2999",Table_Sales[[#This Row],[amount]]&lt;5000,"3000 - 4999",TRUE,"5000 &amp; above")</f>
        <v>Under 1000</v>
      </c>
      <c r="K611">
        <f>IF(COUNTIFS(INDEX(Table_Sales[order_id],1):Table_Sales[[#This Row],[order_id]],Table_Sales[[#This Row],[order_id]])=1,1,0)</f>
        <v>0</v>
      </c>
      <c r="L61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612" spans="1:12" x14ac:dyDescent="0.25">
      <c r="A612" t="s">
        <v>354</v>
      </c>
      <c r="B612" s="1">
        <v>95</v>
      </c>
      <c r="C612" s="1">
        <v>5</v>
      </c>
      <c r="D612">
        <v>2</v>
      </c>
      <c r="E612" t="s">
        <v>23</v>
      </c>
      <c r="F612" t="s">
        <v>57</v>
      </c>
      <c r="G612" t="s">
        <v>28</v>
      </c>
      <c r="H612">
        <f>IF(Table_Sales[[#This Row],[profit]]&lt;0,1,0)</f>
        <v>0</v>
      </c>
      <c r="I612" t="str" cm="1">
        <f t="array" ref="I612">_xlfn.IFS(Table_Sales[[#This Row],[quantity]]&lt;=3,"1-3",Table_Sales[[#This Row],[quantity]]&lt;=7,"2-7",Table_Sales[[#This Row],[quantity]]&lt;=10,"8-10",TRUE,"11 and above")</f>
        <v>1-3</v>
      </c>
      <c r="J612" t="str" cm="1">
        <f t="array" ref="J612">_xlfn.IFS(Table_Sales[[#This Row],[amount]]&lt;1000,"Under 1000",Table_Sales[[#This Row],[amount]]&lt;3000,"1000 - 2999",Table_Sales[[#This Row],[amount]]&lt;5000,"3000 - 4999",TRUE,"5000 &amp; above")</f>
        <v>Under 1000</v>
      </c>
      <c r="K612">
        <f>IF(COUNTIFS(INDEX(Table_Sales[order_id],1):Table_Sales[[#This Row],[order_id]],Table_Sales[[#This Row],[order_id]])=1,1,0)</f>
        <v>1</v>
      </c>
      <c r="L61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613" spans="1:12" x14ac:dyDescent="0.25">
      <c r="A613" t="s">
        <v>61</v>
      </c>
      <c r="B613" s="1">
        <v>97</v>
      </c>
      <c r="C613" s="1">
        <v>12</v>
      </c>
      <c r="D613">
        <v>2</v>
      </c>
      <c r="E613" t="s">
        <v>23</v>
      </c>
      <c r="F613" t="s">
        <v>30</v>
      </c>
      <c r="G613" t="s">
        <v>28</v>
      </c>
      <c r="H613">
        <f>IF(Table_Sales[[#This Row],[profit]]&lt;0,1,0)</f>
        <v>0</v>
      </c>
      <c r="I613" t="str" cm="1">
        <f t="array" ref="I613">_xlfn.IFS(Table_Sales[[#This Row],[quantity]]&lt;=3,"1-3",Table_Sales[[#This Row],[quantity]]&lt;=7,"2-7",Table_Sales[[#This Row],[quantity]]&lt;=10,"8-10",TRUE,"11 and above")</f>
        <v>1-3</v>
      </c>
      <c r="J613" t="str" cm="1">
        <f t="array" ref="J613">_xlfn.IFS(Table_Sales[[#This Row],[amount]]&lt;1000,"Under 1000",Table_Sales[[#This Row],[amount]]&lt;3000,"1000 - 2999",Table_Sales[[#This Row],[amount]]&lt;5000,"3000 - 4999",TRUE,"5000 &amp; above")</f>
        <v>Under 1000</v>
      </c>
      <c r="K613">
        <f>IF(COUNTIFS(INDEX(Table_Sales[order_id],1):Table_Sales[[#This Row],[order_id]],Table_Sales[[#This Row],[order_id]])=1,1,0)</f>
        <v>0</v>
      </c>
      <c r="L61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614" spans="1:12" x14ac:dyDescent="0.25">
      <c r="A614" t="s">
        <v>355</v>
      </c>
      <c r="B614" s="1">
        <v>131</v>
      </c>
      <c r="C614" s="1">
        <v>-154</v>
      </c>
      <c r="D614">
        <v>8</v>
      </c>
      <c r="E614" t="s">
        <v>12</v>
      </c>
      <c r="F614" t="s">
        <v>131</v>
      </c>
      <c r="G614" t="s">
        <v>10</v>
      </c>
      <c r="H614">
        <f>IF(Table_Sales[[#This Row],[profit]]&lt;0,1,0)</f>
        <v>1</v>
      </c>
      <c r="I614" t="str" cm="1">
        <f t="array" ref="I614">_xlfn.IFS(Table_Sales[[#This Row],[quantity]]&lt;=3,"1-3",Table_Sales[[#This Row],[quantity]]&lt;=7,"2-7",Table_Sales[[#This Row],[quantity]]&lt;=10,"8-10",TRUE,"11 and above")</f>
        <v>8-10</v>
      </c>
      <c r="J614" t="str" cm="1">
        <f t="array" ref="J614">_xlfn.IFS(Table_Sales[[#This Row],[amount]]&lt;1000,"Under 1000",Table_Sales[[#This Row],[amount]]&lt;3000,"1000 - 2999",Table_Sales[[#This Row],[amount]]&lt;5000,"3000 - 4999",TRUE,"5000 &amp; above")</f>
        <v>Under 1000</v>
      </c>
      <c r="K614">
        <f>IF(COUNTIFS(INDEX(Table_Sales[order_id],1):Table_Sales[[#This Row],[order_id]],Table_Sales[[#This Row],[order_id]])=1,1,0)</f>
        <v>1</v>
      </c>
      <c r="L61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615" spans="1:12" x14ac:dyDescent="0.25">
      <c r="A615" t="s">
        <v>298</v>
      </c>
      <c r="B615" s="1">
        <v>97</v>
      </c>
      <c r="C615" s="1">
        <v>29</v>
      </c>
      <c r="D615">
        <v>2</v>
      </c>
      <c r="E615" t="s">
        <v>23</v>
      </c>
      <c r="F615" t="s">
        <v>30</v>
      </c>
      <c r="G615" t="s">
        <v>28</v>
      </c>
      <c r="H615">
        <f>IF(Table_Sales[[#This Row],[profit]]&lt;0,1,0)</f>
        <v>0</v>
      </c>
      <c r="I615" t="str" cm="1">
        <f t="array" ref="I615">_xlfn.IFS(Table_Sales[[#This Row],[quantity]]&lt;=3,"1-3",Table_Sales[[#This Row],[quantity]]&lt;=7,"2-7",Table_Sales[[#This Row],[quantity]]&lt;=10,"8-10",TRUE,"11 and above")</f>
        <v>1-3</v>
      </c>
      <c r="J615" t="str" cm="1">
        <f t="array" ref="J615">_xlfn.IFS(Table_Sales[[#This Row],[amount]]&lt;1000,"Under 1000",Table_Sales[[#This Row],[amount]]&lt;3000,"1000 - 2999",Table_Sales[[#This Row],[amount]]&lt;5000,"3000 - 4999",TRUE,"5000 &amp; above")</f>
        <v>Under 1000</v>
      </c>
      <c r="K615">
        <f>IF(COUNTIFS(INDEX(Table_Sales[order_id],1):Table_Sales[[#This Row],[order_id]],Table_Sales[[#This Row],[order_id]])=1,1,0)</f>
        <v>0</v>
      </c>
      <c r="L61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616" spans="1:12" x14ac:dyDescent="0.25">
      <c r="A616" t="s">
        <v>41</v>
      </c>
      <c r="B616" s="1">
        <v>128</v>
      </c>
      <c r="C616" s="1">
        <v>4</v>
      </c>
      <c r="D616">
        <v>3</v>
      </c>
      <c r="E616" t="s">
        <v>23</v>
      </c>
      <c r="F616" t="s">
        <v>26</v>
      </c>
      <c r="G616" t="s">
        <v>10</v>
      </c>
      <c r="H616">
        <f>IF(Table_Sales[[#This Row],[profit]]&lt;0,1,0)</f>
        <v>0</v>
      </c>
      <c r="I616" t="str" cm="1">
        <f t="array" ref="I616">_xlfn.IFS(Table_Sales[[#This Row],[quantity]]&lt;=3,"1-3",Table_Sales[[#This Row],[quantity]]&lt;=7,"2-7",Table_Sales[[#This Row],[quantity]]&lt;=10,"8-10",TRUE,"11 and above")</f>
        <v>1-3</v>
      </c>
      <c r="J616" t="str" cm="1">
        <f t="array" ref="J616">_xlfn.IFS(Table_Sales[[#This Row],[amount]]&lt;1000,"Under 1000",Table_Sales[[#This Row],[amount]]&lt;3000,"1000 - 2999",Table_Sales[[#This Row],[amount]]&lt;5000,"3000 - 4999",TRUE,"5000 &amp; above")</f>
        <v>Under 1000</v>
      </c>
      <c r="K616">
        <f>IF(COUNTIFS(INDEX(Table_Sales[order_id],1):Table_Sales[[#This Row],[order_id]],Table_Sales[[#This Row],[order_id]])=1,1,0)</f>
        <v>0</v>
      </c>
      <c r="L61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617" spans="1:12" x14ac:dyDescent="0.25">
      <c r="A617" t="s">
        <v>33</v>
      </c>
      <c r="B617" s="1">
        <v>186</v>
      </c>
      <c r="C617" s="1">
        <v>241</v>
      </c>
      <c r="D617">
        <v>9</v>
      </c>
      <c r="E617" t="s">
        <v>23</v>
      </c>
      <c r="F617" t="s">
        <v>142</v>
      </c>
      <c r="G617" t="s">
        <v>19</v>
      </c>
      <c r="H617">
        <f>IF(Table_Sales[[#This Row],[profit]]&lt;0,1,0)</f>
        <v>0</v>
      </c>
      <c r="I617" t="str" cm="1">
        <f t="array" ref="I617">_xlfn.IFS(Table_Sales[[#This Row],[quantity]]&lt;=3,"1-3",Table_Sales[[#This Row],[quantity]]&lt;=7,"2-7",Table_Sales[[#This Row],[quantity]]&lt;=10,"8-10",TRUE,"11 and above")</f>
        <v>8-10</v>
      </c>
      <c r="J617" t="str" cm="1">
        <f t="array" ref="J617">_xlfn.IFS(Table_Sales[[#This Row],[amount]]&lt;1000,"Under 1000",Table_Sales[[#This Row],[amount]]&lt;3000,"1000 - 2999",Table_Sales[[#This Row],[amount]]&lt;5000,"3000 - 4999",TRUE,"5000 &amp; above")</f>
        <v>Under 1000</v>
      </c>
      <c r="K617">
        <f>IF(COUNTIFS(INDEX(Table_Sales[order_id],1):Table_Sales[[#This Row],[order_id]],Table_Sales[[#This Row],[order_id]])=1,1,0)</f>
        <v>0</v>
      </c>
      <c r="L61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0</v>
      </c>
    </row>
    <row r="618" spans="1:12" x14ac:dyDescent="0.25">
      <c r="A618" t="s">
        <v>60</v>
      </c>
      <c r="B618" s="1">
        <v>128</v>
      </c>
      <c r="C618" s="1">
        <v>47</v>
      </c>
      <c r="D618">
        <v>4</v>
      </c>
      <c r="E618" t="s">
        <v>23</v>
      </c>
      <c r="F618" t="s">
        <v>30</v>
      </c>
      <c r="G618" t="s">
        <v>10</v>
      </c>
      <c r="H618">
        <f>IF(Table_Sales[[#This Row],[profit]]&lt;0,1,0)</f>
        <v>0</v>
      </c>
      <c r="I618" t="str" cm="1">
        <f t="array" ref="I618">_xlfn.IFS(Table_Sales[[#This Row],[quantity]]&lt;=3,"1-3",Table_Sales[[#This Row],[quantity]]&lt;=7,"2-7",Table_Sales[[#This Row],[quantity]]&lt;=10,"8-10",TRUE,"11 and above")</f>
        <v>2-7</v>
      </c>
      <c r="J618" t="str" cm="1">
        <f t="array" ref="J618">_xlfn.IFS(Table_Sales[[#This Row],[amount]]&lt;1000,"Under 1000",Table_Sales[[#This Row],[amount]]&lt;3000,"1000 - 2999",Table_Sales[[#This Row],[amount]]&lt;5000,"3000 - 4999",TRUE,"5000 &amp; above")</f>
        <v>Under 1000</v>
      </c>
      <c r="K618">
        <f>IF(COUNTIFS(INDEX(Table_Sales[order_id],1):Table_Sales[[#This Row],[order_id]],Table_Sales[[#This Row],[order_id]])=1,1,0)</f>
        <v>0</v>
      </c>
      <c r="L61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619" spans="1:12" x14ac:dyDescent="0.25">
      <c r="A619" t="s">
        <v>172</v>
      </c>
      <c r="B619" s="1">
        <v>185</v>
      </c>
      <c r="C619" s="1">
        <v>48</v>
      </c>
      <c r="D619">
        <v>4</v>
      </c>
      <c r="E619" t="s">
        <v>23</v>
      </c>
      <c r="F619" t="s">
        <v>57</v>
      </c>
      <c r="G619" t="s">
        <v>19</v>
      </c>
      <c r="H619">
        <f>IF(Table_Sales[[#This Row],[profit]]&lt;0,1,0)</f>
        <v>0</v>
      </c>
      <c r="I619" t="str" cm="1">
        <f t="array" ref="I619">_xlfn.IFS(Table_Sales[[#This Row],[quantity]]&lt;=3,"1-3",Table_Sales[[#This Row],[quantity]]&lt;=7,"2-7",Table_Sales[[#This Row],[quantity]]&lt;=10,"8-10",TRUE,"11 and above")</f>
        <v>2-7</v>
      </c>
      <c r="J619" t="str" cm="1">
        <f t="array" ref="J619">_xlfn.IFS(Table_Sales[[#This Row],[amount]]&lt;1000,"Under 1000",Table_Sales[[#This Row],[amount]]&lt;3000,"1000 - 2999",Table_Sales[[#This Row],[amount]]&lt;5000,"3000 - 4999",TRUE,"5000 &amp; above")</f>
        <v>Under 1000</v>
      </c>
      <c r="K619">
        <f>IF(COUNTIFS(INDEX(Table_Sales[order_id],1):Table_Sales[[#This Row],[order_id]],Table_Sales[[#This Row],[order_id]])=1,1,0)</f>
        <v>0</v>
      </c>
      <c r="L61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620" spans="1:12" x14ac:dyDescent="0.25">
      <c r="A620" t="s">
        <v>356</v>
      </c>
      <c r="B620" s="1">
        <v>29</v>
      </c>
      <c r="C620" s="1">
        <v>10</v>
      </c>
      <c r="D620">
        <v>2</v>
      </c>
      <c r="E620" t="s">
        <v>23</v>
      </c>
      <c r="F620" t="s">
        <v>57</v>
      </c>
      <c r="G620" t="s">
        <v>10</v>
      </c>
      <c r="H620">
        <f>IF(Table_Sales[[#This Row],[profit]]&lt;0,1,0)</f>
        <v>0</v>
      </c>
      <c r="I620" t="str" cm="1">
        <f t="array" ref="I620">_xlfn.IFS(Table_Sales[[#This Row],[quantity]]&lt;=3,"1-3",Table_Sales[[#This Row],[quantity]]&lt;=7,"2-7",Table_Sales[[#This Row],[quantity]]&lt;=10,"8-10",TRUE,"11 and above")</f>
        <v>1-3</v>
      </c>
      <c r="J620" t="str" cm="1">
        <f t="array" ref="J620">_xlfn.IFS(Table_Sales[[#This Row],[amount]]&lt;1000,"Under 1000",Table_Sales[[#This Row],[amount]]&lt;3000,"1000 - 2999",Table_Sales[[#This Row],[amount]]&lt;5000,"3000 - 4999",TRUE,"5000 &amp; above")</f>
        <v>Under 1000</v>
      </c>
      <c r="K620">
        <f>IF(COUNTIFS(INDEX(Table_Sales[order_id],1):Table_Sales[[#This Row],[order_id]],Table_Sales[[#This Row],[order_id]])=1,1,0)</f>
        <v>1</v>
      </c>
      <c r="L62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621" spans="1:12" x14ac:dyDescent="0.25">
      <c r="A621" t="s">
        <v>59</v>
      </c>
      <c r="B621" s="1">
        <v>127</v>
      </c>
      <c r="C621" s="1">
        <v>29</v>
      </c>
      <c r="D621">
        <v>3</v>
      </c>
      <c r="E621" t="s">
        <v>12</v>
      </c>
      <c r="F621" t="s">
        <v>131</v>
      </c>
      <c r="G621" t="s">
        <v>10</v>
      </c>
      <c r="H621">
        <f>IF(Table_Sales[[#This Row],[profit]]&lt;0,1,0)</f>
        <v>0</v>
      </c>
      <c r="I621" t="str" cm="1">
        <f t="array" ref="I621">_xlfn.IFS(Table_Sales[[#This Row],[quantity]]&lt;=3,"1-3",Table_Sales[[#This Row],[quantity]]&lt;=7,"2-7",Table_Sales[[#This Row],[quantity]]&lt;=10,"8-10",TRUE,"11 and above")</f>
        <v>1-3</v>
      </c>
      <c r="J621" t="str" cm="1">
        <f t="array" ref="J621">_xlfn.IFS(Table_Sales[[#This Row],[amount]]&lt;1000,"Under 1000",Table_Sales[[#This Row],[amount]]&lt;3000,"1000 - 2999",Table_Sales[[#This Row],[amount]]&lt;5000,"3000 - 4999",TRUE,"5000 &amp; above")</f>
        <v>Under 1000</v>
      </c>
      <c r="K621">
        <f>IF(COUNTIFS(INDEX(Table_Sales[order_id],1):Table_Sales[[#This Row],[order_id]],Table_Sales[[#This Row],[order_id]])=1,1,0)</f>
        <v>0</v>
      </c>
      <c r="L62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622" spans="1:12" x14ac:dyDescent="0.25">
      <c r="A622" t="s">
        <v>237</v>
      </c>
      <c r="B622" s="1">
        <v>97</v>
      </c>
      <c r="C622" s="1">
        <v>36</v>
      </c>
      <c r="D622">
        <v>7</v>
      </c>
      <c r="E622" t="s">
        <v>23</v>
      </c>
      <c r="F622" t="s">
        <v>30</v>
      </c>
      <c r="G622" t="s">
        <v>28</v>
      </c>
      <c r="H622">
        <f>IF(Table_Sales[[#This Row],[profit]]&lt;0,1,0)</f>
        <v>0</v>
      </c>
      <c r="I622" t="str" cm="1">
        <f t="array" ref="I622">_xlfn.IFS(Table_Sales[[#This Row],[quantity]]&lt;=3,"1-3",Table_Sales[[#This Row],[quantity]]&lt;=7,"2-7",Table_Sales[[#This Row],[quantity]]&lt;=10,"8-10",TRUE,"11 and above")</f>
        <v>2-7</v>
      </c>
      <c r="J622" t="str" cm="1">
        <f t="array" ref="J622">_xlfn.IFS(Table_Sales[[#This Row],[amount]]&lt;1000,"Under 1000",Table_Sales[[#This Row],[amount]]&lt;3000,"1000 - 2999",Table_Sales[[#This Row],[amount]]&lt;5000,"3000 - 4999",TRUE,"5000 &amp; above")</f>
        <v>Under 1000</v>
      </c>
      <c r="K622">
        <f>IF(COUNTIFS(INDEX(Table_Sales[order_id],1):Table_Sales[[#This Row],[order_id]],Table_Sales[[#This Row],[order_id]])=1,1,0)</f>
        <v>0</v>
      </c>
      <c r="L62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623" spans="1:12" x14ac:dyDescent="0.25">
      <c r="A623" t="s">
        <v>139</v>
      </c>
      <c r="B623" s="1">
        <v>125</v>
      </c>
      <c r="C623" s="1">
        <v>0</v>
      </c>
      <c r="D623">
        <v>3</v>
      </c>
      <c r="E623" t="s">
        <v>8</v>
      </c>
      <c r="F623" t="s">
        <v>73</v>
      </c>
      <c r="G623" t="s">
        <v>10</v>
      </c>
      <c r="H623">
        <f>IF(Table_Sales[[#This Row],[profit]]&lt;0,1,0)</f>
        <v>0</v>
      </c>
      <c r="I623" t="str" cm="1">
        <f t="array" ref="I623">_xlfn.IFS(Table_Sales[[#This Row],[quantity]]&lt;=3,"1-3",Table_Sales[[#This Row],[quantity]]&lt;=7,"2-7",Table_Sales[[#This Row],[quantity]]&lt;=10,"8-10",TRUE,"11 and above")</f>
        <v>1-3</v>
      </c>
      <c r="J623" t="str" cm="1">
        <f t="array" ref="J623">_xlfn.IFS(Table_Sales[[#This Row],[amount]]&lt;1000,"Under 1000",Table_Sales[[#This Row],[amount]]&lt;3000,"1000 - 2999",Table_Sales[[#This Row],[amount]]&lt;5000,"3000 - 4999",TRUE,"5000 &amp; above")</f>
        <v>Under 1000</v>
      </c>
      <c r="K623">
        <f>IF(COUNTIFS(INDEX(Table_Sales[order_id],1):Table_Sales[[#This Row],[order_id]],Table_Sales[[#This Row],[order_id]])=1,1,0)</f>
        <v>0</v>
      </c>
      <c r="L62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624" spans="1:12" x14ac:dyDescent="0.25">
      <c r="A624" t="s">
        <v>357</v>
      </c>
      <c r="B624" s="1">
        <v>299</v>
      </c>
      <c r="C624" s="1">
        <v>-8</v>
      </c>
      <c r="D624">
        <v>2</v>
      </c>
      <c r="E624" t="s">
        <v>23</v>
      </c>
      <c r="F624" t="s">
        <v>26</v>
      </c>
      <c r="G624" t="s">
        <v>10</v>
      </c>
      <c r="H624">
        <f>IF(Table_Sales[[#This Row],[profit]]&lt;0,1,0)</f>
        <v>1</v>
      </c>
      <c r="I624" t="str" cm="1">
        <f t="array" ref="I624">_xlfn.IFS(Table_Sales[[#This Row],[quantity]]&lt;=3,"1-3",Table_Sales[[#This Row],[quantity]]&lt;=7,"2-7",Table_Sales[[#This Row],[quantity]]&lt;=10,"8-10",TRUE,"11 and above")</f>
        <v>1-3</v>
      </c>
      <c r="J624" t="str" cm="1">
        <f t="array" ref="J624">_xlfn.IFS(Table_Sales[[#This Row],[amount]]&lt;1000,"Under 1000",Table_Sales[[#This Row],[amount]]&lt;3000,"1000 - 2999",Table_Sales[[#This Row],[amount]]&lt;5000,"3000 - 4999",TRUE,"5000 &amp; above")</f>
        <v>Under 1000</v>
      </c>
      <c r="K624">
        <f>IF(COUNTIFS(INDEX(Table_Sales[order_id],1):Table_Sales[[#This Row],[order_id]],Table_Sales[[#This Row],[order_id]])=1,1,0)</f>
        <v>1</v>
      </c>
      <c r="L62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625" spans="1:12" x14ac:dyDescent="0.25">
      <c r="A625" t="s">
        <v>358</v>
      </c>
      <c r="B625" s="1">
        <v>124</v>
      </c>
      <c r="C625" s="1">
        <v>54</v>
      </c>
      <c r="D625">
        <v>5</v>
      </c>
      <c r="E625" t="s">
        <v>23</v>
      </c>
      <c r="F625" t="s">
        <v>81</v>
      </c>
      <c r="G625" t="s">
        <v>10</v>
      </c>
      <c r="H625">
        <f>IF(Table_Sales[[#This Row],[profit]]&lt;0,1,0)</f>
        <v>0</v>
      </c>
      <c r="I625" t="str" cm="1">
        <f t="array" ref="I625">_xlfn.IFS(Table_Sales[[#This Row],[quantity]]&lt;=3,"1-3",Table_Sales[[#This Row],[quantity]]&lt;=7,"2-7",Table_Sales[[#This Row],[quantity]]&lt;=10,"8-10",TRUE,"11 and above")</f>
        <v>2-7</v>
      </c>
      <c r="J625" t="str" cm="1">
        <f t="array" ref="J625">_xlfn.IFS(Table_Sales[[#This Row],[amount]]&lt;1000,"Under 1000",Table_Sales[[#This Row],[amount]]&lt;3000,"1000 - 2999",Table_Sales[[#This Row],[amount]]&lt;5000,"3000 - 4999",TRUE,"5000 &amp; above")</f>
        <v>Under 1000</v>
      </c>
      <c r="K625">
        <f>IF(COUNTIFS(INDEX(Table_Sales[order_id],1):Table_Sales[[#This Row],[order_id]],Table_Sales[[#This Row],[order_id]])=1,1,0)</f>
        <v>1</v>
      </c>
      <c r="L62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626" spans="1:12" x14ac:dyDescent="0.25">
      <c r="A626" t="s">
        <v>227</v>
      </c>
      <c r="B626" s="1">
        <v>90</v>
      </c>
      <c r="C626" s="1">
        <v>17</v>
      </c>
      <c r="D626">
        <v>3</v>
      </c>
      <c r="E626" t="s">
        <v>23</v>
      </c>
      <c r="F626" t="s">
        <v>142</v>
      </c>
      <c r="G626" t="s">
        <v>10</v>
      </c>
      <c r="H626">
        <f>IF(Table_Sales[[#This Row],[profit]]&lt;0,1,0)</f>
        <v>0</v>
      </c>
      <c r="I626" t="str" cm="1">
        <f t="array" ref="I626">_xlfn.IFS(Table_Sales[[#This Row],[quantity]]&lt;=3,"1-3",Table_Sales[[#This Row],[quantity]]&lt;=7,"2-7",Table_Sales[[#This Row],[quantity]]&lt;=10,"8-10",TRUE,"11 and above")</f>
        <v>1-3</v>
      </c>
      <c r="J626" t="str" cm="1">
        <f t="array" ref="J626">_xlfn.IFS(Table_Sales[[#This Row],[amount]]&lt;1000,"Under 1000",Table_Sales[[#This Row],[amount]]&lt;3000,"1000 - 2999",Table_Sales[[#This Row],[amount]]&lt;5000,"3000 - 4999",TRUE,"5000 &amp; above")</f>
        <v>Under 1000</v>
      </c>
      <c r="K626">
        <f>IF(COUNTIFS(INDEX(Table_Sales[order_id],1):Table_Sales[[#This Row],[order_id]],Table_Sales[[#This Row],[order_id]])=1,1,0)</f>
        <v>0</v>
      </c>
      <c r="L62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627" spans="1:12" x14ac:dyDescent="0.25">
      <c r="A627" t="s">
        <v>253</v>
      </c>
      <c r="B627" s="1">
        <v>122</v>
      </c>
      <c r="C627" s="1">
        <v>11</v>
      </c>
      <c r="D627">
        <v>4</v>
      </c>
      <c r="E627" t="s">
        <v>23</v>
      </c>
      <c r="F627" t="s">
        <v>30</v>
      </c>
      <c r="G627" t="s">
        <v>10</v>
      </c>
      <c r="H627">
        <f>IF(Table_Sales[[#This Row],[profit]]&lt;0,1,0)</f>
        <v>0</v>
      </c>
      <c r="I627" t="str" cm="1">
        <f t="array" ref="I627">_xlfn.IFS(Table_Sales[[#This Row],[quantity]]&lt;=3,"1-3",Table_Sales[[#This Row],[quantity]]&lt;=7,"2-7",Table_Sales[[#This Row],[quantity]]&lt;=10,"8-10",TRUE,"11 and above")</f>
        <v>2-7</v>
      </c>
      <c r="J627" t="str" cm="1">
        <f t="array" ref="J627">_xlfn.IFS(Table_Sales[[#This Row],[amount]]&lt;1000,"Under 1000",Table_Sales[[#This Row],[amount]]&lt;3000,"1000 - 2999",Table_Sales[[#This Row],[amount]]&lt;5000,"3000 - 4999",TRUE,"5000 &amp; above")</f>
        <v>Under 1000</v>
      </c>
      <c r="K627">
        <f>IF(COUNTIFS(INDEX(Table_Sales[order_id],1):Table_Sales[[#This Row],[order_id]],Table_Sales[[#This Row],[order_id]])=1,1,0)</f>
        <v>0</v>
      </c>
      <c r="L62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628" spans="1:12" x14ac:dyDescent="0.25">
      <c r="A628" t="s">
        <v>337</v>
      </c>
      <c r="B628" s="1">
        <v>122</v>
      </c>
      <c r="C628" s="1">
        <v>-66</v>
      </c>
      <c r="D628">
        <v>9</v>
      </c>
      <c r="E628" t="s">
        <v>8</v>
      </c>
      <c r="F628" t="s">
        <v>73</v>
      </c>
      <c r="G628" t="s">
        <v>10</v>
      </c>
      <c r="H628">
        <f>IF(Table_Sales[[#This Row],[profit]]&lt;0,1,0)</f>
        <v>1</v>
      </c>
      <c r="I628" t="str" cm="1">
        <f t="array" ref="I628">_xlfn.IFS(Table_Sales[[#This Row],[quantity]]&lt;=3,"1-3",Table_Sales[[#This Row],[quantity]]&lt;=7,"2-7",Table_Sales[[#This Row],[quantity]]&lt;=10,"8-10",TRUE,"11 and above")</f>
        <v>8-10</v>
      </c>
      <c r="J628" t="str" cm="1">
        <f t="array" ref="J628">_xlfn.IFS(Table_Sales[[#This Row],[amount]]&lt;1000,"Under 1000",Table_Sales[[#This Row],[amount]]&lt;3000,"1000 - 2999",Table_Sales[[#This Row],[amount]]&lt;5000,"3000 - 4999",TRUE,"5000 &amp; above")</f>
        <v>Under 1000</v>
      </c>
      <c r="K628">
        <f>IF(COUNTIFS(INDEX(Table_Sales[order_id],1):Table_Sales[[#This Row],[order_id]],Table_Sales[[#This Row],[order_id]])=1,1,0)</f>
        <v>0</v>
      </c>
      <c r="L62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629" spans="1:12" x14ac:dyDescent="0.25">
      <c r="A629" t="s">
        <v>69</v>
      </c>
      <c r="B629" s="1">
        <v>90</v>
      </c>
      <c r="C629" s="1">
        <v>30</v>
      </c>
      <c r="D629">
        <v>2</v>
      </c>
      <c r="E629" t="s">
        <v>12</v>
      </c>
      <c r="F629" t="s">
        <v>13</v>
      </c>
      <c r="G629" t="s">
        <v>28</v>
      </c>
      <c r="H629">
        <f>IF(Table_Sales[[#This Row],[profit]]&lt;0,1,0)</f>
        <v>0</v>
      </c>
      <c r="I629" t="str" cm="1">
        <f t="array" ref="I629">_xlfn.IFS(Table_Sales[[#This Row],[quantity]]&lt;=3,"1-3",Table_Sales[[#This Row],[quantity]]&lt;=7,"2-7",Table_Sales[[#This Row],[quantity]]&lt;=10,"8-10",TRUE,"11 and above")</f>
        <v>1-3</v>
      </c>
      <c r="J629" t="str" cm="1">
        <f t="array" ref="J629">_xlfn.IFS(Table_Sales[[#This Row],[amount]]&lt;1000,"Under 1000",Table_Sales[[#This Row],[amount]]&lt;3000,"1000 - 2999",Table_Sales[[#This Row],[amount]]&lt;5000,"3000 - 4999",TRUE,"5000 &amp; above")</f>
        <v>Under 1000</v>
      </c>
      <c r="K629">
        <f>IF(COUNTIFS(INDEX(Table_Sales[order_id],1):Table_Sales[[#This Row],[order_id]],Table_Sales[[#This Row],[order_id]])=1,1,0)</f>
        <v>0</v>
      </c>
      <c r="L62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630" spans="1:12" x14ac:dyDescent="0.25">
      <c r="A630" t="s">
        <v>359</v>
      </c>
      <c r="B630" s="1">
        <v>182</v>
      </c>
      <c r="C630" s="1">
        <v>-11</v>
      </c>
      <c r="D630">
        <v>3</v>
      </c>
      <c r="E630" t="s">
        <v>12</v>
      </c>
      <c r="F630" t="s">
        <v>16</v>
      </c>
      <c r="G630" t="s">
        <v>19</v>
      </c>
      <c r="H630">
        <f>IF(Table_Sales[[#This Row],[profit]]&lt;0,1,0)</f>
        <v>1</v>
      </c>
      <c r="I630" t="str" cm="1">
        <f t="array" ref="I630">_xlfn.IFS(Table_Sales[[#This Row],[quantity]]&lt;=3,"1-3",Table_Sales[[#This Row],[quantity]]&lt;=7,"2-7",Table_Sales[[#This Row],[quantity]]&lt;=10,"8-10",TRUE,"11 and above")</f>
        <v>1-3</v>
      </c>
      <c r="J630" t="str" cm="1">
        <f t="array" ref="J630">_xlfn.IFS(Table_Sales[[#This Row],[amount]]&lt;1000,"Under 1000",Table_Sales[[#This Row],[amount]]&lt;3000,"1000 - 2999",Table_Sales[[#This Row],[amount]]&lt;5000,"3000 - 4999",TRUE,"5000 &amp; above")</f>
        <v>Under 1000</v>
      </c>
      <c r="K630">
        <f>IF(COUNTIFS(INDEX(Table_Sales[order_id],1):Table_Sales[[#This Row],[order_id]],Table_Sales[[#This Row],[order_id]])=1,1,0)</f>
        <v>1</v>
      </c>
      <c r="L63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631" spans="1:12" x14ac:dyDescent="0.25">
      <c r="A631" t="s">
        <v>153</v>
      </c>
      <c r="B631" s="1">
        <v>122</v>
      </c>
      <c r="C631" s="1">
        <v>59</v>
      </c>
      <c r="D631">
        <v>7</v>
      </c>
      <c r="E631" t="s">
        <v>12</v>
      </c>
      <c r="F631" t="s">
        <v>131</v>
      </c>
      <c r="G631" t="s">
        <v>10</v>
      </c>
      <c r="H631">
        <f>IF(Table_Sales[[#This Row],[profit]]&lt;0,1,0)</f>
        <v>0</v>
      </c>
      <c r="I631" t="str" cm="1">
        <f t="array" ref="I631">_xlfn.IFS(Table_Sales[[#This Row],[quantity]]&lt;=3,"1-3",Table_Sales[[#This Row],[quantity]]&lt;=7,"2-7",Table_Sales[[#This Row],[quantity]]&lt;=10,"8-10",TRUE,"11 and above")</f>
        <v>2-7</v>
      </c>
      <c r="J631" t="str" cm="1">
        <f t="array" ref="J631">_xlfn.IFS(Table_Sales[[#This Row],[amount]]&lt;1000,"Under 1000",Table_Sales[[#This Row],[amount]]&lt;3000,"1000 - 2999",Table_Sales[[#This Row],[amount]]&lt;5000,"3000 - 4999",TRUE,"5000 &amp; above")</f>
        <v>Under 1000</v>
      </c>
      <c r="K631">
        <f>IF(COUNTIFS(INDEX(Table_Sales[order_id],1):Table_Sales[[#This Row],[order_id]],Table_Sales[[#This Row],[order_id]])=1,1,0)</f>
        <v>0</v>
      </c>
      <c r="L63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632" spans="1:12" x14ac:dyDescent="0.25">
      <c r="A632" t="s">
        <v>360</v>
      </c>
      <c r="B632" s="1">
        <v>121</v>
      </c>
      <c r="C632" s="1">
        <v>19</v>
      </c>
      <c r="D632">
        <v>4</v>
      </c>
      <c r="E632" t="s">
        <v>23</v>
      </c>
      <c r="F632" t="s">
        <v>57</v>
      </c>
      <c r="G632" t="s">
        <v>10</v>
      </c>
      <c r="H632">
        <f>IF(Table_Sales[[#This Row],[profit]]&lt;0,1,0)</f>
        <v>0</v>
      </c>
      <c r="I632" t="str" cm="1">
        <f t="array" ref="I632">_xlfn.IFS(Table_Sales[[#This Row],[quantity]]&lt;=3,"1-3",Table_Sales[[#This Row],[quantity]]&lt;=7,"2-7",Table_Sales[[#This Row],[quantity]]&lt;=10,"8-10",TRUE,"11 and above")</f>
        <v>2-7</v>
      </c>
      <c r="J632" t="str" cm="1">
        <f t="array" ref="J632">_xlfn.IFS(Table_Sales[[#This Row],[amount]]&lt;1000,"Under 1000",Table_Sales[[#This Row],[amount]]&lt;3000,"1000 - 2999",Table_Sales[[#This Row],[amount]]&lt;5000,"3000 - 4999",TRUE,"5000 &amp; above")</f>
        <v>Under 1000</v>
      </c>
      <c r="K632">
        <f>IF(COUNTIFS(INDEX(Table_Sales[order_id],1):Table_Sales[[#This Row],[order_id]],Table_Sales[[#This Row],[order_id]])=1,1,0)</f>
        <v>1</v>
      </c>
      <c r="L63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633" spans="1:12" x14ac:dyDescent="0.25">
      <c r="A633" t="s">
        <v>167</v>
      </c>
      <c r="B633" s="1">
        <v>120</v>
      </c>
      <c r="C633" s="1">
        <v>1</v>
      </c>
      <c r="D633">
        <v>1</v>
      </c>
      <c r="E633" t="s">
        <v>12</v>
      </c>
      <c r="F633" t="s">
        <v>13</v>
      </c>
      <c r="G633" t="s">
        <v>10</v>
      </c>
      <c r="H633">
        <f>IF(Table_Sales[[#This Row],[profit]]&lt;0,1,0)</f>
        <v>0</v>
      </c>
      <c r="I633" t="str" cm="1">
        <f t="array" ref="I633">_xlfn.IFS(Table_Sales[[#This Row],[quantity]]&lt;=3,"1-3",Table_Sales[[#This Row],[quantity]]&lt;=7,"2-7",Table_Sales[[#This Row],[quantity]]&lt;=10,"8-10",TRUE,"11 and above")</f>
        <v>1-3</v>
      </c>
      <c r="J633" t="str" cm="1">
        <f t="array" ref="J633">_xlfn.IFS(Table_Sales[[#This Row],[amount]]&lt;1000,"Under 1000",Table_Sales[[#This Row],[amount]]&lt;3000,"1000 - 2999",Table_Sales[[#This Row],[amount]]&lt;5000,"3000 - 4999",TRUE,"5000 &amp; above")</f>
        <v>Under 1000</v>
      </c>
      <c r="K633">
        <f>IF(COUNTIFS(INDEX(Table_Sales[order_id],1):Table_Sales[[#This Row],[order_id]],Table_Sales[[#This Row],[order_id]])=1,1,0)</f>
        <v>0</v>
      </c>
      <c r="L63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634" spans="1:12" x14ac:dyDescent="0.25">
      <c r="A634" t="s">
        <v>179</v>
      </c>
      <c r="B634" s="1">
        <v>120</v>
      </c>
      <c r="C634" s="1">
        <v>23</v>
      </c>
      <c r="D634">
        <v>5</v>
      </c>
      <c r="E634" t="s">
        <v>23</v>
      </c>
      <c r="F634" t="s">
        <v>57</v>
      </c>
      <c r="G634" t="s">
        <v>10</v>
      </c>
      <c r="H634">
        <f>IF(Table_Sales[[#This Row],[profit]]&lt;0,1,0)</f>
        <v>0</v>
      </c>
      <c r="I634" t="str" cm="1">
        <f t="array" ref="I634">_xlfn.IFS(Table_Sales[[#This Row],[quantity]]&lt;=3,"1-3",Table_Sales[[#This Row],[quantity]]&lt;=7,"2-7",Table_Sales[[#This Row],[quantity]]&lt;=10,"8-10",TRUE,"11 and above")</f>
        <v>2-7</v>
      </c>
      <c r="J634" t="str" cm="1">
        <f t="array" ref="J634">_xlfn.IFS(Table_Sales[[#This Row],[amount]]&lt;1000,"Under 1000",Table_Sales[[#This Row],[amount]]&lt;3000,"1000 - 2999",Table_Sales[[#This Row],[amount]]&lt;5000,"3000 - 4999",TRUE,"5000 &amp; above")</f>
        <v>Under 1000</v>
      </c>
      <c r="K634">
        <f>IF(COUNTIFS(INDEX(Table_Sales[order_id],1):Table_Sales[[#This Row],[order_id]],Table_Sales[[#This Row],[order_id]])=1,1,0)</f>
        <v>0</v>
      </c>
      <c r="L63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635" spans="1:12" x14ac:dyDescent="0.25">
      <c r="A635" t="s">
        <v>104</v>
      </c>
      <c r="B635" s="1">
        <v>34</v>
      </c>
      <c r="C635" s="1">
        <v>-11</v>
      </c>
      <c r="D635">
        <v>5</v>
      </c>
      <c r="E635" t="s">
        <v>23</v>
      </c>
      <c r="F635" t="s">
        <v>81</v>
      </c>
      <c r="G635" t="s">
        <v>10</v>
      </c>
      <c r="H635">
        <f>IF(Table_Sales[[#This Row],[profit]]&lt;0,1,0)</f>
        <v>1</v>
      </c>
      <c r="I635" t="str" cm="1">
        <f t="array" ref="I635">_xlfn.IFS(Table_Sales[[#This Row],[quantity]]&lt;=3,"1-3",Table_Sales[[#This Row],[quantity]]&lt;=7,"2-7",Table_Sales[[#This Row],[quantity]]&lt;=10,"8-10",TRUE,"11 and above")</f>
        <v>2-7</v>
      </c>
      <c r="J635" t="str" cm="1">
        <f t="array" ref="J635">_xlfn.IFS(Table_Sales[[#This Row],[amount]]&lt;1000,"Under 1000",Table_Sales[[#This Row],[amount]]&lt;3000,"1000 - 2999",Table_Sales[[#This Row],[amount]]&lt;5000,"3000 - 4999",TRUE,"5000 &amp; above")</f>
        <v>Under 1000</v>
      </c>
      <c r="K635">
        <f>IF(COUNTIFS(INDEX(Table_Sales[order_id],1):Table_Sales[[#This Row],[order_id]],Table_Sales[[#This Row],[order_id]])=1,1,0)</f>
        <v>0</v>
      </c>
      <c r="L63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636" spans="1:12" x14ac:dyDescent="0.25">
      <c r="A636" t="s">
        <v>97</v>
      </c>
      <c r="B636" s="1">
        <v>117</v>
      </c>
      <c r="C636" s="1">
        <v>17</v>
      </c>
      <c r="D636">
        <v>6</v>
      </c>
      <c r="E636" t="s">
        <v>23</v>
      </c>
      <c r="F636" t="s">
        <v>32</v>
      </c>
      <c r="G636" t="s">
        <v>10</v>
      </c>
      <c r="H636">
        <f>IF(Table_Sales[[#This Row],[profit]]&lt;0,1,0)</f>
        <v>0</v>
      </c>
      <c r="I636" t="str" cm="1">
        <f t="array" ref="I636">_xlfn.IFS(Table_Sales[[#This Row],[quantity]]&lt;=3,"1-3",Table_Sales[[#This Row],[quantity]]&lt;=7,"2-7",Table_Sales[[#This Row],[quantity]]&lt;=10,"8-10",TRUE,"11 and above")</f>
        <v>2-7</v>
      </c>
      <c r="J636" t="str" cm="1">
        <f t="array" ref="J636">_xlfn.IFS(Table_Sales[[#This Row],[amount]]&lt;1000,"Under 1000",Table_Sales[[#This Row],[amount]]&lt;3000,"1000 - 2999",Table_Sales[[#This Row],[amount]]&lt;5000,"3000 - 4999",TRUE,"5000 &amp; above")</f>
        <v>Under 1000</v>
      </c>
      <c r="K636">
        <f>IF(COUNTIFS(INDEX(Table_Sales[order_id],1):Table_Sales[[#This Row],[order_id]],Table_Sales[[#This Row],[order_id]])=1,1,0)</f>
        <v>0</v>
      </c>
      <c r="L63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637" spans="1:12" x14ac:dyDescent="0.25">
      <c r="A637" t="s">
        <v>361</v>
      </c>
      <c r="B637" s="1">
        <v>38</v>
      </c>
      <c r="C637" s="1">
        <v>9</v>
      </c>
      <c r="D637">
        <v>2</v>
      </c>
      <c r="E637" t="s">
        <v>23</v>
      </c>
      <c r="F637" t="s">
        <v>57</v>
      </c>
      <c r="G637" t="s">
        <v>10</v>
      </c>
      <c r="H637">
        <f>IF(Table_Sales[[#This Row],[profit]]&lt;0,1,0)</f>
        <v>0</v>
      </c>
      <c r="I637" t="str" cm="1">
        <f t="array" ref="I637">_xlfn.IFS(Table_Sales[[#This Row],[quantity]]&lt;=3,"1-3",Table_Sales[[#This Row],[quantity]]&lt;=7,"2-7",Table_Sales[[#This Row],[quantity]]&lt;=10,"8-10",TRUE,"11 and above")</f>
        <v>1-3</v>
      </c>
      <c r="J637" t="str" cm="1">
        <f t="array" ref="J637">_xlfn.IFS(Table_Sales[[#This Row],[amount]]&lt;1000,"Under 1000",Table_Sales[[#This Row],[amount]]&lt;3000,"1000 - 2999",Table_Sales[[#This Row],[amount]]&lt;5000,"3000 - 4999",TRUE,"5000 &amp; above")</f>
        <v>Under 1000</v>
      </c>
      <c r="K637">
        <f>IF(COUNTIFS(INDEX(Table_Sales[order_id],1):Table_Sales[[#This Row],[order_id]],Table_Sales[[#This Row],[order_id]])=1,1,0)</f>
        <v>1</v>
      </c>
      <c r="L63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638" spans="1:12" x14ac:dyDescent="0.25">
      <c r="A638" t="s">
        <v>25</v>
      </c>
      <c r="B638" s="1">
        <v>117</v>
      </c>
      <c r="C638" s="1">
        <v>-6</v>
      </c>
      <c r="D638">
        <v>3</v>
      </c>
      <c r="E638" t="s">
        <v>8</v>
      </c>
      <c r="F638" t="s">
        <v>21</v>
      </c>
      <c r="G638" t="s">
        <v>10</v>
      </c>
      <c r="H638">
        <f>IF(Table_Sales[[#This Row],[profit]]&lt;0,1,0)</f>
        <v>1</v>
      </c>
      <c r="I638" t="str" cm="1">
        <f t="array" ref="I638">_xlfn.IFS(Table_Sales[[#This Row],[quantity]]&lt;=3,"1-3",Table_Sales[[#This Row],[quantity]]&lt;=7,"2-7",Table_Sales[[#This Row],[quantity]]&lt;=10,"8-10",TRUE,"11 and above")</f>
        <v>1-3</v>
      </c>
      <c r="J638" t="str" cm="1">
        <f t="array" ref="J638">_xlfn.IFS(Table_Sales[[#This Row],[amount]]&lt;1000,"Under 1000",Table_Sales[[#This Row],[amount]]&lt;3000,"1000 - 2999",Table_Sales[[#This Row],[amount]]&lt;5000,"3000 - 4999",TRUE,"5000 &amp; above")</f>
        <v>Under 1000</v>
      </c>
      <c r="K638">
        <f>IF(COUNTIFS(INDEX(Table_Sales[order_id],1):Table_Sales[[#This Row],[order_id]],Table_Sales[[#This Row],[order_id]])=1,1,0)</f>
        <v>0</v>
      </c>
      <c r="L63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639" spans="1:12" x14ac:dyDescent="0.25">
      <c r="A639" t="s">
        <v>217</v>
      </c>
      <c r="B639" s="1">
        <v>180</v>
      </c>
      <c r="C639" s="1">
        <v>54</v>
      </c>
      <c r="D639">
        <v>4</v>
      </c>
      <c r="E639" t="s">
        <v>23</v>
      </c>
      <c r="F639" t="s">
        <v>81</v>
      </c>
      <c r="G639" t="s">
        <v>19</v>
      </c>
      <c r="H639">
        <f>IF(Table_Sales[[#This Row],[profit]]&lt;0,1,0)</f>
        <v>0</v>
      </c>
      <c r="I639" t="str" cm="1">
        <f t="array" ref="I639">_xlfn.IFS(Table_Sales[[#This Row],[quantity]]&lt;=3,"1-3",Table_Sales[[#This Row],[quantity]]&lt;=7,"2-7",Table_Sales[[#This Row],[quantity]]&lt;=10,"8-10",TRUE,"11 and above")</f>
        <v>2-7</v>
      </c>
      <c r="J639" t="str" cm="1">
        <f t="array" ref="J639">_xlfn.IFS(Table_Sales[[#This Row],[amount]]&lt;1000,"Under 1000",Table_Sales[[#This Row],[amount]]&lt;3000,"1000 - 2999",Table_Sales[[#This Row],[amount]]&lt;5000,"3000 - 4999",TRUE,"5000 &amp; above")</f>
        <v>Under 1000</v>
      </c>
      <c r="K639">
        <f>IF(COUNTIFS(INDEX(Table_Sales[order_id],1):Table_Sales[[#This Row],[order_id]],Table_Sales[[#This Row],[order_id]])=1,1,0)</f>
        <v>0</v>
      </c>
      <c r="L63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640" spans="1:12" x14ac:dyDescent="0.25">
      <c r="A640" t="s">
        <v>224</v>
      </c>
      <c r="B640" s="1">
        <v>99</v>
      </c>
      <c r="C640" s="1">
        <v>-5</v>
      </c>
      <c r="D640">
        <v>1</v>
      </c>
      <c r="E640" t="s">
        <v>23</v>
      </c>
      <c r="F640" t="s">
        <v>26</v>
      </c>
      <c r="G640" t="s">
        <v>28</v>
      </c>
      <c r="H640">
        <f>IF(Table_Sales[[#This Row],[profit]]&lt;0,1,0)</f>
        <v>1</v>
      </c>
      <c r="I640" t="str" cm="1">
        <f t="array" ref="I640">_xlfn.IFS(Table_Sales[[#This Row],[quantity]]&lt;=3,"1-3",Table_Sales[[#This Row],[quantity]]&lt;=7,"2-7",Table_Sales[[#This Row],[quantity]]&lt;=10,"8-10",TRUE,"11 and above")</f>
        <v>1-3</v>
      </c>
      <c r="J640" t="str" cm="1">
        <f t="array" ref="J640">_xlfn.IFS(Table_Sales[[#This Row],[amount]]&lt;1000,"Under 1000",Table_Sales[[#This Row],[amount]]&lt;3000,"1000 - 2999",Table_Sales[[#This Row],[amount]]&lt;5000,"3000 - 4999",TRUE,"5000 &amp; above")</f>
        <v>Under 1000</v>
      </c>
      <c r="K640">
        <f>IF(COUNTIFS(INDEX(Table_Sales[order_id],1):Table_Sales[[#This Row],[order_id]],Table_Sales[[#This Row],[order_id]])=1,1,0)</f>
        <v>0</v>
      </c>
      <c r="L64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641" spans="1:12" x14ac:dyDescent="0.25">
      <c r="A641" t="s">
        <v>119</v>
      </c>
      <c r="B641" s="1">
        <v>172</v>
      </c>
      <c r="C641" s="1">
        <v>-103</v>
      </c>
      <c r="D641">
        <v>3</v>
      </c>
      <c r="E641" t="s">
        <v>12</v>
      </c>
      <c r="F641" t="s">
        <v>13</v>
      </c>
      <c r="G641" t="s">
        <v>14</v>
      </c>
      <c r="H641">
        <f>IF(Table_Sales[[#This Row],[profit]]&lt;0,1,0)</f>
        <v>1</v>
      </c>
      <c r="I641" t="str" cm="1">
        <f t="array" ref="I641">_xlfn.IFS(Table_Sales[[#This Row],[quantity]]&lt;=3,"1-3",Table_Sales[[#This Row],[quantity]]&lt;=7,"2-7",Table_Sales[[#This Row],[quantity]]&lt;=10,"8-10",TRUE,"11 and above")</f>
        <v>1-3</v>
      </c>
      <c r="J641" t="str" cm="1">
        <f t="array" ref="J641">_xlfn.IFS(Table_Sales[[#This Row],[amount]]&lt;1000,"Under 1000",Table_Sales[[#This Row],[amount]]&lt;3000,"1000 - 2999",Table_Sales[[#This Row],[amount]]&lt;5000,"3000 - 4999",TRUE,"5000 &amp; above")</f>
        <v>Under 1000</v>
      </c>
      <c r="K641">
        <f>IF(COUNTIFS(INDEX(Table_Sales[order_id],1):Table_Sales[[#This Row],[order_id]],Table_Sales[[#This Row],[order_id]])=1,1,0)</f>
        <v>0</v>
      </c>
      <c r="L64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642" spans="1:12" x14ac:dyDescent="0.25">
      <c r="A642" t="s">
        <v>149</v>
      </c>
      <c r="B642" s="1">
        <v>116</v>
      </c>
      <c r="C642" s="1">
        <v>16</v>
      </c>
      <c r="D642">
        <v>4</v>
      </c>
      <c r="E642" t="s">
        <v>23</v>
      </c>
      <c r="F642" t="s">
        <v>57</v>
      </c>
      <c r="G642" t="s">
        <v>10</v>
      </c>
      <c r="H642">
        <f>IF(Table_Sales[[#This Row],[profit]]&lt;0,1,0)</f>
        <v>0</v>
      </c>
      <c r="I642" t="str" cm="1">
        <f t="array" ref="I642">_xlfn.IFS(Table_Sales[[#This Row],[quantity]]&lt;=3,"1-3",Table_Sales[[#This Row],[quantity]]&lt;=7,"2-7",Table_Sales[[#This Row],[quantity]]&lt;=10,"8-10",TRUE,"11 and above")</f>
        <v>2-7</v>
      </c>
      <c r="J642" t="str" cm="1">
        <f t="array" ref="J642">_xlfn.IFS(Table_Sales[[#This Row],[amount]]&lt;1000,"Under 1000",Table_Sales[[#This Row],[amount]]&lt;3000,"1000 - 2999",Table_Sales[[#This Row],[amount]]&lt;5000,"3000 - 4999",TRUE,"5000 &amp; above")</f>
        <v>Under 1000</v>
      </c>
      <c r="K642">
        <f>IF(COUNTIFS(INDEX(Table_Sales[order_id],1):Table_Sales[[#This Row],[order_id]],Table_Sales[[#This Row],[order_id]])=1,1,0)</f>
        <v>0</v>
      </c>
      <c r="L64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643" spans="1:12" x14ac:dyDescent="0.25">
      <c r="A643" t="s">
        <v>25</v>
      </c>
      <c r="B643" s="1">
        <v>116</v>
      </c>
      <c r="C643" s="1">
        <v>-4</v>
      </c>
      <c r="D643">
        <v>1</v>
      </c>
      <c r="E643" t="s">
        <v>23</v>
      </c>
      <c r="F643" t="s">
        <v>26</v>
      </c>
      <c r="G643" t="s">
        <v>10</v>
      </c>
      <c r="H643">
        <f>IF(Table_Sales[[#This Row],[profit]]&lt;0,1,0)</f>
        <v>1</v>
      </c>
      <c r="I643" t="str" cm="1">
        <f t="array" ref="I643">_xlfn.IFS(Table_Sales[[#This Row],[quantity]]&lt;=3,"1-3",Table_Sales[[#This Row],[quantity]]&lt;=7,"2-7",Table_Sales[[#This Row],[quantity]]&lt;=10,"8-10",TRUE,"11 and above")</f>
        <v>1-3</v>
      </c>
      <c r="J643" t="str" cm="1">
        <f t="array" ref="J643">_xlfn.IFS(Table_Sales[[#This Row],[amount]]&lt;1000,"Under 1000",Table_Sales[[#This Row],[amount]]&lt;3000,"1000 - 2999",Table_Sales[[#This Row],[amount]]&lt;5000,"3000 - 4999",TRUE,"5000 &amp; above")</f>
        <v>Under 1000</v>
      </c>
      <c r="K643">
        <f>IF(COUNTIFS(INDEX(Table_Sales[order_id],1):Table_Sales[[#This Row],[order_id]],Table_Sales[[#This Row],[order_id]])=1,1,0)</f>
        <v>0</v>
      </c>
      <c r="L64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644" spans="1:12" x14ac:dyDescent="0.25">
      <c r="A644" t="s">
        <v>362</v>
      </c>
      <c r="B644" s="1">
        <v>171</v>
      </c>
      <c r="C644" s="1">
        <v>68</v>
      </c>
      <c r="D644">
        <v>7</v>
      </c>
      <c r="E644" t="s">
        <v>23</v>
      </c>
      <c r="F644" t="s">
        <v>57</v>
      </c>
      <c r="G644" t="s">
        <v>14</v>
      </c>
      <c r="H644">
        <f>IF(Table_Sales[[#This Row],[profit]]&lt;0,1,0)</f>
        <v>0</v>
      </c>
      <c r="I644" t="str" cm="1">
        <f t="array" ref="I644">_xlfn.IFS(Table_Sales[[#This Row],[quantity]]&lt;=3,"1-3",Table_Sales[[#This Row],[quantity]]&lt;=7,"2-7",Table_Sales[[#This Row],[quantity]]&lt;=10,"8-10",TRUE,"11 and above")</f>
        <v>2-7</v>
      </c>
      <c r="J644" t="str" cm="1">
        <f t="array" ref="J644">_xlfn.IFS(Table_Sales[[#This Row],[amount]]&lt;1000,"Under 1000",Table_Sales[[#This Row],[amount]]&lt;3000,"1000 - 2999",Table_Sales[[#This Row],[amount]]&lt;5000,"3000 - 4999",TRUE,"5000 &amp; above")</f>
        <v>Under 1000</v>
      </c>
      <c r="K644">
        <f>IF(COUNTIFS(INDEX(Table_Sales[order_id],1):Table_Sales[[#This Row],[order_id]],Table_Sales[[#This Row],[order_id]])=1,1,0)</f>
        <v>1</v>
      </c>
      <c r="L64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645" spans="1:12" x14ac:dyDescent="0.25">
      <c r="A645" t="s">
        <v>128</v>
      </c>
      <c r="B645" s="1">
        <v>46</v>
      </c>
      <c r="C645" s="1">
        <v>14</v>
      </c>
      <c r="D645">
        <v>5</v>
      </c>
      <c r="E645" t="s">
        <v>23</v>
      </c>
      <c r="F645" t="s">
        <v>43</v>
      </c>
      <c r="G645" t="s">
        <v>10</v>
      </c>
      <c r="H645">
        <f>IF(Table_Sales[[#This Row],[profit]]&lt;0,1,0)</f>
        <v>0</v>
      </c>
      <c r="I645" t="str" cm="1">
        <f t="array" ref="I645">_xlfn.IFS(Table_Sales[[#This Row],[quantity]]&lt;=3,"1-3",Table_Sales[[#This Row],[quantity]]&lt;=7,"2-7",Table_Sales[[#This Row],[quantity]]&lt;=10,"8-10",TRUE,"11 and above")</f>
        <v>2-7</v>
      </c>
      <c r="J645" t="str" cm="1">
        <f t="array" ref="J645">_xlfn.IFS(Table_Sales[[#This Row],[amount]]&lt;1000,"Under 1000",Table_Sales[[#This Row],[amount]]&lt;3000,"1000 - 2999",Table_Sales[[#This Row],[amount]]&lt;5000,"3000 - 4999",TRUE,"5000 &amp; above")</f>
        <v>Under 1000</v>
      </c>
      <c r="K645">
        <f>IF(COUNTIFS(INDEX(Table_Sales[order_id],1):Table_Sales[[#This Row],[order_id]],Table_Sales[[#This Row],[order_id]])=1,1,0)</f>
        <v>0</v>
      </c>
      <c r="L64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646" spans="1:12" x14ac:dyDescent="0.25">
      <c r="A646" t="s">
        <v>99</v>
      </c>
      <c r="B646" s="1">
        <v>115</v>
      </c>
      <c r="C646" s="1">
        <v>-39</v>
      </c>
      <c r="D646">
        <v>3</v>
      </c>
      <c r="E646" t="s">
        <v>23</v>
      </c>
      <c r="F646" t="s">
        <v>24</v>
      </c>
      <c r="G646" t="s">
        <v>10</v>
      </c>
      <c r="H646">
        <f>IF(Table_Sales[[#This Row],[profit]]&lt;0,1,0)</f>
        <v>1</v>
      </c>
      <c r="I646" t="str" cm="1">
        <f t="array" ref="I646">_xlfn.IFS(Table_Sales[[#This Row],[quantity]]&lt;=3,"1-3",Table_Sales[[#This Row],[quantity]]&lt;=7,"2-7",Table_Sales[[#This Row],[quantity]]&lt;=10,"8-10",TRUE,"11 and above")</f>
        <v>1-3</v>
      </c>
      <c r="J646" t="str" cm="1">
        <f t="array" ref="J646">_xlfn.IFS(Table_Sales[[#This Row],[amount]]&lt;1000,"Under 1000",Table_Sales[[#This Row],[amount]]&lt;3000,"1000 - 2999",Table_Sales[[#This Row],[amount]]&lt;5000,"3000 - 4999",TRUE,"5000 &amp; above")</f>
        <v>Under 1000</v>
      </c>
      <c r="K646">
        <f>IF(COUNTIFS(INDEX(Table_Sales[order_id],1):Table_Sales[[#This Row],[order_id]],Table_Sales[[#This Row],[order_id]])=1,1,0)</f>
        <v>0</v>
      </c>
      <c r="L64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647" spans="1:12" x14ac:dyDescent="0.25">
      <c r="A647" t="s">
        <v>363</v>
      </c>
      <c r="B647" s="1">
        <v>100</v>
      </c>
      <c r="C647" s="1">
        <v>7</v>
      </c>
      <c r="D647">
        <v>2</v>
      </c>
      <c r="E647" t="s">
        <v>23</v>
      </c>
      <c r="F647" t="s">
        <v>81</v>
      </c>
      <c r="G647" t="s">
        <v>28</v>
      </c>
      <c r="H647">
        <f>IF(Table_Sales[[#This Row],[profit]]&lt;0,1,0)</f>
        <v>0</v>
      </c>
      <c r="I647" t="str" cm="1">
        <f t="array" ref="I647">_xlfn.IFS(Table_Sales[[#This Row],[quantity]]&lt;=3,"1-3",Table_Sales[[#This Row],[quantity]]&lt;=7,"2-7",Table_Sales[[#This Row],[quantity]]&lt;=10,"8-10",TRUE,"11 and above")</f>
        <v>1-3</v>
      </c>
      <c r="J647" t="str" cm="1">
        <f t="array" ref="J647">_xlfn.IFS(Table_Sales[[#This Row],[amount]]&lt;1000,"Under 1000",Table_Sales[[#This Row],[amount]]&lt;3000,"1000 - 2999",Table_Sales[[#This Row],[amount]]&lt;5000,"3000 - 4999",TRUE,"5000 &amp; above")</f>
        <v>Under 1000</v>
      </c>
      <c r="K647">
        <f>IF(COUNTIFS(INDEX(Table_Sales[order_id],1):Table_Sales[[#This Row],[order_id]],Table_Sales[[#This Row],[order_id]])=1,1,0)</f>
        <v>1</v>
      </c>
      <c r="L64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648" spans="1:12" x14ac:dyDescent="0.25">
      <c r="A648" t="s">
        <v>164</v>
      </c>
      <c r="B648" s="1">
        <v>44</v>
      </c>
      <c r="C648" s="1">
        <v>8</v>
      </c>
      <c r="D648">
        <v>2</v>
      </c>
      <c r="E648" t="s">
        <v>23</v>
      </c>
      <c r="F648" t="s">
        <v>57</v>
      </c>
      <c r="G648" t="s">
        <v>10</v>
      </c>
      <c r="H648">
        <f>IF(Table_Sales[[#This Row],[profit]]&lt;0,1,0)</f>
        <v>0</v>
      </c>
      <c r="I648" t="str" cm="1">
        <f t="array" ref="I648">_xlfn.IFS(Table_Sales[[#This Row],[quantity]]&lt;=3,"1-3",Table_Sales[[#This Row],[quantity]]&lt;=7,"2-7",Table_Sales[[#This Row],[quantity]]&lt;=10,"8-10",TRUE,"11 and above")</f>
        <v>1-3</v>
      </c>
      <c r="J648" t="str" cm="1">
        <f t="array" ref="J648">_xlfn.IFS(Table_Sales[[#This Row],[amount]]&lt;1000,"Under 1000",Table_Sales[[#This Row],[amount]]&lt;3000,"1000 - 2999",Table_Sales[[#This Row],[amount]]&lt;5000,"3000 - 4999",TRUE,"5000 &amp; above")</f>
        <v>Under 1000</v>
      </c>
      <c r="K648">
        <f>IF(COUNTIFS(INDEX(Table_Sales[order_id],1):Table_Sales[[#This Row],[order_id]],Table_Sales[[#This Row],[order_id]])=1,1,0)</f>
        <v>0</v>
      </c>
      <c r="L64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649" spans="1:12" x14ac:dyDescent="0.25">
      <c r="A649" t="s">
        <v>238</v>
      </c>
      <c r="B649" s="1">
        <v>139</v>
      </c>
      <c r="C649" s="1">
        <v>14</v>
      </c>
      <c r="D649">
        <v>3</v>
      </c>
      <c r="E649" t="s">
        <v>23</v>
      </c>
      <c r="F649" t="s">
        <v>32</v>
      </c>
      <c r="G649" t="s">
        <v>10</v>
      </c>
      <c r="H649">
        <f>IF(Table_Sales[[#This Row],[profit]]&lt;0,1,0)</f>
        <v>0</v>
      </c>
      <c r="I649" t="str" cm="1">
        <f t="array" ref="I649">_xlfn.IFS(Table_Sales[[#This Row],[quantity]]&lt;=3,"1-3",Table_Sales[[#This Row],[quantity]]&lt;=7,"2-7",Table_Sales[[#This Row],[quantity]]&lt;=10,"8-10",TRUE,"11 and above")</f>
        <v>1-3</v>
      </c>
      <c r="J649" t="str" cm="1">
        <f t="array" ref="J649">_xlfn.IFS(Table_Sales[[#This Row],[amount]]&lt;1000,"Under 1000",Table_Sales[[#This Row],[amount]]&lt;3000,"1000 - 2999",Table_Sales[[#This Row],[amount]]&lt;5000,"3000 - 4999",TRUE,"5000 &amp; above")</f>
        <v>Under 1000</v>
      </c>
      <c r="K649">
        <f>IF(COUNTIFS(INDEX(Table_Sales[order_id],1):Table_Sales[[#This Row],[order_id]],Table_Sales[[#This Row],[order_id]])=1,1,0)</f>
        <v>0</v>
      </c>
      <c r="L64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650" spans="1:12" x14ac:dyDescent="0.25">
      <c r="A650" t="s">
        <v>364</v>
      </c>
      <c r="B650" s="1">
        <v>171</v>
      </c>
      <c r="C650" s="1">
        <v>-140</v>
      </c>
      <c r="D650">
        <v>2</v>
      </c>
      <c r="E650" t="s">
        <v>12</v>
      </c>
      <c r="F650" t="s">
        <v>16</v>
      </c>
      <c r="G650" t="s">
        <v>14</v>
      </c>
      <c r="H650">
        <f>IF(Table_Sales[[#This Row],[profit]]&lt;0,1,0)</f>
        <v>1</v>
      </c>
      <c r="I650" t="str" cm="1">
        <f t="array" ref="I650">_xlfn.IFS(Table_Sales[[#This Row],[quantity]]&lt;=3,"1-3",Table_Sales[[#This Row],[quantity]]&lt;=7,"2-7",Table_Sales[[#This Row],[quantity]]&lt;=10,"8-10",TRUE,"11 and above")</f>
        <v>1-3</v>
      </c>
      <c r="J650" t="str" cm="1">
        <f t="array" ref="J650">_xlfn.IFS(Table_Sales[[#This Row],[amount]]&lt;1000,"Under 1000",Table_Sales[[#This Row],[amount]]&lt;3000,"1000 - 2999",Table_Sales[[#This Row],[amount]]&lt;5000,"3000 - 4999",TRUE,"5000 &amp; above")</f>
        <v>Under 1000</v>
      </c>
      <c r="K650">
        <f>IF(COUNTIFS(INDEX(Table_Sales[order_id],1):Table_Sales[[#This Row],[order_id]],Table_Sales[[#This Row],[order_id]])=1,1,0)</f>
        <v>1</v>
      </c>
      <c r="L65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651" spans="1:12" x14ac:dyDescent="0.25">
      <c r="A651" t="s">
        <v>365</v>
      </c>
      <c r="B651" s="1">
        <v>100</v>
      </c>
      <c r="C651" s="1">
        <v>12</v>
      </c>
      <c r="D651">
        <v>2</v>
      </c>
      <c r="E651" t="s">
        <v>23</v>
      </c>
      <c r="F651" t="s">
        <v>81</v>
      </c>
      <c r="G651" t="s">
        <v>28</v>
      </c>
      <c r="H651">
        <f>IF(Table_Sales[[#This Row],[profit]]&lt;0,1,0)</f>
        <v>0</v>
      </c>
      <c r="I651" t="str" cm="1">
        <f t="array" ref="I651">_xlfn.IFS(Table_Sales[[#This Row],[quantity]]&lt;=3,"1-3",Table_Sales[[#This Row],[quantity]]&lt;=7,"2-7",Table_Sales[[#This Row],[quantity]]&lt;=10,"8-10",TRUE,"11 and above")</f>
        <v>1-3</v>
      </c>
      <c r="J651" t="str" cm="1">
        <f t="array" ref="J651">_xlfn.IFS(Table_Sales[[#This Row],[amount]]&lt;1000,"Under 1000",Table_Sales[[#This Row],[amount]]&lt;3000,"1000 - 2999",Table_Sales[[#This Row],[amount]]&lt;5000,"3000 - 4999",TRUE,"5000 &amp; above")</f>
        <v>Under 1000</v>
      </c>
      <c r="K651">
        <f>IF(COUNTIFS(INDEX(Table_Sales[order_id],1):Table_Sales[[#This Row],[order_id]],Table_Sales[[#This Row],[order_id]])=1,1,0)</f>
        <v>1</v>
      </c>
      <c r="L65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652" spans="1:12" x14ac:dyDescent="0.25">
      <c r="A652" t="s">
        <v>349</v>
      </c>
      <c r="B652" s="1">
        <v>115</v>
      </c>
      <c r="C652" s="1">
        <v>25</v>
      </c>
      <c r="D652">
        <v>6</v>
      </c>
      <c r="E652" t="s">
        <v>23</v>
      </c>
      <c r="F652" t="s">
        <v>57</v>
      </c>
      <c r="G652" t="s">
        <v>10</v>
      </c>
      <c r="H652">
        <f>IF(Table_Sales[[#This Row],[profit]]&lt;0,1,0)</f>
        <v>0</v>
      </c>
      <c r="I652" t="str" cm="1">
        <f t="array" ref="I652">_xlfn.IFS(Table_Sales[[#This Row],[quantity]]&lt;=3,"1-3",Table_Sales[[#This Row],[quantity]]&lt;=7,"2-7",Table_Sales[[#This Row],[quantity]]&lt;=10,"8-10",TRUE,"11 and above")</f>
        <v>2-7</v>
      </c>
      <c r="J652" t="str" cm="1">
        <f t="array" ref="J652">_xlfn.IFS(Table_Sales[[#This Row],[amount]]&lt;1000,"Under 1000",Table_Sales[[#This Row],[amount]]&lt;3000,"1000 - 2999",Table_Sales[[#This Row],[amount]]&lt;5000,"3000 - 4999",TRUE,"5000 &amp; above")</f>
        <v>Under 1000</v>
      </c>
      <c r="K652">
        <f>IF(COUNTIFS(INDEX(Table_Sales[order_id],1):Table_Sales[[#This Row],[order_id]],Table_Sales[[#This Row],[order_id]])=1,1,0)</f>
        <v>0</v>
      </c>
      <c r="L65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653" spans="1:12" x14ac:dyDescent="0.25">
      <c r="A653" t="s">
        <v>25</v>
      </c>
      <c r="B653" s="1">
        <v>168</v>
      </c>
      <c r="C653" s="1">
        <v>-9</v>
      </c>
      <c r="D653">
        <v>3</v>
      </c>
      <c r="E653" t="s">
        <v>23</v>
      </c>
      <c r="F653" t="s">
        <v>26</v>
      </c>
      <c r="G653" t="s">
        <v>10</v>
      </c>
      <c r="H653">
        <f>IF(Table_Sales[[#This Row],[profit]]&lt;0,1,0)</f>
        <v>1</v>
      </c>
      <c r="I653" t="str" cm="1">
        <f t="array" ref="I653">_xlfn.IFS(Table_Sales[[#This Row],[quantity]]&lt;=3,"1-3",Table_Sales[[#This Row],[quantity]]&lt;=7,"2-7",Table_Sales[[#This Row],[quantity]]&lt;=10,"8-10",TRUE,"11 and above")</f>
        <v>1-3</v>
      </c>
      <c r="J653" t="str" cm="1">
        <f t="array" ref="J653">_xlfn.IFS(Table_Sales[[#This Row],[amount]]&lt;1000,"Under 1000",Table_Sales[[#This Row],[amount]]&lt;3000,"1000 - 2999",Table_Sales[[#This Row],[amount]]&lt;5000,"3000 - 4999",TRUE,"5000 &amp; above")</f>
        <v>Under 1000</v>
      </c>
      <c r="K653">
        <f>IF(COUNTIFS(INDEX(Table_Sales[order_id],1):Table_Sales[[#This Row],[order_id]],Table_Sales[[#This Row],[order_id]])=1,1,0)</f>
        <v>0</v>
      </c>
      <c r="L65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654" spans="1:12" x14ac:dyDescent="0.25">
      <c r="A654" t="s">
        <v>366</v>
      </c>
      <c r="B654" s="1">
        <v>115</v>
      </c>
      <c r="C654" s="1">
        <v>47</v>
      </c>
      <c r="D654">
        <v>2</v>
      </c>
      <c r="E654" t="s">
        <v>8</v>
      </c>
      <c r="F654" t="s">
        <v>73</v>
      </c>
      <c r="G654" t="s">
        <v>10</v>
      </c>
      <c r="H654">
        <f>IF(Table_Sales[[#This Row],[profit]]&lt;0,1,0)</f>
        <v>0</v>
      </c>
      <c r="I654" t="str" cm="1">
        <f t="array" ref="I654">_xlfn.IFS(Table_Sales[[#This Row],[quantity]]&lt;=3,"1-3",Table_Sales[[#This Row],[quantity]]&lt;=7,"2-7",Table_Sales[[#This Row],[quantity]]&lt;=10,"8-10",TRUE,"11 and above")</f>
        <v>1-3</v>
      </c>
      <c r="J654" t="str" cm="1">
        <f t="array" ref="J654">_xlfn.IFS(Table_Sales[[#This Row],[amount]]&lt;1000,"Under 1000",Table_Sales[[#This Row],[amount]]&lt;3000,"1000 - 2999",Table_Sales[[#This Row],[amount]]&lt;5000,"3000 - 4999",TRUE,"5000 &amp; above")</f>
        <v>Under 1000</v>
      </c>
      <c r="K654">
        <f>IF(COUNTIFS(INDEX(Table_Sales[order_id],1):Table_Sales[[#This Row],[order_id]],Table_Sales[[#This Row],[order_id]])=1,1,0)</f>
        <v>1</v>
      </c>
      <c r="L65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655" spans="1:12" x14ac:dyDescent="0.25">
      <c r="A655" t="s">
        <v>20</v>
      </c>
      <c r="B655" s="1">
        <v>168</v>
      </c>
      <c r="C655" s="1">
        <v>-111</v>
      </c>
      <c r="D655">
        <v>2</v>
      </c>
      <c r="E655" t="s">
        <v>8</v>
      </c>
      <c r="F655" t="s">
        <v>21</v>
      </c>
      <c r="G655" t="s">
        <v>14</v>
      </c>
      <c r="H655">
        <f>IF(Table_Sales[[#This Row],[profit]]&lt;0,1,0)</f>
        <v>1</v>
      </c>
      <c r="I655" t="str" cm="1">
        <f t="array" ref="I655">_xlfn.IFS(Table_Sales[[#This Row],[quantity]]&lt;=3,"1-3",Table_Sales[[#This Row],[quantity]]&lt;=7,"2-7",Table_Sales[[#This Row],[quantity]]&lt;=10,"8-10",TRUE,"11 and above")</f>
        <v>1-3</v>
      </c>
      <c r="J655" t="str" cm="1">
        <f t="array" ref="J655">_xlfn.IFS(Table_Sales[[#This Row],[amount]]&lt;1000,"Under 1000",Table_Sales[[#This Row],[amount]]&lt;3000,"1000 - 2999",Table_Sales[[#This Row],[amount]]&lt;5000,"3000 - 4999",TRUE,"5000 &amp; above")</f>
        <v>Under 1000</v>
      </c>
      <c r="K655">
        <f>IF(COUNTIFS(INDEX(Table_Sales[order_id],1):Table_Sales[[#This Row],[order_id]],Table_Sales[[#This Row],[order_id]])=1,1,0)</f>
        <v>0</v>
      </c>
      <c r="L65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656" spans="1:12" x14ac:dyDescent="0.25">
      <c r="A656" t="s">
        <v>367</v>
      </c>
      <c r="B656" s="1">
        <v>31</v>
      </c>
      <c r="C656" s="1">
        <v>-7</v>
      </c>
      <c r="D656">
        <v>5</v>
      </c>
      <c r="E656" t="s">
        <v>23</v>
      </c>
      <c r="F656" t="s">
        <v>43</v>
      </c>
      <c r="G656" t="s">
        <v>28</v>
      </c>
      <c r="H656">
        <f>IF(Table_Sales[[#This Row],[profit]]&lt;0,1,0)</f>
        <v>1</v>
      </c>
      <c r="I656" t="str" cm="1">
        <f t="array" ref="I656">_xlfn.IFS(Table_Sales[[#This Row],[quantity]]&lt;=3,"1-3",Table_Sales[[#This Row],[quantity]]&lt;=7,"2-7",Table_Sales[[#This Row],[quantity]]&lt;=10,"8-10",TRUE,"11 and above")</f>
        <v>2-7</v>
      </c>
      <c r="J656" t="str" cm="1">
        <f t="array" ref="J656">_xlfn.IFS(Table_Sales[[#This Row],[amount]]&lt;1000,"Under 1000",Table_Sales[[#This Row],[amount]]&lt;3000,"1000 - 2999",Table_Sales[[#This Row],[amount]]&lt;5000,"3000 - 4999",TRUE,"5000 &amp; above")</f>
        <v>Under 1000</v>
      </c>
      <c r="K656">
        <f>IF(COUNTIFS(INDEX(Table_Sales[order_id],1):Table_Sales[[#This Row],[order_id]],Table_Sales[[#This Row],[order_id]])=1,1,0)</f>
        <v>1</v>
      </c>
      <c r="L65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657" spans="1:12" x14ac:dyDescent="0.25">
      <c r="A657" t="s">
        <v>60</v>
      </c>
      <c r="B657" s="1">
        <v>114</v>
      </c>
      <c r="C657" s="1">
        <v>41</v>
      </c>
      <c r="D657">
        <v>6</v>
      </c>
      <c r="E657" t="s">
        <v>12</v>
      </c>
      <c r="F657" t="s">
        <v>131</v>
      </c>
      <c r="G657" t="s">
        <v>10</v>
      </c>
      <c r="H657">
        <f>IF(Table_Sales[[#This Row],[profit]]&lt;0,1,0)</f>
        <v>0</v>
      </c>
      <c r="I657" t="str" cm="1">
        <f t="array" ref="I657">_xlfn.IFS(Table_Sales[[#This Row],[quantity]]&lt;=3,"1-3",Table_Sales[[#This Row],[quantity]]&lt;=7,"2-7",Table_Sales[[#This Row],[quantity]]&lt;=10,"8-10",TRUE,"11 and above")</f>
        <v>2-7</v>
      </c>
      <c r="J657" t="str" cm="1">
        <f t="array" ref="J657">_xlfn.IFS(Table_Sales[[#This Row],[amount]]&lt;1000,"Under 1000",Table_Sales[[#This Row],[amount]]&lt;3000,"1000 - 2999",Table_Sales[[#This Row],[amount]]&lt;5000,"3000 - 4999",TRUE,"5000 &amp; above")</f>
        <v>Under 1000</v>
      </c>
      <c r="K657">
        <f>IF(COUNTIFS(INDEX(Table_Sales[order_id],1):Table_Sales[[#This Row],[order_id]],Table_Sales[[#This Row],[order_id]])=1,1,0)</f>
        <v>0</v>
      </c>
      <c r="L65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658" spans="1:12" x14ac:dyDescent="0.25">
      <c r="A658" t="s">
        <v>136</v>
      </c>
      <c r="B658" s="1">
        <v>111</v>
      </c>
      <c r="C658" s="1">
        <v>9</v>
      </c>
      <c r="D658">
        <v>4</v>
      </c>
      <c r="E658" t="s">
        <v>23</v>
      </c>
      <c r="F658" t="s">
        <v>57</v>
      </c>
      <c r="G658" t="s">
        <v>10</v>
      </c>
      <c r="H658">
        <f>IF(Table_Sales[[#This Row],[profit]]&lt;0,1,0)</f>
        <v>0</v>
      </c>
      <c r="I658" t="str" cm="1">
        <f t="array" ref="I658">_xlfn.IFS(Table_Sales[[#This Row],[quantity]]&lt;=3,"1-3",Table_Sales[[#This Row],[quantity]]&lt;=7,"2-7",Table_Sales[[#This Row],[quantity]]&lt;=10,"8-10",TRUE,"11 and above")</f>
        <v>2-7</v>
      </c>
      <c r="J658" t="str" cm="1">
        <f t="array" ref="J658">_xlfn.IFS(Table_Sales[[#This Row],[amount]]&lt;1000,"Under 1000",Table_Sales[[#This Row],[amount]]&lt;3000,"1000 - 2999",Table_Sales[[#This Row],[amount]]&lt;5000,"3000 - 4999",TRUE,"5000 &amp; above")</f>
        <v>Under 1000</v>
      </c>
      <c r="K658">
        <f>IF(COUNTIFS(INDEX(Table_Sales[order_id],1):Table_Sales[[#This Row],[order_id]],Table_Sales[[#This Row],[order_id]])=1,1,0)</f>
        <v>0</v>
      </c>
      <c r="L65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659" spans="1:12" x14ac:dyDescent="0.25">
      <c r="A659" t="s">
        <v>368</v>
      </c>
      <c r="B659" s="1">
        <v>11</v>
      </c>
      <c r="C659" s="1">
        <v>-8</v>
      </c>
      <c r="D659">
        <v>2</v>
      </c>
      <c r="E659" t="s">
        <v>23</v>
      </c>
      <c r="F659" t="s">
        <v>43</v>
      </c>
      <c r="G659" t="s">
        <v>28</v>
      </c>
      <c r="H659">
        <f>IF(Table_Sales[[#This Row],[profit]]&lt;0,1,0)</f>
        <v>1</v>
      </c>
      <c r="I659" t="str" cm="1">
        <f t="array" ref="I659">_xlfn.IFS(Table_Sales[[#This Row],[quantity]]&lt;=3,"1-3",Table_Sales[[#This Row],[quantity]]&lt;=7,"2-7",Table_Sales[[#This Row],[quantity]]&lt;=10,"8-10",TRUE,"11 and above")</f>
        <v>1-3</v>
      </c>
      <c r="J659" t="str" cm="1">
        <f t="array" ref="J659">_xlfn.IFS(Table_Sales[[#This Row],[amount]]&lt;1000,"Under 1000",Table_Sales[[#This Row],[amount]]&lt;3000,"1000 - 2999",Table_Sales[[#This Row],[amount]]&lt;5000,"3000 - 4999",TRUE,"5000 &amp; above")</f>
        <v>Under 1000</v>
      </c>
      <c r="K659">
        <f>IF(COUNTIFS(INDEX(Table_Sales[order_id],1):Table_Sales[[#This Row],[order_id]],Table_Sales[[#This Row],[order_id]])=1,1,0)</f>
        <v>1</v>
      </c>
      <c r="L65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660" spans="1:12" x14ac:dyDescent="0.25">
      <c r="A660" t="s">
        <v>249</v>
      </c>
      <c r="B660" s="1">
        <v>110</v>
      </c>
      <c r="C660" s="1">
        <v>35</v>
      </c>
      <c r="D660">
        <v>1</v>
      </c>
      <c r="E660" t="s">
        <v>12</v>
      </c>
      <c r="F660" t="s">
        <v>131</v>
      </c>
      <c r="G660" t="s">
        <v>10</v>
      </c>
      <c r="H660">
        <f>IF(Table_Sales[[#This Row],[profit]]&lt;0,1,0)</f>
        <v>0</v>
      </c>
      <c r="I660" t="str" cm="1">
        <f t="array" ref="I660">_xlfn.IFS(Table_Sales[[#This Row],[quantity]]&lt;=3,"1-3",Table_Sales[[#This Row],[quantity]]&lt;=7,"2-7",Table_Sales[[#This Row],[quantity]]&lt;=10,"8-10",TRUE,"11 and above")</f>
        <v>1-3</v>
      </c>
      <c r="J660" t="str" cm="1">
        <f t="array" ref="J660">_xlfn.IFS(Table_Sales[[#This Row],[amount]]&lt;1000,"Under 1000",Table_Sales[[#This Row],[amount]]&lt;3000,"1000 - 2999",Table_Sales[[#This Row],[amount]]&lt;5000,"3000 - 4999",TRUE,"5000 &amp; above")</f>
        <v>Under 1000</v>
      </c>
      <c r="K660">
        <f>IF(COUNTIFS(INDEX(Table_Sales[order_id],1):Table_Sales[[#This Row],[order_id]],Table_Sales[[#This Row],[order_id]])=1,1,0)</f>
        <v>0</v>
      </c>
      <c r="L66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661" spans="1:12" x14ac:dyDescent="0.25">
      <c r="A661" t="s">
        <v>128</v>
      </c>
      <c r="B661" s="1">
        <v>59</v>
      </c>
      <c r="C661" s="1">
        <v>15</v>
      </c>
      <c r="D661">
        <v>2</v>
      </c>
      <c r="E661" t="s">
        <v>23</v>
      </c>
      <c r="F661" t="s">
        <v>81</v>
      </c>
      <c r="G661" t="s">
        <v>28</v>
      </c>
      <c r="H661">
        <f>IF(Table_Sales[[#This Row],[profit]]&lt;0,1,0)</f>
        <v>0</v>
      </c>
      <c r="I661" t="str" cm="1">
        <f t="array" ref="I661">_xlfn.IFS(Table_Sales[[#This Row],[quantity]]&lt;=3,"1-3",Table_Sales[[#This Row],[quantity]]&lt;=7,"2-7",Table_Sales[[#This Row],[quantity]]&lt;=10,"8-10",TRUE,"11 and above")</f>
        <v>1-3</v>
      </c>
      <c r="J661" t="str" cm="1">
        <f t="array" ref="J661">_xlfn.IFS(Table_Sales[[#This Row],[amount]]&lt;1000,"Under 1000",Table_Sales[[#This Row],[amount]]&lt;3000,"1000 - 2999",Table_Sales[[#This Row],[amount]]&lt;5000,"3000 - 4999",TRUE,"5000 &amp; above")</f>
        <v>Under 1000</v>
      </c>
      <c r="K661">
        <f>IF(COUNTIFS(INDEX(Table_Sales[order_id],1):Table_Sales[[#This Row],[order_id]],Table_Sales[[#This Row],[order_id]])=1,1,0)</f>
        <v>0</v>
      </c>
      <c r="L66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662" spans="1:12" x14ac:dyDescent="0.25">
      <c r="A662" t="s">
        <v>230</v>
      </c>
      <c r="B662" s="1">
        <v>166</v>
      </c>
      <c r="C662" s="1">
        <v>27</v>
      </c>
      <c r="D662">
        <v>2</v>
      </c>
      <c r="E662" t="s">
        <v>8</v>
      </c>
      <c r="F662" t="s">
        <v>73</v>
      </c>
      <c r="G662" t="s">
        <v>14</v>
      </c>
      <c r="H662">
        <f>IF(Table_Sales[[#This Row],[profit]]&lt;0,1,0)</f>
        <v>0</v>
      </c>
      <c r="I662" t="str" cm="1">
        <f t="array" ref="I662">_xlfn.IFS(Table_Sales[[#This Row],[quantity]]&lt;=3,"1-3",Table_Sales[[#This Row],[quantity]]&lt;=7,"2-7",Table_Sales[[#This Row],[quantity]]&lt;=10,"8-10",TRUE,"11 and above")</f>
        <v>1-3</v>
      </c>
      <c r="J662" t="str" cm="1">
        <f t="array" ref="J662">_xlfn.IFS(Table_Sales[[#This Row],[amount]]&lt;1000,"Under 1000",Table_Sales[[#This Row],[amount]]&lt;3000,"1000 - 2999",Table_Sales[[#This Row],[amount]]&lt;5000,"3000 - 4999",TRUE,"5000 &amp; above")</f>
        <v>Under 1000</v>
      </c>
      <c r="K662">
        <f>IF(COUNTIFS(INDEX(Table_Sales[order_id],1):Table_Sales[[#This Row],[order_id]],Table_Sales[[#This Row],[order_id]])=1,1,0)</f>
        <v>0</v>
      </c>
      <c r="L66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663" spans="1:12" x14ac:dyDescent="0.25">
      <c r="A663" t="s">
        <v>52</v>
      </c>
      <c r="B663" s="1">
        <v>109</v>
      </c>
      <c r="C663" s="1">
        <v>-6</v>
      </c>
      <c r="D663">
        <v>6</v>
      </c>
      <c r="E663" t="s">
        <v>23</v>
      </c>
      <c r="F663" t="s">
        <v>26</v>
      </c>
      <c r="G663" t="s">
        <v>10</v>
      </c>
      <c r="H663">
        <f>IF(Table_Sales[[#This Row],[profit]]&lt;0,1,0)</f>
        <v>1</v>
      </c>
      <c r="I663" t="str" cm="1">
        <f t="array" ref="I663">_xlfn.IFS(Table_Sales[[#This Row],[quantity]]&lt;=3,"1-3",Table_Sales[[#This Row],[quantity]]&lt;=7,"2-7",Table_Sales[[#This Row],[quantity]]&lt;=10,"8-10",TRUE,"11 and above")</f>
        <v>2-7</v>
      </c>
      <c r="J663" t="str" cm="1">
        <f t="array" ref="J663">_xlfn.IFS(Table_Sales[[#This Row],[amount]]&lt;1000,"Under 1000",Table_Sales[[#This Row],[amount]]&lt;3000,"1000 - 2999",Table_Sales[[#This Row],[amount]]&lt;5000,"3000 - 4999",TRUE,"5000 &amp; above")</f>
        <v>Under 1000</v>
      </c>
      <c r="K663">
        <f>IF(COUNTIFS(INDEX(Table_Sales[order_id],1):Table_Sales[[#This Row],[order_id]],Table_Sales[[#This Row],[order_id]])=1,1,0)</f>
        <v>0</v>
      </c>
      <c r="L66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664" spans="1:12" x14ac:dyDescent="0.25">
      <c r="A664" t="s">
        <v>308</v>
      </c>
      <c r="B664" s="1">
        <v>34</v>
      </c>
      <c r="C664" s="1">
        <v>-6</v>
      </c>
      <c r="D664">
        <v>4</v>
      </c>
      <c r="E664" t="s">
        <v>23</v>
      </c>
      <c r="F664" t="s">
        <v>63</v>
      </c>
      <c r="G664" t="s">
        <v>10</v>
      </c>
      <c r="H664">
        <f>IF(Table_Sales[[#This Row],[profit]]&lt;0,1,0)</f>
        <v>1</v>
      </c>
      <c r="I664" t="str" cm="1">
        <f t="array" ref="I664">_xlfn.IFS(Table_Sales[[#This Row],[quantity]]&lt;=3,"1-3",Table_Sales[[#This Row],[quantity]]&lt;=7,"2-7",Table_Sales[[#This Row],[quantity]]&lt;=10,"8-10",TRUE,"11 and above")</f>
        <v>2-7</v>
      </c>
      <c r="J664" t="str" cm="1">
        <f t="array" ref="J664">_xlfn.IFS(Table_Sales[[#This Row],[amount]]&lt;1000,"Under 1000",Table_Sales[[#This Row],[amount]]&lt;3000,"1000 - 2999",Table_Sales[[#This Row],[amount]]&lt;5000,"3000 - 4999",TRUE,"5000 &amp; above")</f>
        <v>Under 1000</v>
      </c>
      <c r="K664">
        <f>IF(COUNTIFS(INDEX(Table_Sales[order_id],1):Table_Sales[[#This Row],[order_id]],Table_Sales[[#This Row],[order_id]])=1,1,0)</f>
        <v>0</v>
      </c>
      <c r="L66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665" spans="1:12" x14ac:dyDescent="0.25">
      <c r="A665" t="s">
        <v>292</v>
      </c>
      <c r="B665" s="1">
        <v>109</v>
      </c>
      <c r="C665" s="1">
        <v>40</v>
      </c>
      <c r="D665">
        <v>1</v>
      </c>
      <c r="E665" t="s">
        <v>12</v>
      </c>
      <c r="F665" t="s">
        <v>131</v>
      </c>
      <c r="G665" t="s">
        <v>10</v>
      </c>
      <c r="H665">
        <f>IF(Table_Sales[[#This Row],[profit]]&lt;0,1,0)</f>
        <v>0</v>
      </c>
      <c r="I665" t="str" cm="1">
        <f t="array" ref="I665">_xlfn.IFS(Table_Sales[[#This Row],[quantity]]&lt;=3,"1-3",Table_Sales[[#This Row],[quantity]]&lt;=7,"2-7",Table_Sales[[#This Row],[quantity]]&lt;=10,"8-10",TRUE,"11 and above")</f>
        <v>1-3</v>
      </c>
      <c r="J665" t="str" cm="1">
        <f t="array" ref="J665">_xlfn.IFS(Table_Sales[[#This Row],[amount]]&lt;1000,"Under 1000",Table_Sales[[#This Row],[amount]]&lt;3000,"1000 - 2999",Table_Sales[[#This Row],[amount]]&lt;5000,"3000 - 4999",TRUE,"5000 &amp; above")</f>
        <v>Under 1000</v>
      </c>
      <c r="K665">
        <f>IF(COUNTIFS(INDEX(Table_Sales[order_id],1):Table_Sales[[#This Row],[order_id]],Table_Sales[[#This Row],[order_id]])=1,1,0)</f>
        <v>0</v>
      </c>
      <c r="L66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666" spans="1:12" x14ac:dyDescent="0.25">
      <c r="A666" t="s">
        <v>71</v>
      </c>
      <c r="B666" s="1">
        <v>108</v>
      </c>
      <c r="C666" s="1">
        <v>22</v>
      </c>
      <c r="D666">
        <v>3</v>
      </c>
      <c r="E666" t="s">
        <v>8</v>
      </c>
      <c r="F666" t="s">
        <v>73</v>
      </c>
      <c r="G666" t="s">
        <v>10</v>
      </c>
      <c r="H666">
        <f>IF(Table_Sales[[#This Row],[profit]]&lt;0,1,0)</f>
        <v>0</v>
      </c>
      <c r="I666" t="str" cm="1">
        <f t="array" ref="I666">_xlfn.IFS(Table_Sales[[#This Row],[quantity]]&lt;=3,"1-3",Table_Sales[[#This Row],[quantity]]&lt;=7,"2-7",Table_Sales[[#This Row],[quantity]]&lt;=10,"8-10",TRUE,"11 and above")</f>
        <v>1-3</v>
      </c>
      <c r="J666" t="str" cm="1">
        <f t="array" ref="J666">_xlfn.IFS(Table_Sales[[#This Row],[amount]]&lt;1000,"Under 1000",Table_Sales[[#This Row],[amount]]&lt;3000,"1000 - 2999",Table_Sales[[#This Row],[amount]]&lt;5000,"3000 - 4999",TRUE,"5000 &amp; above")</f>
        <v>Under 1000</v>
      </c>
      <c r="K666">
        <f>IF(COUNTIFS(INDEX(Table_Sales[order_id],1):Table_Sales[[#This Row],[order_id]],Table_Sales[[#This Row],[order_id]])=1,1,0)</f>
        <v>0</v>
      </c>
      <c r="L66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667" spans="1:12" x14ac:dyDescent="0.25">
      <c r="A667" t="s">
        <v>310</v>
      </c>
      <c r="B667" s="1">
        <v>103</v>
      </c>
      <c r="C667" s="1">
        <v>50</v>
      </c>
      <c r="D667">
        <v>2</v>
      </c>
      <c r="E667" t="s">
        <v>12</v>
      </c>
      <c r="F667" t="s">
        <v>131</v>
      </c>
      <c r="G667" t="s">
        <v>28</v>
      </c>
      <c r="H667">
        <f>IF(Table_Sales[[#This Row],[profit]]&lt;0,1,0)</f>
        <v>0</v>
      </c>
      <c r="I667" t="str" cm="1">
        <f t="array" ref="I667">_xlfn.IFS(Table_Sales[[#This Row],[quantity]]&lt;=3,"1-3",Table_Sales[[#This Row],[quantity]]&lt;=7,"2-7",Table_Sales[[#This Row],[quantity]]&lt;=10,"8-10",TRUE,"11 and above")</f>
        <v>1-3</v>
      </c>
      <c r="J667" t="str" cm="1">
        <f t="array" ref="J667">_xlfn.IFS(Table_Sales[[#This Row],[amount]]&lt;1000,"Under 1000",Table_Sales[[#This Row],[amount]]&lt;3000,"1000 - 2999",Table_Sales[[#This Row],[amount]]&lt;5000,"3000 - 4999",TRUE,"5000 &amp; above")</f>
        <v>Under 1000</v>
      </c>
      <c r="K667">
        <f>IF(COUNTIFS(INDEX(Table_Sales[order_id],1):Table_Sales[[#This Row],[order_id]],Table_Sales[[#This Row],[order_id]])=1,1,0)</f>
        <v>0</v>
      </c>
      <c r="L66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668" spans="1:12" x14ac:dyDescent="0.25">
      <c r="A668" t="s">
        <v>210</v>
      </c>
      <c r="B668" s="1">
        <v>10</v>
      </c>
      <c r="C668" s="1">
        <v>-8</v>
      </c>
      <c r="D668">
        <v>2</v>
      </c>
      <c r="E668" t="s">
        <v>23</v>
      </c>
      <c r="F668" t="s">
        <v>43</v>
      </c>
      <c r="G668" t="s">
        <v>10</v>
      </c>
      <c r="H668">
        <f>IF(Table_Sales[[#This Row],[profit]]&lt;0,1,0)</f>
        <v>1</v>
      </c>
      <c r="I668" t="str" cm="1">
        <f t="array" ref="I668">_xlfn.IFS(Table_Sales[[#This Row],[quantity]]&lt;=3,"1-3",Table_Sales[[#This Row],[quantity]]&lt;=7,"2-7",Table_Sales[[#This Row],[quantity]]&lt;=10,"8-10",TRUE,"11 and above")</f>
        <v>1-3</v>
      </c>
      <c r="J668" t="str" cm="1">
        <f t="array" ref="J668">_xlfn.IFS(Table_Sales[[#This Row],[amount]]&lt;1000,"Under 1000",Table_Sales[[#This Row],[amount]]&lt;3000,"1000 - 2999",Table_Sales[[#This Row],[amount]]&lt;5000,"3000 - 4999",TRUE,"5000 &amp; above")</f>
        <v>Under 1000</v>
      </c>
      <c r="K668">
        <f>IF(COUNTIFS(INDEX(Table_Sales[order_id],1):Table_Sales[[#This Row],[order_id]],Table_Sales[[#This Row],[order_id]])=1,1,0)</f>
        <v>0</v>
      </c>
      <c r="L66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669" spans="1:12" x14ac:dyDescent="0.25">
      <c r="A669" t="s">
        <v>171</v>
      </c>
      <c r="B669" s="1">
        <v>90</v>
      </c>
      <c r="C669" s="1">
        <v>17</v>
      </c>
      <c r="D669">
        <v>3</v>
      </c>
      <c r="E669" t="s">
        <v>23</v>
      </c>
      <c r="F669" t="s">
        <v>30</v>
      </c>
      <c r="G669" t="s">
        <v>10</v>
      </c>
      <c r="H669">
        <f>IF(Table_Sales[[#This Row],[profit]]&lt;0,1,0)</f>
        <v>0</v>
      </c>
      <c r="I669" t="str" cm="1">
        <f t="array" ref="I669">_xlfn.IFS(Table_Sales[[#This Row],[quantity]]&lt;=3,"1-3",Table_Sales[[#This Row],[quantity]]&lt;=7,"2-7",Table_Sales[[#This Row],[quantity]]&lt;=10,"8-10",TRUE,"11 and above")</f>
        <v>1-3</v>
      </c>
      <c r="J669" t="str" cm="1">
        <f t="array" ref="J669">_xlfn.IFS(Table_Sales[[#This Row],[amount]]&lt;1000,"Under 1000",Table_Sales[[#This Row],[amount]]&lt;3000,"1000 - 2999",Table_Sales[[#This Row],[amount]]&lt;5000,"3000 - 4999",TRUE,"5000 &amp; above")</f>
        <v>Under 1000</v>
      </c>
      <c r="K669">
        <f>IF(COUNTIFS(INDEX(Table_Sales[order_id],1):Table_Sales[[#This Row],[order_id]],Table_Sales[[#This Row],[order_id]])=1,1,0)</f>
        <v>0</v>
      </c>
      <c r="L66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670" spans="1:12" x14ac:dyDescent="0.25">
      <c r="A670" t="s">
        <v>205</v>
      </c>
      <c r="B670" s="1">
        <v>105</v>
      </c>
      <c r="C670" s="1">
        <v>46</v>
      </c>
      <c r="D670">
        <v>2</v>
      </c>
      <c r="E670" t="s">
        <v>23</v>
      </c>
      <c r="F670" t="s">
        <v>57</v>
      </c>
      <c r="G670" t="s">
        <v>28</v>
      </c>
      <c r="H670">
        <f>IF(Table_Sales[[#This Row],[profit]]&lt;0,1,0)</f>
        <v>0</v>
      </c>
      <c r="I670" t="str" cm="1">
        <f t="array" ref="I670">_xlfn.IFS(Table_Sales[[#This Row],[quantity]]&lt;=3,"1-3",Table_Sales[[#This Row],[quantity]]&lt;=7,"2-7",Table_Sales[[#This Row],[quantity]]&lt;=10,"8-10",TRUE,"11 and above")</f>
        <v>1-3</v>
      </c>
      <c r="J670" t="str" cm="1">
        <f t="array" ref="J670">_xlfn.IFS(Table_Sales[[#This Row],[amount]]&lt;1000,"Under 1000",Table_Sales[[#This Row],[amount]]&lt;3000,"1000 - 2999",Table_Sales[[#This Row],[amount]]&lt;5000,"3000 - 4999",TRUE,"5000 &amp; above")</f>
        <v>Under 1000</v>
      </c>
      <c r="K670">
        <f>IF(COUNTIFS(INDEX(Table_Sales[order_id],1):Table_Sales[[#This Row],[order_id]],Table_Sales[[#This Row],[order_id]])=1,1,0)</f>
        <v>0</v>
      </c>
      <c r="L67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671" spans="1:12" x14ac:dyDescent="0.25">
      <c r="A671" t="s">
        <v>336</v>
      </c>
      <c r="B671" s="1">
        <v>105</v>
      </c>
      <c r="C671" s="1">
        <v>20</v>
      </c>
      <c r="D671">
        <v>2</v>
      </c>
      <c r="E671" t="s">
        <v>23</v>
      </c>
      <c r="F671" t="s">
        <v>57</v>
      </c>
      <c r="G671" t="s">
        <v>82</v>
      </c>
      <c r="H671">
        <f>IF(Table_Sales[[#This Row],[profit]]&lt;0,1,0)</f>
        <v>0</v>
      </c>
      <c r="I671" t="str" cm="1">
        <f t="array" ref="I671">_xlfn.IFS(Table_Sales[[#This Row],[quantity]]&lt;=3,"1-3",Table_Sales[[#This Row],[quantity]]&lt;=7,"2-7",Table_Sales[[#This Row],[quantity]]&lt;=10,"8-10",TRUE,"11 and above")</f>
        <v>1-3</v>
      </c>
      <c r="J671" t="str" cm="1">
        <f t="array" ref="J671">_xlfn.IFS(Table_Sales[[#This Row],[amount]]&lt;1000,"Under 1000",Table_Sales[[#This Row],[amount]]&lt;3000,"1000 - 2999",Table_Sales[[#This Row],[amount]]&lt;5000,"3000 - 4999",TRUE,"5000 &amp; above")</f>
        <v>Under 1000</v>
      </c>
      <c r="K671">
        <f>IF(COUNTIFS(INDEX(Table_Sales[order_id],1):Table_Sales[[#This Row],[order_id]],Table_Sales[[#This Row],[order_id]])=1,1,0)</f>
        <v>0</v>
      </c>
      <c r="L67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672" spans="1:12" x14ac:dyDescent="0.25">
      <c r="A672" t="s">
        <v>369</v>
      </c>
      <c r="B672" s="1">
        <v>22</v>
      </c>
      <c r="C672" s="1">
        <v>-6</v>
      </c>
      <c r="D672">
        <v>1</v>
      </c>
      <c r="E672" t="s">
        <v>12</v>
      </c>
      <c r="F672" t="s">
        <v>131</v>
      </c>
      <c r="G672" t="s">
        <v>10</v>
      </c>
      <c r="H672">
        <f>IF(Table_Sales[[#This Row],[profit]]&lt;0,1,0)</f>
        <v>1</v>
      </c>
      <c r="I672" t="str" cm="1">
        <f t="array" ref="I672">_xlfn.IFS(Table_Sales[[#This Row],[quantity]]&lt;=3,"1-3",Table_Sales[[#This Row],[quantity]]&lt;=7,"2-7",Table_Sales[[#This Row],[quantity]]&lt;=10,"8-10",TRUE,"11 and above")</f>
        <v>1-3</v>
      </c>
      <c r="J672" t="str" cm="1">
        <f t="array" ref="J672">_xlfn.IFS(Table_Sales[[#This Row],[amount]]&lt;1000,"Under 1000",Table_Sales[[#This Row],[amount]]&lt;3000,"1000 - 2999",Table_Sales[[#This Row],[amount]]&lt;5000,"3000 - 4999",TRUE,"5000 &amp; above")</f>
        <v>Under 1000</v>
      </c>
      <c r="K672">
        <f>IF(COUNTIFS(INDEX(Table_Sales[order_id],1):Table_Sales[[#This Row],[order_id]],Table_Sales[[#This Row],[order_id]])=1,1,0)</f>
        <v>1</v>
      </c>
      <c r="L67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673" spans="1:12" x14ac:dyDescent="0.25">
      <c r="A673" t="s">
        <v>113</v>
      </c>
      <c r="B673" s="1">
        <v>105</v>
      </c>
      <c r="C673" s="1">
        <v>-33</v>
      </c>
      <c r="D673">
        <v>5</v>
      </c>
      <c r="E673" t="s">
        <v>23</v>
      </c>
      <c r="F673" t="s">
        <v>32</v>
      </c>
      <c r="G673" t="s">
        <v>10</v>
      </c>
      <c r="H673">
        <f>IF(Table_Sales[[#This Row],[profit]]&lt;0,1,0)</f>
        <v>1</v>
      </c>
      <c r="I673" t="str" cm="1">
        <f t="array" ref="I673">_xlfn.IFS(Table_Sales[[#This Row],[quantity]]&lt;=3,"1-3",Table_Sales[[#This Row],[quantity]]&lt;=7,"2-7",Table_Sales[[#This Row],[quantity]]&lt;=10,"8-10",TRUE,"11 and above")</f>
        <v>2-7</v>
      </c>
      <c r="J673" t="str" cm="1">
        <f t="array" ref="J673">_xlfn.IFS(Table_Sales[[#This Row],[amount]]&lt;1000,"Under 1000",Table_Sales[[#This Row],[amount]]&lt;3000,"1000 - 2999",Table_Sales[[#This Row],[amount]]&lt;5000,"3000 - 4999",TRUE,"5000 &amp; above")</f>
        <v>Under 1000</v>
      </c>
      <c r="K673">
        <f>IF(COUNTIFS(INDEX(Table_Sales[order_id],1):Table_Sales[[#This Row],[order_id]],Table_Sales[[#This Row],[order_id]])=1,1,0)</f>
        <v>0</v>
      </c>
      <c r="L67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674" spans="1:12" x14ac:dyDescent="0.25">
      <c r="A674" t="s">
        <v>370</v>
      </c>
      <c r="B674" s="1">
        <v>105</v>
      </c>
      <c r="C674" s="1">
        <v>25</v>
      </c>
      <c r="D674">
        <v>2</v>
      </c>
      <c r="E674" t="s">
        <v>23</v>
      </c>
      <c r="F674" t="s">
        <v>30</v>
      </c>
      <c r="G674" t="s">
        <v>14</v>
      </c>
      <c r="H674">
        <f>IF(Table_Sales[[#This Row],[profit]]&lt;0,1,0)</f>
        <v>0</v>
      </c>
      <c r="I674" t="str" cm="1">
        <f t="array" ref="I674">_xlfn.IFS(Table_Sales[[#This Row],[quantity]]&lt;=3,"1-3",Table_Sales[[#This Row],[quantity]]&lt;=7,"2-7",Table_Sales[[#This Row],[quantity]]&lt;=10,"8-10",TRUE,"11 and above")</f>
        <v>1-3</v>
      </c>
      <c r="J674" t="str" cm="1">
        <f t="array" ref="J674">_xlfn.IFS(Table_Sales[[#This Row],[amount]]&lt;1000,"Under 1000",Table_Sales[[#This Row],[amount]]&lt;3000,"1000 - 2999",Table_Sales[[#This Row],[amount]]&lt;5000,"3000 - 4999",TRUE,"5000 &amp; above")</f>
        <v>Under 1000</v>
      </c>
      <c r="K674">
        <f>IF(COUNTIFS(INDEX(Table_Sales[order_id],1):Table_Sales[[#This Row],[order_id]],Table_Sales[[#This Row],[order_id]])=1,1,0)</f>
        <v>1</v>
      </c>
      <c r="L67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675" spans="1:12" x14ac:dyDescent="0.25">
      <c r="A675" t="s">
        <v>371</v>
      </c>
      <c r="B675" s="1">
        <v>25</v>
      </c>
      <c r="C675" s="1">
        <v>-7</v>
      </c>
      <c r="D675">
        <v>5</v>
      </c>
      <c r="E675" t="s">
        <v>23</v>
      </c>
      <c r="F675" t="s">
        <v>26</v>
      </c>
      <c r="G675" t="s">
        <v>28</v>
      </c>
      <c r="H675">
        <f>IF(Table_Sales[[#This Row],[profit]]&lt;0,1,0)</f>
        <v>1</v>
      </c>
      <c r="I675" t="str" cm="1">
        <f t="array" ref="I675">_xlfn.IFS(Table_Sales[[#This Row],[quantity]]&lt;=3,"1-3",Table_Sales[[#This Row],[quantity]]&lt;=7,"2-7",Table_Sales[[#This Row],[quantity]]&lt;=10,"8-10",TRUE,"11 and above")</f>
        <v>2-7</v>
      </c>
      <c r="J675" t="str" cm="1">
        <f t="array" ref="J675">_xlfn.IFS(Table_Sales[[#This Row],[amount]]&lt;1000,"Under 1000",Table_Sales[[#This Row],[amount]]&lt;3000,"1000 - 2999",Table_Sales[[#This Row],[amount]]&lt;5000,"3000 - 4999",TRUE,"5000 &amp; above")</f>
        <v>Under 1000</v>
      </c>
      <c r="K675">
        <f>IF(COUNTIFS(INDEX(Table_Sales[order_id],1):Table_Sales[[#This Row],[order_id]],Table_Sales[[#This Row],[order_id]])=1,1,0)</f>
        <v>1</v>
      </c>
      <c r="L67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676" spans="1:12" x14ac:dyDescent="0.25">
      <c r="A676" t="s">
        <v>310</v>
      </c>
      <c r="B676" s="1">
        <v>104</v>
      </c>
      <c r="C676" s="1">
        <v>2</v>
      </c>
      <c r="D676">
        <v>2</v>
      </c>
      <c r="E676" t="s">
        <v>12</v>
      </c>
      <c r="F676" t="s">
        <v>131</v>
      </c>
      <c r="G676" t="s">
        <v>10</v>
      </c>
      <c r="H676">
        <f>IF(Table_Sales[[#This Row],[profit]]&lt;0,1,0)</f>
        <v>0</v>
      </c>
      <c r="I676" t="str" cm="1">
        <f t="array" ref="I676">_xlfn.IFS(Table_Sales[[#This Row],[quantity]]&lt;=3,"1-3",Table_Sales[[#This Row],[quantity]]&lt;=7,"2-7",Table_Sales[[#This Row],[quantity]]&lt;=10,"8-10",TRUE,"11 and above")</f>
        <v>1-3</v>
      </c>
      <c r="J676" t="str" cm="1">
        <f t="array" ref="J676">_xlfn.IFS(Table_Sales[[#This Row],[amount]]&lt;1000,"Under 1000",Table_Sales[[#This Row],[amount]]&lt;3000,"1000 - 2999",Table_Sales[[#This Row],[amount]]&lt;5000,"3000 - 4999",TRUE,"5000 &amp; above")</f>
        <v>Under 1000</v>
      </c>
      <c r="K676">
        <f>IF(COUNTIFS(INDEX(Table_Sales[order_id],1):Table_Sales[[#This Row],[order_id]],Table_Sales[[#This Row],[order_id]])=1,1,0)</f>
        <v>0</v>
      </c>
      <c r="L67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677" spans="1:12" x14ac:dyDescent="0.25">
      <c r="A677" t="s">
        <v>372</v>
      </c>
      <c r="B677" s="1">
        <v>16</v>
      </c>
      <c r="C677" s="1">
        <v>5</v>
      </c>
      <c r="D677">
        <v>1</v>
      </c>
      <c r="E677" t="s">
        <v>23</v>
      </c>
      <c r="F677" t="s">
        <v>57</v>
      </c>
      <c r="G677" t="s">
        <v>28</v>
      </c>
      <c r="H677">
        <f>IF(Table_Sales[[#This Row],[profit]]&lt;0,1,0)</f>
        <v>0</v>
      </c>
      <c r="I677" t="str" cm="1">
        <f t="array" ref="I677">_xlfn.IFS(Table_Sales[[#This Row],[quantity]]&lt;=3,"1-3",Table_Sales[[#This Row],[quantity]]&lt;=7,"2-7",Table_Sales[[#This Row],[quantity]]&lt;=10,"8-10",TRUE,"11 and above")</f>
        <v>1-3</v>
      </c>
      <c r="J677" t="str" cm="1">
        <f t="array" ref="J677">_xlfn.IFS(Table_Sales[[#This Row],[amount]]&lt;1000,"Under 1000",Table_Sales[[#This Row],[amount]]&lt;3000,"1000 - 2999",Table_Sales[[#This Row],[amount]]&lt;5000,"3000 - 4999",TRUE,"5000 &amp; above")</f>
        <v>Under 1000</v>
      </c>
      <c r="K677">
        <f>IF(COUNTIFS(INDEX(Table_Sales[order_id],1):Table_Sales[[#This Row],[order_id]],Table_Sales[[#This Row],[order_id]])=1,1,0)</f>
        <v>1</v>
      </c>
      <c r="L67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678" spans="1:12" x14ac:dyDescent="0.25">
      <c r="A678" t="s">
        <v>215</v>
      </c>
      <c r="B678" s="1">
        <v>64</v>
      </c>
      <c r="C678" s="1">
        <v>-7</v>
      </c>
      <c r="D678">
        <v>3</v>
      </c>
      <c r="E678" t="s">
        <v>23</v>
      </c>
      <c r="F678" t="s">
        <v>26</v>
      </c>
      <c r="G678" t="s">
        <v>10</v>
      </c>
      <c r="H678">
        <f>IF(Table_Sales[[#This Row],[profit]]&lt;0,1,0)</f>
        <v>1</v>
      </c>
      <c r="I678" t="str" cm="1">
        <f t="array" ref="I678">_xlfn.IFS(Table_Sales[[#This Row],[quantity]]&lt;=3,"1-3",Table_Sales[[#This Row],[quantity]]&lt;=7,"2-7",Table_Sales[[#This Row],[quantity]]&lt;=10,"8-10",TRUE,"11 and above")</f>
        <v>1-3</v>
      </c>
      <c r="J678" t="str" cm="1">
        <f t="array" ref="J678">_xlfn.IFS(Table_Sales[[#This Row],[amount]]&lt;1000,"Under 1000",Table_Sales[[#This Row],[amount]]&lt;3000,"1000 - 2999",Table_Sales[[#This Row],[amount]]&lt;5000,"3000 - 4999",TRUE,"5000 &amp; above")</f>
        <v>Under 1000</v>
      </c>
      <c r="K678">
        <f>IF(COUNTIFS(INDEX(Table_Sales[order_id],1):Table_Sales[[#This Row],[order_id]],Table_Sales[[#This Row],[order_id]])=1,1,0)</f>
        <v>0</v>
      </c>
      <c r="L67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679" spans="1:12" x14ac:dyDescent="0.25">
      <c r="A679" t="s">
        <v>373</v>
      </c>
      <c r="B679" s="1">
        <v>38</v>
      </c>
      <c r="C679" s="1">
        <v>-6</v>
      </c>
      <c r="D679">
        <v>2</v>
      </c>
      <c r="E679" t="s">
        <v>12</v>
      </c>
      <c r="F679" t="s">
        <v>131</v>
      </c>
      <c r="G679" t="s">
        <v>28</v>
      </c>
      <c r="H679">
        <f>IF(Table_Sales[[#This Row],[profit]]&lt;0,1,0)</f>
        <v>1</v>
      </c>
      <c r="I679" t="str" cm="1">
        <f t="array" ref="I679">_xlfn.IFS(Table_Sales[[#This Row],[quantity]]&lt;=3,"1-3",Table_Sales[[#This Row],[quantity]]&lt;=7,"2-7",Table_Sales[[#This Row],[quantity]]&lt;=10,"8-10",TRUE,"11 and above")</f>
        <v>1-3</v>
      </c>
      <c r="J679" t="str" cm="1">
        <f t="array" ref="J679">_xlfn.IFS(Table_Sales[[#This Row],[amount]]&lt;1000,"Under 1000",Table_Sales[[#This Row],[amount]]&lt;3000,"1000 - 2999",Table_Sales[[#This Row],[amount]]&lt;5000,"3000 - 4999",TRUE,"5000 &amp; above")</f>
        <v>Under 1000</v>
      </c>
      <c r="K679">
        <f>IF(COUNTIFS(INDEX(Table_Sales[order_id],1):Table_Sales[[#This Row],[order_id]],Table_Sales[[#This Row],[order_id]])=1,1,0)</f>
        <v>1</v>
      </c>
      <c r="L67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680" spans="1:12" x14ac:dyDescent="0.25">
      <c r="A680" t="s">
        <v>374</v>
      </c>
      <c r="B680" s="1">
        <v>83</v>
      </c>
      <c r="C680" s="1">
        <v>12</v>
      </c>
      <c r="D680">
        <v>2</v>
      </c>
      <c r="E680" t="s">
        <v>12</v>
      </c>
      <c r="F680" t="s">
        <v>13</v>
      </c>
      <c r="G680" t="s">
        <v>10</v>
      </c>
      <c r="H680">
        <f>IF(Table_Sales[[#This Row],[profit]]&lt;0,1,0)</f>
        <v>0</v>
      </c>
      <c r="I680" t="str" cm="1">
        <f t="array" ref="I680">_xlfn.IFS(Table_Sales[[#This Row],[quantity]]&lt;=3,"1-3",Table_Sales[[#This Row],[quantity]]&lt;=7,"2-7",Table_Sales[[#This Row],[quantity]]&lt;=10,"8-10",TRUE,"11 and above")</f>
        <v>1-3</v>
      </c>
      <c r="J680" t="str" cm="1">
        <f t="array" ref="J680">_xlfn.IFS(Table_Sales[[#This Row],[amount]]&lt;1000,"Under 1000",Table_Sales[[#This Row],[amount]]&lt;3000,"1000 - 2999",Table_Sales[[#This Row],[amount]]&lt;5000,"3000 - 4999",TRUE,"5000 &amp; above")</f>
        <v>Under 1000</v>
      </c>
      <c r="K680">
        <f>IF(COUNTIFS(INDEX(Table_Sales[order_id],1):Table_Sales[[#This Row],[order_id]],Table_Sales[[#This Row],[order_id]])=1,1,0)</f>
        <v>1</v>
      </c>
      <c r="L68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681" spans="1:12" x14ac:dyDescent="0.25">
      <c r="A681" t="s">
        <v>191</v>
      </c>
      <c r="B681" s="1">
        <v>103</v>
      </c>
      <c r="C681" s="1">
        <v>36</v>
      </c>
      <c r="D681">
        <v>2</v>
      </c>
      <c r="E681" t="s">
        <v>23</v>
      </c>
      <c r="F681" t="s">
        <v>30</v>
      </c>
      <c r="G681" t="s">
        <v>10</v>
      </c>
      <c r="H681">
        <f>IF(Table_Sales[[#This Row],[profit]]&lt;0,1,0)</f>
        <v>0</v>
      </c>
      <c r="I681" t="str" cm="1">
        <f t="array" ref="I681">_xlfn.IFS(Table_Sales[[#This Row],[quantity]]&lt;=3,"1-3",Table_Sales[[#This Row],[quantity]]&lt;=7,"2-7",Table_Sales[[#This Row],[quantity]]&lt;=10,"8-10",TRUE,"11 and above")</f>
        <v>1-3</v>
      </c>
      <c r="J681" t="str" cm="1">
        <f t="array" ref="J681">_xlfn.IFS(Table_Sales[[#This Row],[amount]]&lt;1000,"Under 1000",Table_Sales[[#This Row],[amount]]&lt;3000,"1000 - 2999",Table_Sales[[#This Row],[amount]]&lt;5000,"3000 - 4999",TRUE,"5000 &amp; above")</f>
        <v>Under 1000</v>
      </c>
      <c r="K681">
        <f>IF(COUNTIFS(INDEX(Table_Sales[order_id],1):Table_Sales[[#This Row],[order_id]],Table_Sales[[#This Row],[order_id]])=1,1,0)</f>
        <v>0</v>
      </c>
      <c r="L68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682" spans="1:12" x14ac:dyDescent="0.25">
      <c r="A682" t="s">
        <v>163</v>
      </c>
      <c r="B682" s="1">
        <v>37</v>
      </c>
      <c r="C682" s="1">
        <v>-6</v>
      </c>
      <c r="D682">
        <v>1</v>
      </c>
      <c r="E682" t="s">
        <v>23</v>
      </c>
      <c r="F682" t="s">
        <v>26</v>
      </c>
      <c r="G682" t="s">
        <v>28</v>
      </c>
      <c r="H682">
        <f>IF(Table_Sales[[#This Row],[profit]]&lt;0,1,0)</f>
        <v>1</v>
      </c>
      <c r="I682" t="str" cm="1">
        <f t="array" ref="I682">_xlfn.IFS(Table_Sales[[#This Row],[quantity]]&lt;=3,"1-3",Table_Sales[[#This Row],[quantity]]&lt;=7,"2-7",Table_Sales[[#This Row],[quantity]]&lt;=10,"8-10",TRUE,"11 and above")</f>
        <v>1-3</v>
      </c>
      <c r="J682" t="str" cm="1">
        <f t="array" ref="J682">_xlfn.IFS(Table_Sales[[#This Row],[amount]]&lt;1000,"Under 1000",Table_Sales[[#This Row],[amount]]&lt;3000,"1000 - 2999",Table_Sales[[#This Row],[amount]]&lt;5000,"3000 - 4999",TRUE,"5000 &amp; above")</f>
        <v>Under 1000</v>
      </c>
      <c r="K682">
        <f>IF(COUNTIFS(INDEX(Table_Sales[order_id],1):Table_Sales[[#This Row],[order_id]],Table_Sales[[#This Row],[order_id]])=1,1,0)</f>
        <v>0</v>
      </c>
      <c r="L68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683" spans="1:12" x14ac:dyDescent="0.25">
      <c r="A683" t="s">
        <v>375</v>
      </c>
      <c r="B683" s="1">
        <v>105</v>
      </c>
      <c r="C683" s="1">
        <v>33</v>
      </c>
      <c r="D683">
        <v>6</v>
      </c>
      <c r="E683" t="s">
        <v>23</v>
      </c>
      <c r="F683" t="s">
        <v>26</v>
      </c>
      <c r="G683" t="s">
        <v>14</v>
      </c>
      <c r="H683">
        <f>IF(Table_Sales[[#This Row],[profit]]&lt;0,1,0)</f>
        <v>0</v>
      </c>
      <c r="I683" t="str" cm="1">
        <f t="array" ref="I683">_xlfn.IFS(Table_Sales[[#This Row],[quantity]]&lt;=3,"1-3",Table_Sales[[#This Row],[quantity]]&lt;=7,"2-7",Table_Sales[[#This Row],[quantity]]&lt;=10,"8-10",TRUE,"11 and above")</f>
        <v>2-7</v>
      </c>
      <c r="J683" t="str" cm="1">
        <f t="array" ref="J683">_xlfn.IFS(Table_Sales[[#This Row],[amount]]&lt;1000,"Under 1000",Table_Sales[[#This Row],[amount]]&lt;3000,"1000 - 2999",Table_Sales[[#This Row],[amount]]&lt;5000,"3000 - 4999",TRUE,"5000 &amp; above")</f>
        <v>Under 1000</v>
      </c>
      <c r="K683">
        <f>IF(COUNTIFS(INDEX(Table_Sales[order_id],1):Table_Sales[[#This Row],[order_id]],Table_Sales[[#This Row],[order_id]])=1,1,0)</f>
        <v>1</v>
      </c>
      <c r="L68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684" spans="1:12" x14ac:dyDescent="0.25">
      <c r="A684" t="s">
        <v>141</v>
      </c>
      <c r="B684" s="1">
        <v>78</v>
      </c>
      <c r="C684" s="1">
        <v>-6</v>
      </c>
      <c r="D684">
        <v>2</v>
      </c>
      <c r="E684" t="s">
        <v>12</v>
      </c>
      <c r="F684" t="s">
        <v>131</v>
      </c>
      <c r="G684" t="s">
        <v>28</v>
      </c>
      <c r="H684">
        <f>IF(Table_Sales[[#This Row],[profit]]&lt;0,1,0)</f>
        <v>1</v>
      </c>
      <c r="I684" t="str" cm="1">
        <f t="array" ref="I684">_xlfn.IFS(Table_Sales[[#This Row],[quantity]]&lt;=3,"1-3",Table_Sales[[#This Row],[quantity]]&lt;=7,"2-7",Table_Sales[[#This Row],[quantity]]&lt;=10,"8-10",TRUE,"11 and above")</f>
        <v>1-3</v>
      </c>
      <c r="J684" t="str" cm="1">
        <f t="array" ref="J684">_xlfn.IFS(Table_Sales[[#This Row],[amount]]&lt;1000,"Under 1000",Table_Sales[[#This Row],[amount]]&lt;3000,"1000 - 2999",Table_Sales[[#This Row],[amount]]&lt;5000,"3000 - 4999",TRUE,"5000 &amp; above")</f>
        <v>Under 1000</v>
      </c>
      <c r="K684">
        <f>IF(COUNTIFS(INDEX(Table_Sales[order_id],1):Table_Sales[[#This Row],[order_id]],Table_Sales[[#This Row],[order_id]])=1,1,0)</f>
        <v>0</v>
      </c>
      <c r="L68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685" spans="1:12" x14ac:dyDescent="0.25">
      <c r="A685" t="s">
        <v>37</v>
      </c>
      <c r="B685" s="1">
        <v>102</v>
      </c>
      <c r="C685" s="1">
        <v>-90</v>
      </c>
      <c r="D685">
        <v>1</v>
      </c>
      <c r="E685" t="s">
        <v>23</v>
      </c>
      <c r="F685" t="s">
        <v>26</v>
      </c>
      <c r="G685" t="s">
        <v>10</v>
      </c>
      <c r="H685">
        <f>IF(Table_Sales[[#This Row],[profit]]&lt;0,1,0)</f>
        <v>1</v>
      </c>
      <c r="I685" t="str" cm="1">
        <f t="array" ref="I685">_xlfn.IFS(Table_Sales[[#This Row],[quantity]]&lt;=3,"1-3",Table_Sales[[#This Row],[quantity]]&lt;=7,"2-7",Table_Sales[[#This Row],[quantity]]&lt;=10,"8-10",TRUE,"11 and above")</f>
        <v>1-3</v>
      </c>
      <c r="J685" t="str" cm="1">
        <f t="array" ref="J685">_xlfn.IFS(Table_Sales[[#This Row],[amount]]&lt;1000,"Under 1000",Table_Sales[[#This Row],[amount]]&lt;3000,"1000 - 2999",Table_Sales[[#This Row],[amount]]&lt;5000,"3000 - 4999",TRUE,"5000 &amp; above")</f>
        <v>Under 1000</v>
      </c>
      <c r="K685">
        <f>IF(COUNTIFS(INDEX(Table_Sales[order_id],1):Table_Sales[[#This Row],[order_id]],Table_Sales[[#This Row],[order_id]])=1,1,0)</f>
        <v>0</v>
      </c>
      <c r="L68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686" spans="1:12" x14ac:dyDescent="0.25">
      <c r="A686" t="s">
        <v>376</v>
      </c>
      <c r="B686" s="1">
        <v>102</v>
      </c>
      <c r="C686" s="1">
        <v>11</v>
      </c>
      <c r="D686">
        <v>6</v>
      </c>
      <c r="E686" t="s">
        <v>23</v>
      </c>
      <c r="F686" t="s">
        <v>81</v>
      </c>
      <c r="G686" t="s">
        <v>10</v>
      </c>
      <c r="H686">
        <f>IF(Table_Sales[[#This Row],[profit]]&lt;0,1,0)</f>
        <v>0</v>
      </c>
      <c r="I686" t="str" cm="1">
        <f t="array" ref="I686">_xlfn.IFS(Table_Sales[[#This Row],[quantity]]&lt;=3,"1-3",Table_Sales[[#This Row],[quantity]]&lt;=7,"2-7",Table_Sales[[#This Row],[quantity]]&lt;=10,"8-10",TRUE,"11 and above")</f>
        <v>2-7</v>
      </c>
      <c r="J686" t="str" cm="1">
        <f t="array" ref="J686">_xlfn.IFS(Table_Sales[[#This Row],[amount]]&lt;1000,"Under 1000",Table_Sales[[#This Row],[amount]]&lt;3000,"1000 - 2999",Table_Sales[[#This Row],[amount]]&lt;5000,"3000 - 4999",TRUE,"5000 &amp; above")</f>
        <v>Under 1000</v>
      </c>
      <c r="K686">
        <f>IF(COUNTIFS(INDEX(Table_Sales[order_id],1):Table_Sales[[#This Row],[order_id]],Table_Sales[[#This Row],[order_id]])=1,1,0)</f>
        <v>1</v>
      </c>
      <c r="L68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687" spans="1:12" x14ac:dyDescent="0.25">
      <c r="A687" t="s">
        <v>262</v>
      </c>
      <c r="B687" s="1">
        <v>10</v>
      </c>
      <c r="C687" s="1">
        <v>-8</v>
      </c>
      <c r="D687">
        <v>1</v>
      </c>
      <c r="E687" t="s">
        <v>23</v>
      </c>
      <c r="F687" t="s">
        <v>32</v>
      </c>
      <c r="G687" t="s">
        <v>28</v>
      </c>
      <c r="H687">
        <f>IF(Table_Sales[[#This Row],[profit]]&lt;0,1,0)</f>
        <v>1</v>
      </c>
      <c r="I687" t="str" cm="1">
        <f t="array" ref="I687">_xlfn.IFS(Table_Sales[[#This Row],[quantity]]&lt;=3,"1-3",Table_Sales[[#This Row],[quantity]]&lt;=7,"2-7",Table_Sales[[#This Row],[quantity]]&lt;=10,"8-10",TRUE,"11 and above")</f>
        <v>1-3</v>
      </c>
      <c r="J687" t="str" cm="1">
        <f t="array" ref="J687">_xlfn.IFS(Table_Sales[[#This Row],[amount]]&lt;1000,"Under 1000",Table_Sales[[#This Row],[amount]]&lt;3000,"1000 - 2999",Table_Sales[[#This Row],[amount]]&lt;5000,"3000 - 4999",TRUE,"5000 &amp; above")</f>
        <v>Under 1000</v>
      </c>
      <c r="K687">
        <f>IF(COUNTIFS(INDEX(Table_Sales[order_id],1):Table_Sales[[#This Row],[order_id]],Table_Sales[[#This Row],[order_id]])=1,1,0)</f>
        <v>0</v>
      </c>
      <c r="L68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688" spans="1:12" x14ac:dyDescent="0.25">
      <c r="A688" t="s">
        <v>123</v>
      </c>
      <c r="B688" s="1">
        <v>101</v>
      </c>
      <c r="C688" s="1">
        <v>18</v>
      </c>
      <c r="D688">
        <v>9</v>
      </c>
      <c r="E688" t="s">
        <v>23</v>
      </c>
      <c r="F688" t="s">
        <v>43</v>
      </c>
      <c r="G688" t="s">
        <v>10</v>
      </c>
      <c r="H688">
        <f>IF(Table_Sales[[#This Row],[profit]]&lt;0,1,0)</f>
        <v>0</v>
      </c>
      <c r="I688" t="str" cm="1">
        <f t="array" ref="I688">_xlfn.IFS(Table_Sales[[#This Row],[quantity]]&lt;=3,"1-3",Table_Sales[[#This Row],[quantity]]&lt;=7,"2-7",Table_Sales[[#This Row],[quantity]]&lt;=10,"8-10",TRUE,"11 and above")</f>
        <v>8-10</v>
      </c>
      <c r="J688" t="str" cm="1">
        <f t="array" ref="J688">_xlfn.IFS(Table_Sales[[#This Row],[amount]]&lt;1000,"Under 1000",Table_Sales[[#This Row],[amount]]&lt;3000,"1000 - 2999",Table_Sales[[#This Row],[amount]]&lt;5000,"3000 - 4999",TRUE,"5000 &amp; above")</f>
        <v>Under 1000</v>
      </c>
      <c r="K688">
        <f>IF(COUNTIFS(INDEX(Table_Sales[order_id],1):Table_Sales[[#This Row],[order_id]],Table_Sales[[#This Row],[order_id]])=1,1,0)</f>
        <v>0</v>
      </c>
      <c r="L68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689" spans="1:12" x14ac:dyDescent="0.25">
      <c r="A689" t="s">
        <v>377</v>
      </c>
      <c r="B689" s="1">
        <v>42</v>
      </c>
      <c r="C689" s="1">
        <v>-6</v>
      </c>
      <c r="D689">
        <v>4</v>
      </c>
      <c r="E689" t="s">
        <v>23</v>
      </c>
      <c r="F689" t="s">
        <v>26</v>
      </c>
      <c r="G689" t="s">
        <v>28</v>
      </c>
      <c r="H689">
        <f>IF(Table_Sales[[#This Row],[profit]]&lt;0,1,0)</f>
        <v>1</v>
      </c>
      <c r="I689" t="str" cm="1">
        <f t="array" ref="I689">_xlfn.IFS(Table_Sales[[#This Row],[quantity]]&lt;=3,"1-3",Table_Sales[[#This Row],[quantity]]&lt;=7,"2-7",Table_Sales[[#This Row],[quantity]]&lt;=10,"8-10",TRUE,"11 and above")</f>
        <v>2-7</v>
      </c>
      <c r="J689" t="str" cm="1">
        <f t="array" ref="J689">_xlfn.IFS(Table_Sales[[#This Row],[amount]]&lt;1000,"Under 1000",Table_Sales[[#This Row],[amount]]&lt;3000,"1000 - 2999",Table_Sales[[#This Row],[amount]]&lt;5000,"3000 - 4999",TRUE,"5000 &amp; above")</f>
        <v>Under 1000</v>
      </c>
      <c r="K689">
        <f>IF(COUNTIFS(INDEX(Table_Sales[order_id],1):Table_Sales[[#This Row],[order_id]],Table_Sales[[#This Row],[order_id]])=1,1,0)</f>
        <v>1</v>
      </c>
      <c r="L68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690" spans="1:12" x14ac:dyDescent="0.25">
      <c r="A690" t="s">
        <v>271</v>
      </c>
      <c r="B690" s="1">
        <v>56</v>
      </c>
      <c r="C690" s="1">
        <v>18</v>
      </c>
      <c r="D690">
        <v>2</v>
      </c>
      <c r="E690" t="s">
        <v>23</v>
      </c>
      <c r="F690" t="s">
        <v>30</v>
      </c>
      <c r="G690" t="s">
        <v>28</v>
      </c>
      <c r="H690">
        <f>IF(Table_Sales[[#This Row],[profit]]&lt;0,1,0)</f>
        <v>0</v>
      </c>
      <c r="I690" t="str" cm="1">
        <f t="array" ref="I690">_xlfn.IFS(Table_Sales[[#This Row],[quantity]]&lt;=3,"1-3",Table_Sales[[#This Row],[quantity]]&lt;=7,"2-7",Table_Sales[[#This Row],[quantity]]&lt;=10,"8-10",TRUE,"11 and above")</f>
        <v>1-3</v>
      </c>
      <c r="J690" t="str" cm="1">
        <f t="array" ref="J690">_xlfn.IFS(Table_Sales[[#This Row],[amount]]&lt;1000,"Under 1000",Table_Sales[[#This Row],[amount]]&lt;3000,"1000 - 2999",Table_Sales[[#This Row],[amount]]&lt;5000,"3000 - 4999",TRUE,"5000 &amp; above")</f>
        <v>Under 1000</v>
      </c>
      <c r="K690">
        <f>IF(COUNTIFS(INDEX(Table_Sales[order_id],1):Table_Sales[[#This Row],[order_id]],Table_Sales[[#This Row],[order_id]])=1,1,0)</f>
        <v>0</v>
      </c>
      <c r="L69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691" spans="1:12" x14ac:dyDescent="0.25">
      <c r="A691" t="s">
        <v>371</v>
      </c>
      <c r="B691" s="1">
        <v>95</v>
      </c>
      <c r="C691" s="1">
        <v>5</v>
      </c>
      <c r="D691">
        <v>2</v>
      </c>
      <c r="E691" t="s">
        <v>23</v>
      </c>
      <c r="F691" t="s">
        <v>57</v>
      </c>
      <c r="G691" t="s">
        <v>10</v>
      </c>
      <c r="H691">
        <f>IF(Table_Sales[[#This Row],[profit]]&lt;0,1,0)</f>
        <v>0</v>
      </c>
      <c r="I691" t="str" cm="1">
        <f t="array" ref="I691">_xlfn.IFS(Table_Sales[[#This Row],[quantity]]&lt;=3,"1-3",Table_Sales[[#This Row],[quantity]]&lt;=7,"2-7",Table_Sales[[#This Row],[quantity]]&lt;=10,"8-10",TRUE,"11 and above")</f>
        <v>1-3</v>
      </c>
      <c r="J691" t="str" cm="1">
        <f t="array" ref="J691">_xlfn.IFS(Table_Sales[[#This Row],[amount]]&lt;1000,"Under 1000",Table_Sales[[#This Row],[amount]]&lt;3000,"1000 - 2999",Table_Sales[[#This Row],[amount]]&lt;5000,"3000 - 4999",TRUE,"5000 &amp; above")</f>
        <v>Under 1000</v>
      </c>
      <c r="K691">
        <f>IF(COUNTIFS(INDEX(Table_Sales[order_id],1):Table_Sales[[#This Row],[order_id]],Table_Sales[[#This Row],[order_id]])=1,1,0)</f>
        <v>0</v>
      </c>
      <c r="L69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692" spans="1:12" x14ac:dyDescent="0.25">
      <c r="A692" t="s">
        <v>378</v>
      </c>
      <c r="B692" s="1">
        <v>159</v>
      </c>
      <c r="C692" s="1">
        <v>2</v>
      </c>
      <c r="D692">
        <v>3</v>
      </c>
      <c r="E692" t="s">
        <v>12</v>
      </c>
      <c r="F692" t="s">
        <v>131</v>
      </c>
      <c r="G692" t="s">
        <v>14</v>
      </c>
      <c r="H692">
        <f>IF(Table_Sales[[#This Row],[profit]]&lt;0,1,0)</f>
        <v>0</v>
      </c>
      <c r="I692" t="str" cm="1">
        <f t="array" ref="I692">_xlfn.IFS(Table_Sales[[#This Row],[quantity]]&lt;=3,"1-3",Table_Sales[[#This Row],[quantity]]&lt;=7,"2-7",Table_Sales[[#This Row],[quantity]]&lt;=10,"8-10",TRUE,"11 and above")</f>
        <v>1-3</v>
      </c>
      <c r="J692" t="str" cm="1">
        <f t="array" ref="J692">_xlfn.IFS(Table_Sales[[#This Row],[amount]]&lt;1000,"Under 1000",Table_Sales[[#This Row],[amount]]&lt;3000,"1000 - 2999",Table_Sales[[#This Row],[amount]]&lt;5000,"3000 - 4999",TRUE,"5000 &amp; above")</f>
        <v>Under 1000</v>
      </c>
      <c r="K692">
        <f>IF(COUNTIFS(INDEX(Table_Sales[order_id],1):Table_Sales[[#This Row],[order_id]],Table_Sales[[#This Row],[order_id]])=1,1,0)</f>
        <v>1</v>
      </c>
      <c r="L69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693" spans="1:12" x14ac:dyDescent="0.25">
      <c r="A693" t="s">
        <v>336</v>
      </c>
      <c r="B693" s="1">
        <v>158</v>
      </c>
      <c r="C693" s="1">
        <v>69</v>
      </c>
      <c r="D693">
        <v>3</v>
      </c>
      <c r="E693" t="s">
        <v>23</v>
      </c>
      <c r="F693" t="s">
        <v>57</v>
      </c>
      <c r="G693" t="s">
        <v>14</v>
      </c>
      <c r="H693">
        <f>IF(Table_Sales[[#This Row],[profit]]&lt;0,1,0)</f>
        <v>0</v>
      </c>
      <c r="I693" t="str" cm="1">
        <f t="array" ref="I693">_xlfn.IFS(Table_Sales[[#This Row],[quantity]]&lt;=3,"1-3",Table_Sales[[#This Row],[quantity]]&lt;=7,"2-7",Table_Sales[[#This Row],[quantity]]&lt;=10,"8-10",TRUE,"11 and above")</f>
        <v>1-3</v>
      </c>
      <c r="J693" t="str" cm="1">
        <f t="array" ref="J693">_xlfn.IFS(Table_Sales[[#This Row],[amount]]&lt;1000,"Under 1000",Table_Sales[[#This Row],[amount]]&lt;3000,"1000 - 2999",Table_Sales[[#This Row],[amount]]&lt;5000,"3000 - 4999",TRUE,"5000 &amp; above")</f>
        <v>Under 1000</v>
      </c>
      <c r="K693">
        <f>IF(COUNTIFS(INDEX(Table_Sales[order_id],1):Table_Sales[[#This Row],[order_id]],Table_Sales[[#This Row],[order_id]])=1,1,0)</f>
        <v>0</v>
      </c>
      <c r="L69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694" spans="1:12" x14ac:dyDescent="0.25">
      <c r="A694" t="s">
        <v>262</v>
      </c>
      <c r="B694" s="1">
        <v>106</v>
      </c>
      <c r="C694" s="1">
        <v>0</v>
      </c>
      <c r="D694">
        <v>2</v>
      </c>
      <c r="E694" t="s">
        <v>8</v>
      </c>
      <c r="F694" t="s">
        <v>21</v>
      </c>
      <c r="G694" t="s">
        <v>14</v>
      </c>
      <c r="H694">
        <f>IF(Table_Sales[[#This Row],[profit]]&lt;0,1,0)</f>
        <v>0</v>
      </c>
      <c r="I694" t="str" cm="1">
        <f t="array" ref="I694">_xlfn.IFS(Table_Sales[[#This Row],[quantity]]&lt;=3,"1-3",Table_Sales[[#This Row],[quantity]]&lt;=7,"2-7",Table_Sales[[#This Row],[quantity]]&lt;=10,"8-10",TRUE,"11 and above")</f>
        <v>1-3</v>
      </c>
      <c r="J694" t="str" cm="1">
        <f t="array" ref="J694">_xlfn.IFS(Table_Sales[[#This Row],[amount]]&lt;1000,"Under 1000",Table_Sales[[#This Row],[amount]]&lt;3000,"1000 - 2999",Table_Sales[[#This Row],[amount]]&lt;5000,"3000 - 4999",TRUE,"5000 &amp; above")</f>
        <v>Under 1000</v>
      </c>
      <c r="K694">
        <f>IF(COUNTIFS(INDEX(Table_Sales[order_id],1):Table_Sales[[#This Row],[order_id]],Table_Sales[[#This Row],[order_id]])=1,1,0)</f>
        <v>0</v>
      </c>
      <c r="L69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695" spans="1:12" x14ac:dyDescent="0.25">
      <c r="A695" t="s">
        <v>122</v>
      </c>
      <c r="B695" s="1">
        <v>101</v>
      </c>
      <c r="C695" s="1">
        <v>16</v>
      </c>
      <c r="D695">
        <v>4</v>
      </c>
      <c r="E695" t="s">
        <v>23</v>
      </c>
      <c r="F695" t="s">
        <v>81</v>
      </c>
      <c r="G695" t="s">
        <v>10</v>
      </c>
      <c r="H695">
        <f>IF(Table_Sales[[#This Row],[profit]]&lt;0,1,0)</f>
        <v>0</v>
      </c>
      <c r="I695" t="str" cm="1">
        <f t="array" ref="I695">_xlfn.IFS(Table_Sales[[#This Row],[quantity]]&lt;=3,"1-3",Table_Sales[[#This Row],[quantity]]&lt;=7,"2-7",Table_Sales[[#This Row],[quantity]]&lt;=10,"8-10",TRUE,"11 and above")</f>
        <v>2-7</v>
      </c>
      <c r="J695" t="str" cm="1">
        <f t="array" ref="J695">_xlfn.IFS(Table_Sales[[#This Row],[amount]]&lt;1000,"Under 1000",Table_Sales[[#This Row],[amount]]&lt;3000,"1000 - 2999",Table_Sales[[#This Row],[amount]]&lt;5000,"3000 - 4999",TRUE,"5000 &amp; above")</f>
        <v>Under 1000</v>
      </c>
      <c r="K695">
        <f>IF(COUNTIFS(INDEX(Table_Sales[order_id],1):Table_Sales[[#This Row],[order_id]],Table_Sales[[#This Row],[order_id]])=1,1,0)</f>
        <v>0</v>
      </c>
      <c r="L69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696" spans="1:12" x14ac:dyDescent="0.25">
      <c r="A696" t="s">
        <v>184</v>
      </c>
      <c r="B696" s="1">
        <v>107</v>
      </c>
      <c r="C696" s="1">
        <v>37</v>
      </c>
      <c r="D696">
        <v>3</v>
      </c>
      <c r="E696" t="s">
        <v>23</v>
      </c>
      <c r="F696" t="s">
        <v>142</v>
      </c>
      <c r="G696" t="s">
        <v>10</v>
      </c>
      <c r="H696">
        <f>IF(Table_Sales[[#This Row],[profit]]&lt;0,1,0)</f>
        <v>0</v>
      </c>
      <c r="I696" t="str" cm="1">
        <f t="array" ref="I696">_xlfn.IFS(Table_Sales[[#This Row],[quantity]]&lt;=3,"1-3",Table_Sales[[#This Row],[quantity]]&lt;=7,"2-7",Table_Sales[[#This Row],[quantity]]&lt;=10,"8-10",TRUE,"11 and above")</f>
        <v>1-3</v>
      </c>
      <c r="J696" t="str" cm="1">
        <f t="array" ref="J696">_xlfn.IFS(Table_Sales[[#This Row],[amount]]&lt;1000,"Under 1000",Table_Sales[[#This Row],[amount]]&lt;3000,"1000 - 2999",Table_Sales[[#This Row],[amount]]&lt;5000,"3000 - 4999",TRUE,"5000 &amp; above")</f>
        <v>Under 1000</v>
      </c>
      <c r="K696">
        <f>IF(COUNTIFS(INDEX(Table_Sales[order_id],1):Table_Sales[[#This Row],[order_id]],Table_Sales[[#This Row],[order_id]])=1,1,0)</f>
        <v>0</v>
      </c>
      <c r="L69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697" spans="1:12" x14ac:dyDescent="0.25">
      <c r="A697" t="s">
        <v>379</v>
      </c>
      <c r="B697" s="1">
        <v>156</v>
      </c>
      <c r="C697" s="1">
        <v>36</v>
      </c>
      <c r="D697">
        <v>5</v>
      </c>
      <c r="E697" t="s">
        <v>23</v>
      </c>
      <c r="F697" t="s">
        <v>81</v>
      </c>
      <c r="G697" t="s">
        <v>14</v>
      </c>
      <c r="H697">
        <f>IF(Table_Sales[[#This Row],[profit]]&lt;0,1,0)</f>
        <v>0</v>
      </c>
      <c r="I697" t="str" cm="1">
        <f t="array" ref="I697">_xlfn.IFS(Table_Sales[[#This Row],[quantity]]&lt;=3,"1-3",Table_Sales[[#This Row],[quantity]]&lt;=7,"2-7",Table_Sales[[#This Row],[quantity]]&lt;=10,"8-10",TRUE,"11 and above")</f>
        <v>2-7</v>
      </c>
      <c r="J697" t="str" cm="1">
        <f t="array" ref="J697">_xlfn.IFS(Table_Sales[[#This Row],[amount]]&lt;1000,"Under 1000",Table_Sales[[#This Row],[amount]]&lt;3000,"1000 - 2999",Table_Sales[[#This Row],[amount]]&lt;5000,"3000 - 4999",TRUE,"5000 &amp; above")</f>
        <v>Under 1000</v>
      </c>
      <c r="K697">
        <f>IF(COUNTIFS(INDEX(Table_Sales[order_id],1):Table_Sales[[#This Row],[order_id]],Table_Sales[[#This Row],[order_id]])=1,1,0)</f>
        <v>1</v>
      </c>
      <c r="L69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698" spans="1:12" x14ac:dyDescent="0.25">
      <c r="A698" t="s">
        <v>380</v>
      </c>
      <c r="B698" s="1">
        <v>108</v>
      </c>
      <c r="C698" s="1">
        <v>-19</v>
      </c>
      <c r="D698">
        <v>3</v>
      </c>
      <c r="E698" t="s">
        <v>8</v>
      </c>
      <c r="F698" t="s">
        <v>9</v>
      </c>
      <c r="G698" t="s">
        <v>28</v>
      </c>
      <c r="H698">
        <f>IF(Table_Sales[[#This Row],[profit]]&lt;0,1,0)</f>
        <v>1</v>
      </c>
      <c r="I698" t="str" cm="1">
        <f t="array" ref="I698">_xlfn.IFS(Table_Sales[[#This Row],[quantity]]&lt;=3,"1-3",Table_Sales[[#This Row],[quantity]]&lt;=7,"2-7",Table_Sales[[#This Row],[quantity]]&lt;=10,"8-10",TRUE,"11 and above")</f>
        <v>1-3</v>
      </c>
      <c r="J698" t="str" cm="1">
        <f t="array" ref="J698">_xlfn.IFS(Table_Sales[[#This Row],[amount]]&lt;1000,"Under 1000",Table_Sales[[#This Row],[amount]]&lt;3000,"1000 - 2999",Table_Sales[[#This Row],[amount]]&lt;5000,"3000 - 4999",TRUE,"5000 &amp; above")</f>
        <v>Under 1000</v>
      </c>
      <c r="K698">
        <f>IF(COUNTIFS(INDEX(Table_Sales[order_id],1):Table_Sales[[#This Row],[order_id]],Table_Sales[[#This Row],[order_id]])=1,1,0)</f>
        <v>1</v>
      </c>
      <c r="L69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699" spans="1:12" x14ac:dyDescent="0.25">
      <c r="A699" t="s">
        <v>265</v>
      </c>
      <c r="B699" s="1">
        <v>107</v>
      </c>
      <c r="C699" s="1">
        <v>-54</v>
      </c>
      <c r="D699">
        <v>4</v>
      </c>
      <c r="E699" t="s">
        <v>23</v>
      </c>
      <c r="F699" t="s">
        <v>57</v>
      </c>
      <c r="G699" t="s">
        <v>14</v>
      </c>
      <c r="H699">
        <f>IF(Table_Sales[[#This Row],[profit]]&lt;0,1,0)</f>
        <v>1</v>
      </c>
      <c r="I699" t="str" cm="1">
        <f t="array" ref="I699">_xlfn.IFS(Table_Sales[[#This Row],[quantity]]&lt;=3,"1-3",Table_Sales[[#This Row],[quantity]]&lt;=7,"2-7",Table_Sales[[#This Row],[quantity]]&lt;=10,"8-10",TRUE,"11 and above")</f>
        <v>2-7</v>
      </c>
      <c r="J699" t="str" cm="1">
        <f t="array" ref="J699">_xlfn.IFS(Table_Sales[[#This Row],[amount]]&lt;1000,"Under 1000",Table_Sales[[#This Row],[amount]]&lt;3000,"1000 - 2999",Table_Sales[[#This Row],[amount]]&lt;5000,"3000 - 4999",TRUE,"5000 &amp; above")</f>
        <v>Under 1000</v>
      </c>
      <c r="K699">
        <f>IF(COUNTIFS(INDEX(Table_Sales[order_id],1):Table_Sales[[#This Row],[order_id]],Table_Sales[[#This Row],[order_id]])=1,1,0)</f>
        <v>0</v>
      </c>
      <c r="L69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700" spans="1:12" x14ac:dyDescent="0.25">
      <c r="A700" t="s">
        <v>381</v>
      </c>
      <c r="B700" s="1">
        <v>100</v>
      </c>
      <c r="C700" s="1">
        <v>-58</v>
      </c>
      <c r="D700">
        <v>4</v>
      </c>
      <c r="E700" t="s">
        <v>23</v>
      </c>
      <c r="F700" t="s">
        <v>30</v>
      </c>
      <c r="G700" t="s">
        <v>10</v>
      </c>
      <c r="H700">
        <f>IF(Table_Sales[[#This Row],[profit]]&lt;0,1,0)</f>
        <v>1</v>
      </c>
      <c r="I700" t="str" cm="1">
        <f t="array" ref="I700">_xlfn.IFS(Table_Sales[[#This Row],[quantity]]&lt;=3,"1-3",Table_Sales[[#This Row],[quantity]]&lt;=7,"2-7",Table_Sales[[#This Row],[quantity]]&lt;=10,"8-10",TRUE,"11 and above")</f>
        <v>2-7</v>
      </c>
      <c r="J700" t="str" cm="1">
        <f t="array" ref="J700">_xlfn.IFS(Table_Sales[[#This Row],[amount]]&lt;1000,"Under 1000",Table_Sales[[#This Row],[amount]]&lt;3000,"1000 - 2999",Table_Sales[[#This Row],[amount]]&lt;5000,"3000 - 4999",TRUE,"5000 &amp; above")</f>
        <v>Under 1000</v>
      </c>
      <c r="K700">
        <f>IF(COUNTIFS(INDEX(Table_Sales[order_id],1):Table_Sales[[#This Row],[order_id]],Table_Sales[[#This Row],[order_id]])=1,1,0)</f>
        <v>1</v>
      </c>
      <c r="L70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701" spans="1:12" x14ac:dyDescent="0.25">
      <c r="A701" t="s">
        <v>281</v>
      </c>
      <c r="B701" s="1">
        <v>108</v>
      </c>
      <c r="C701" s="1">
        <v>26</v>
      </c>
      <c r="D701">
        <v>4</v>
      </c>
      <c r="E701" t="s">
        <v>23</v>
      </c>
      <c r="F701" t="s">
        <v>142</v>
      </c>
      <c r="G701" t="s">
        <v>28</v>
      </c>
      <c r="H701">
        <f>IF(Table_Sales[[#This Row],[profit]]&lt;0,1,0)</f>
        <v>0</v>
      </c>
      <c r="I701" t="str" cm="1">
        <f t="array" ref="I701">_xlfn.IFS(Table_Sales[[#This Row],[quantity]]&lt;=3,"1-3",Table_Sales[[#This Row],[quantity]]&lt;=7,"2-7",Table_Sales[[#This Row],[quantity]]&lt;=10,"8-10",TRUE,"11 and above")</f>
        <v>2-7</v>
      </c>
      <c r="J701" t="str" cm="1">
        <f t="array" ref="J701">_xlfn.IFS(Table_Sales[[#This Row],[amount]]&lt;1000,"Under 1000",Table_Sales[[#This Row],[amount]]&lt;3000,"1000 - 2999",Table_Sales[[#This Row],[amount]]&lt;5000,"3000 - 4999",TRUE,"5000 &amp; above")</f>
        <v>Under 1000</v>
      </c>
      <c r="K701">
        <f>IF(COUNTIFS(INDEX(Table_Sales[order_id],1):Table_Sales[[#This Row],[order_id]],Table_Sales[[#This Row],[order_id]])=1,1,0)</f>
        <v>0</v>
      </c>
      <c r="L70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702" spans="1:12" x14ac:dyDescent="0.25">
      <c r="A702" t="s">
        <v>382</v>
      </c>
      <c r="B702" s="1">
        <v>100</v>
      </c>
      <c r="C702" s="1">
        <v>6</v>
      </c>
      <c r="D702">
        <v>4</v>
      </c>
      <c r="E702" t="s">
        <v>23</v>
      </c>
      <c r="F702" t="s">
        <v>57</v>
      </c>
      <c r="G702" t="s">
        <v>10</v>
      </c>
      <c r="H702">
        <f>IF(Table_Sales[[#This Row],[profit]]&lt;0,1,0)</f>
        <v>0</v>
      </c>
      <c r="I702" t="str" cm="1">
        <f t="array" ref="I702">_xlfn.IFS(Table_Sales[[#This Row],[quantity]]&lt;=3,"1-3",Table_Sales[[#This Row],[quantity]]&lt;=7,"2-7",Table_Sales[[#This Row],[quantity]]&lt;=10,"8-10",TRUE,"11 and above")</f>
        <v>2-7</v>
      </c>
      <c r="J702" t="str" cm="1">
        <f t="array" ref="J702">_xlfn.IFS(Table_Sales[[#This Row],[amount]]&lt;1000,"Under 1000",Table_Sales[[#This Row],[amount]]&lt;3000,"1000 - 2999",Table_Sales[[#This Row],[amount]]&lt;5000,"3000 - 4999",TRUE,"5000 &amp; above")</f>
        <v>Under 1000</v>
      </c>
      <c r="K702">
        <f>IF(COUNTIFS(INDEX(Table_Sales[order_id],1):Table_Sales[[#This Row],[order_id]],Table_Sales[[#This Row],[order_id]])=1,1,0)</f>
        <v>1</v>
      </c>
      <c r="L70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703" spans="1:12" x14ac:dyDescent="0.25">
      <c r="A703" t="s">
        <v>218</v>
      </c>
      <c r="B703" s="1">
        <v>100</v>
      </c>
      <c r="C703" s="1">
        <v>-23</v>
      </c>
      <c r="D703">
        <v>1</v>
      </c>
      <c r="E703" t="s">
        <v>8</v>
      </c>
      <c r="F703" t="s">
        <v>21</v>
      </c>
      <c r="G703" t="s">
        <v>10</v>
      </c>
      <c r="H703">
        <f>IF(Table_Sales[[#This Row],[profit]]&lt;0,1,0)</f>
        <v>1</v>
      </c>
      <c r="I703" t="str" cm="1">
        <f t="array" ref="I703">_xlfn.IFS(Table_Sales[[#This Row],[quantity]]&lt;=3,"1-3",Table_Sales[[#This Row],[quantity]]&lt;=7,"2-7",Table_Sales[[#This Row],[quantity]]&lt;=10,"8-10",TRUE,"11 and above")</f>
        <v>1-3</v>
      </c>
      <c r="J703" t="str" cm="1">
        <f t="array" ref="J703">_xlfn.IFS(Table_Sales[[#This Row],[amount]]&lt;1000,"Under 1000",Table_Sales[[#This Row],[amount]]&lt;3000,"1000 - 2999",Table_Sales[[#This Row],[amount]]&lt;5000,"3000 - 4999",TRUE,"5000 &amp; above")</f>
        <v>Under 1000</v>
      </c>
      <c r="K703">
        <f>IF(COUNTIFS(INDEX(Table_Sales[order_id],1):Table_Sales[[#This Row],[order_id]],Table_Sales[[#This Row],[order_id]])=1,1,0)</f>
        <v>0</v>
      </c>
      <c r="L70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704" spans="1:12" x14ac:dyDescent="0.25">
      <c r="A704" t="s">
        <v>126</v>
      </c>
      <c r="B704" s="1">
        <v>43</v>
      </c>
      <c r="C704" s="1">
        <v>17</v>
      </c>
      <c r="D704">
        <v>2</v>
      </c>
      <c r="E704" t="s">
        <v>23</v>
      </c>
      <c r="F704" t="s">
        <v>81</v>
      </c>
      <c r="G704" t="s">
        <v>28</v>
      </c>
      <c r="H704">
        <f>IF(Table_Sales[[#This Row],[profit]]&lt;0,1,0)</f>
        <v>0</v>
      </c>
      <c r="I704" t="str" cm="1">
        <f t="array" ref="I704">_xlfn.IFS(Table_Sales[[#This Row],[quantity]]&lt;=3,"1-3",Table_Sales[[#This Row],[quantity]]&lt;=7,"2-7",Table_Sales[[#This Row],[quantity]]&lt;=10,"8-10",TRUE,"11 and above")</f>
        <v>1-3</v>
      </c>
      <c r="J704" t="str" cm="1">
        <f t="array" ref="J704">_xlfn.IFS(Table_Sales[[#This Row],[amount]]&lt;1000,"Under 1000",Table_Sales[[#This Row],[amount]]&lt;3000,"1000 - 2999",Table_Sales[[#This Row],[amount]]&lt;5000,"3000 - 4999",TRUE,"5000 &amp; above")</f>
        <v>Under 1000</v>
      </c>
      <c r="K704">
        <f>IF(COUNTIFS(INDEX(Table_Sales[order_id],1):Table_Sales[[#This Row],[order_id]],Table_Sales[[#This Row],[order_id]])=1,1,0)</f>
        <v>0</v>
      </c>
      <c r="L70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705" spans="1:12" x14ac:dyDescent="0.25">
      <c r="A705" t="s">
        <v>199</v>
      </c>
      <c r="B705" s="1">
        <v>155</v>
      </c>
      <c r="C705" s="1">
        <v>26</v>
      </c>
      <c r="D705">
        <v>3</v>
      </c>
      <c r="E705" t="s">
        <v>23</v>
      </c>
      <c r="F705" t="s">
        <v>57</v>
      </c>
      <c r="G705" t="s">
        <v>14</v>
      </c>
      <c r="H705">
        <f>IF(Table_Sales[[#This Row],[profit]]&lt;0,1,0)</f>
        <v>0</v>
      </c>
      <c r="I705" t="str" cm="1">
        <f t="array" ref="I705">_xlfn.IFS(Table_Sales[[#This Row],[quantity]]&lt;=3,"1-3",Table_Sales[[#This Row],[quantity]]&lt;=7,"2-7",Table_Sales[[#This Row],[quantity]]&lt;=10,"8-10",TRUE,"11 and above")</f>
        <v>1-3</v>
      </c>
      <c r="J705" t="str" cm="1">
        <f t="array" ref="J705">_xlfn.IFS(Table_Sales[[#This Row],[amount]]&lt;1000,"Under 1000",Table_Sales[[#This Row],[amount]]&lt;3000,"1000 - 2999",Table_Sales[[#This Row],[amount]]&lt;5000,"3000 - 4999",TRUE,"5000 &amp; above")</f>
        <v>Under 1000</v>
      </c>
      <c r="K705">
        <f>IF(COUNTIFS(INDEX(Table_Sales[order_id],1):Table_Sales[[#This Row],[order_id]],Table_Sales[[#This Row],[order_id]])=1,1,0)</f>
        <v>0</v>
      </c>
      <c r="L70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706" spans="1:12" x14ac:dyDescent="0.25">
      <c r="A706" t="s">
        <v>383</v>
      </c>
      <c r="B706" s="1">
        <v>151</v>
      </c>
      <c r="C706" s="1">
        <v>9</v>
      </c>
      <c r="D706">
        <v>3</v>
      </c>
      <c r="E706" t="s">
        <v>23</v>
      </c>
      <c r="F706" t="s">
        <v>30</v>
      </c>
      <c r="G706" t="s">
        <v>14</v>
      </c>
      <c r="H706">
        <f>IF(Table_Sales[[#This Row],[profit]]&lt;0,1,0)</f>
        <v>0</v>
      </c>
      <c r="I706" t="str" cm="1">
        <f t="array" ref="I706">_xlfn.IFS(Table_Sales[[#This Row],[quantity]]&lt;=3,"1-3",Table_Sales[[#This Row],[quantity]]&lt;=7,"2-7",Table_Sales[[#This Row],[quantity]]&lt;=10,"8-10",TRUE,"11 and above")</f>
        <v>1-3</v>
      </c>
      <c r="J706" t="str" cm="1">
        <f t="array" ref="J706">_xlfn.IFS(Table_Sales[[#This Row],[amount]]&lt;1000,"Under 1000",Table_Sales[[#This Row],[amount]]&lt;3000,"1000 - 2999",Table_Sales[[#This Row],[amount]]&lt;5000,"3000 - 4999",TRUE,"5000 &amp; above")</f>
        <v>Under 1000</v>
      </c>
      <c r="K706">
        <f>IF(COUNTIFS(INDEX(Table_Sales[order_id],1):Table_Sales[[#This Row],[order_id]],Table_Sales[[#This Row],[order_id]])=1,1,0)</f>
        <v>1</v>
      </c>
      <c r="L70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707" spans="1:12" x14ac:dyDescent="0.25">
      <c r="A707" t="s">
        <v>165</v>
      </c>
      <c r="B707" s="1">
        <v>151</v>
      </c>
      <c r="C707" s="1">
        <v>29</v>
      </c>
      <c r="D707">
        <v>5</v>
      </c>
      <c r="E707" t="s">
        <v>23</v>
      </c>
      <c r="F707" t="s">
        <v>30</v>
      </c>
      <c r="G707" t="s">
        <v>14</v>
      </c>
      <c r="H707">
        <f>IF(Table_Sales[[#This Row],[profit]]&lt;0,1,0)</f>
        <v>0</v>
      </c>
      <c r="I707" t="str" cm="1">
        <f t="array" ref="I707">_xlfn.IFS(Table_Sales[[#This Row],[quantity]]&lt;=3,"1-3",Table_Sales[[#This Row],[quantity]]&lt;=7,"2-7",Table_Sales[[#This Row],[quantity]]&lt;=10,"8-10",TRUE,"11 and above")</f>
        <v>2-7</v>
      </c>
      <c r="J707" t="str" cm="1">
        <f t="array" ref="J707">_xlfn.IFS(Table_Sales[[#This Row],[amount]]&lt;1000,"Under 1000",Table_Sales[[#This Row],[amount]]&lt;3000,"1000 - 2999",Table_Sales[[#This Row],[amount]]&lt;5000,"3000 - 4999",TRUE,"5000 &amp; above")</f>
        <v>Under 1000</v>
      </c>
      <c r="K707">
        <f>IF(COUNTIFS(INDEX(Table_Sales[order_id],1):Table_Sales[[#This Row],[order_id]],Table_Sales[[#This Row],[order_id]])=1,1,0)</f>
        <v>0</v>
      </c>
      <c r="L70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708" spans="1:12" x14ac:dyDescent="0.25">
      <c r="A708" t="s">
        <v>38</v>
      </c>
      <c r="B708" s="1">
        <v>110</v>
      </c>
      <c r="C708" s="1">
        <v>-68</v>
      </c>
      <c r="D708">
        <v>4</v>
      </c>
      <c r="E708" t="s">
        <v>23</v>
      </c>
      <c r="F708" t="s">
        <v>26</v>
      </c>
      <c r="G708" t="s">
        <v>14</v>
      </c>
      <c r="H708">
        <f>IF(Table_Sales[[#This Row],[profit]]&lt;0,1,0)</f>
        <v>1</v>
      </c>
      <c r="I708" t="str" cm="1">
        <f t="array" ref="I708">_xlfn.IFS(Table_Sales[[#This Row],[quantity]]&lt;=3,"1-3",Table_Sales[[#This Row],[quantity]]&lt;=7,"2-7",Table_Sales[[#This Row],[quantity]]&lt;=10,"8-10",TRUE,"11 and above")</f>
        <v>2-7</v>
      </c>
      <c r="J708" t="str" cm="1">
        <f t="array" ref="J708">_xlfn.IFS(Table_Sales[[#This Row],[amount]]&lt;1000,"Under 1000",Table_Sales[[#This Row],[amount]]&lt;3000,"1000 - 2999",Table_Sales[[#This Row],[amount]]&lt;5000,"3000 - 4999",TRUE,"5000 &amp; above")</f>
        <v>Under 1000</v>
      </c>
      <c r="K708">
        <f>IF(COUNTIFS(INDEX(Table_Sales[order_id],1):Table_Sales[[#This Row],[order_id]],Table_Sales[[#This Row],[order_id]])=1,1,0)</f>
        <v>0</v>
      </c>
      <c r="L70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709" spans="1:12" x14ac:dyDescent="0.25">
      <c r="A709" t="s">
        <v>104</v>
      </c>
      <c r="B709" s="1">
        <v>98</v>
      </c>
      <c r="C709" s="1">
        <v>9</v>
      </c>
      <c r="D709">
        <v>2</v>
      </c>
      <c r="E709" t="s">
        <v>12</v>
      </c>
      <c r="F709" t="s">
        <v>131</v>
      </c>
      <c r="G709" t="s">
        <v>10</v>
      </c>
      <c r="H709">
        <f>IF(Table_Sales[[#This Row],[profit]]&lt;0,1,0)</f>
        <v>0</v>
      </c>
      <c r="I709" t="str" cm="1">
        <f t="array" ref="I709">_xlfn.IFS(Table_Sales[[#This Row],[quantity]]&lt;=3,"1-3",Table_Sales[[#This Row],[quantity]]&lt;=7,"2-7",Table_Sales[[#This Row],[quantity]]&lt;=10,"8-10",TRUE,"11 and above")</f>
        <v>1-3</v>
      </c>
      <c r="J709" t="str" cm="1">
        <f t="array" ref="J709">_xlfn.IFS(Table_Sales[[#This Row],[amount]]&lt;1000,"Under 1000",Table_Sales[[#This Row],[amount]]&lt;3000,"1000 - 2999",Table_Sales[[#This Row],[amount]]&lt;5000,"3000 - 4999",TRUE,"5000 &amp; above")</f>
        <v>Under 1000</v>
      </c>
      <c r="K709">
        <f>IF(COUNTIFS(INDEX(Table_Sales[order_id],1):Table_Sales[[#This Row],[order_id]],Table_Sales[[#This Row],[order_id]])=1,1,0)</f>
        <v>0</v>
      </c>
      <c r="L70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710" spans="1:12" x14ac:dyDescent="0.25">
      <c r="A710" t="s">
        <v>38</v>
      </c>
      <c r="B710" s="1">
        <v>97</v>
      </c>
      <c r="C710" s="1">
        <v>-62</v>
      </c>
      <c r="D710">
        <v>2</v>
      </c>
      <c r="E710" t="s">
        <v>23</v>
      </c>
      <c r="F710" t="s">
        <v>24</v>
      </c>
      <c r="G710" t="s">
        <v>10</v>
      </c>
      <c r="H710">
        <f>IF(Table_Sales[[#This Row],[profit]]&lt;0,1,0)</f>
        <v>1</v>
      </c>
      <c r="I710" t="str" cm="1">
        <f t="array" ref="I710">_xlfn.IFS(Table_Sales[[#This Row],[quantity]]&lt;=3,"1-3",Table_Sales[[#This Row],[quantity]]&lt;=7,"2-7",Table_Sales[[#This Row],[quantity]]&lt;=10,"8-10",TRUE,"11 and above")</f>
        <v>1-3</v>
      </c>
      <c r="J710" t="str" cm="1">
        <f t="array" ref="J710">_xlfn.IFS(Table_Sales[[#This Row],[amount]]&lt;1000,"Under 1000",Table_Sales[[#This Row],[amount]]&lt;3000,"1000 - 2999",Table_Sales[[#This Row],[amount]]&lt;5000,"3000 - 4999",TRUE,"5000 &amp; above")</f>
        <v>Under 1000</v>
      </c>
      <c r="K710">
        <f>IF(COUNTIFS(INDEX(Table_Sales[order_id],1):Table_Sales[[#This Row],[order_id]],Table_Sales[[#This Row],[order_id]])=1,1,0)</f>
        <v>0</v>
      </c>
      <c r="L71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711" spans="1:12" x14ac:dyDescent="0.25">
      <c r="A711" t="s">
        <v>124</v>
      </c>
      <c r="B711" s="1">
        <v>111</v>
      </c>
      <c r="C711" s="1">
        <v>35</v>
      </c>
      <c r="D711">
        <v>5</v>
      </c>
      <c r="E711" t="s">
        <v>23</v>
      </c>
      <c r="F711" t="s">
        <v>142</v>
      </c>
      <c r="G711" t="s">
        <v>10</v>
      </c>
      <c r="H711">
        <f>IF(Table_Sales[[#This Row],[profit]]&lt;0,1,0)</f>
        <v>0</v>
      </c>
      <c r="I711" t="str" cm="1">
        <f t="array" ref="I711">_xlfn.IFS(Table_Sales[[#This Row],[quantity]]&lt;=3,"1-3",Table_Sales[[#This Row],[quantity]]&lt;=7,"2-7",Table_Sales[[#This Row],[quantity]]&lt;=10,"8-10",TRUE,"11 and above")</f>
        <v>2-7</v>
      </c>
      <c r="J711" t="str" cm="1">
        <f t="array" ref="J711">_xlfn.IFS(Table_Sales[[#This Row],[amount]]&lt;1000,"Under 1000",Table_Sales[[#This Row],[amount]]&lt;3000,"1000 - 2999",Table_Sales[[#This Row],[amount]]&lt;5000,"3000 - 4999",TRUE,"5000 &amp; above")</f>
        <v>Under 1000</v>
      </c>
      <c r="K711">
        <f>IF(COUNTIFS(INDEX(Table_Sales[order_id],1):Table_Sales[[#This Row],[order_id]],Table_Sales[[#This Row],[order_id]])=1,1,0)</f>
        <v>0</v>
      </c>
      <c r="L71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712" spans="1:12" x14ac:dyDescent="0.25">
      <c r="A712" t="s">
        <v>297</v>
      </c>
      <c r="B712" s="1">
        <v>45</v>
      </c>
      <c r="C712" s="1">
        <v>17</v>
      </c>
      <c r="D712">
        <v>1</v>
      </c>
      <c r="E712" t="s">
        <v>8</v>
      </c>
      <c r="F712" t="s">
        <v>73</v>
      </c>
      <c r="G712" t="s">
        <v>10</v>
      </c>
      <c r="H712">
        <f>IF(Table_Sales[[#This Row],[profit]]&lt;0,1,0)</f>
        <v>0</v>
      </c>
      <c r="I712" t="str" cm="1">
        <f t="array" ref="I712">_xlfn.IFS(Table_Sales[[#This Row],[quantity]]&lt;=3,"1-3",Table_Sales[[#This Row],[quantity]]&lt;=7,"2-7",Table_Sales[[#This Row],[quantity]]&lt;=10,"8-10",TRUE,"11 and above")</f>
        <v>1-3</v>
      </c>
      <c r="J712" t="str" cm="1">
        <f t="array" ref="J712">_xlfn.IFS(Table_Sales[[#This Row],[amount]]&lt;1000,"Under 1000",Table_Sales[[#This Row],[amount]]&lt;3000,"1000 - 2999",Table_Sales[[#This Row],[amount]]&lt;5000,"3000 - 4999",TRUE,"5000 &amp; above")</f>
        <v>Under 1000</v>
      </c>
      <c r="K712">
        <f>IF(COUNTIFS(INDEX(Table_Sales[order_id],1):Table_Sales[[#This Row],[order_id]],Table_Sales[[#This Row],[order_id]])=1,1,0)</f>
        <v>0</v>
      </c>
      <c r="L71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713" spans="1:12" x14ac:dyDescent="0.25">
      <c r="A713" t="s">
        <v>384</v>
      </c>
      <c r="B713" s="1">
        <v>112</v>
      </c>
      <c r="C713" s="1">
        <v>15</v>
      </c>
      <c r="D713">
        <v>2</v>
      </c>
      <c r="E713" t="s">
        <v>12</v>
      </c>
      <c r="F713" t="s">
        <v>13</v>
      </c>
      <c r="G713" t="s">
        <v>10</v>
      </c>
      <c r="H713">
        <f>IF(Table_Sales[[#This Row],[profit]]&lt;0,1,0)</f>
        <v>0</v>
      </c>
      <c r="I713" t="str" cm="1">
        <f t="array" ref="I713">_xlfn.IFS(Table_Sales[[#This Row],[quantity]]&lt;=3,"1-3",Table_Sales[[#This Row],[quantity]]&lt;=7,"2-7",Table_Sales[[#This Row],[quantity]]&lt;=10,"8-10",TRUE,"11 and above")</f>
        <v>1-3</v>
      </c>
      <c r="J713" t="str" cm="1">
        <f t="array" ref="J713">_xlfn.IFS(Table_Sales[[#This Row],[amount]]&lt;1000,"Under 1000",Table_Sales[[#This Row],[amount]]&lt;3000,"1000 - 2999",Table_Sales[[#This Row],[amount]]&lt;5000,"3000 - 4999",TRUE,"5000 &amp; above")</f>
        <v>Under 1000</v>
      </c>
      <c r="K713">
        <f>IF(COUNTIFS(INDEX(Table_Sales[order_id],1):Table_Sales[[#This Row],[order_id]],Table_Sales[[#This Row],[order_id]])=1,1,0)</f>
        <v>1</v>
      </c>
      <c r="L71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714" spans="1:12" x14ac:dyDescent="0.25">
      <c r="A714" t="s">
        <v>15</v>
      </c>
      <c r="B714" s="1">
        <v>110</v>
      </c>
      <c r="C714" s="1">
        <v>20</v>
      </c>
      <c r="D714">
        <v>5</v>
      </c>
      <c r="E714" t="s">
        <v>23</v>
      </c>
      <c r="F714" t="s">
        <v>57</v>
      </c>
      <c r="G714" t="s">
        <v>82</v>
      </c>
      <c r="H714">
        <f>IF(Table_Sales[[#This Row],[profit]]&lt;0,1,0)</f>
        <v>0</v>
      </c>
      <c r="I714" t="str" cm="1">
        <f t="array" ref="I714">_xlfn.IFS(Table_Sales[[#This Row],[quantity]]&lt;=3,"1-3",Table_Sales[[#This Row],[quantity]]&lt;=7,"2-7",Table_Sales[[#This Row],[quantity]]&lt;=10,"8-10",TRUE,"11 and above")</f>
        <v>2-7</v>
      </c>
      <c r="J714" t="str" cm="1">
        <f t="array" ref="J714">_xlfn.IFS(Table_Sales[[#This Row],[amount]]&lt;1000,"Under 1000",Table_Sales[[#This Row],[amount]]&lt;3000,"1000 - 2999",Table_Sales[[#This Row],[amount]]&lt;5000,"3000 - 4999",TRUE,"5000 &amp; above")</f>
        <v>Under 1000</v>
      </c>
      <c r="K714">
        <f>IF(COUNTIFS(INDEX(Table_Sales[order_id],1):Table_Sales[[#This Row],[order_id]],Table_Sales[[#This Row],[order_id]])=1,1,0)</f>
        <v>0</v>
      </c>
      <c r="L71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715" spans="1:12" x14ac:dyDescent="0.25">
      <c r="A715" t="s">
        <v>91</v>
      </c>
      <c r="B715" s="1">
        <v>98</v>
      </c>
      <c r="C715" s="1">
        <v>-5</v>
      </c>
      <c r="D715">
        <v>2</v>
      </c>
      <c r="E715" t="s">
        <v>23</v>
      </c>
      <c r="F715" t="s">
        <v>26</v>
      </c>
      <c r="G715" t="s">
        <v>28</v>
      </c>
      <c r="H715">
        <f>IF(Table_Sales[[#This Row],[profit]]&lt;0,1,0)</f>
        <v>1</v>
      </c>
      <c r="I715" t="str" cm="1">
        <f t="array" ref="I715">_xlfn.IFS(Table_Sales[[#This Row],[quantity]]&lt;=3,"1-3",Table_Sales[[#This Row],[quantity]]&lt;=7,"2-7",Table_Sales[[#This Row],[quantity]]&lt;=10,"8-10",TRUE,"11 and above")</f>
        <v>1-3</v>
      </c>
      <c r="J715" t="str" cm="1">
        <f t="array" ref="J715">_xlfn.IFS(Table_Sales[[#This Row],[amount]]&lt;1000,"Under 1000",Table_Sales[[#This Row],[amount]]&lt;3000,"1000 - 2999",Table_Sales[[#This Row],[amount]]&lt;5000,"3000 - 4999",TRUE,"5000 &amp; above")</f>
        <v>Under 1000</v>
      </c>
      <c r="K715">
        <f>IF(COUNTIFS(INDEX(Table_Sales[order_id],1):Table_Sales[[#This Row],[order_id]],Table_Sales[[#This Row],[order_id]])=1,1,0)</f>
        <v>0</v>
      </c>
      <c r="L71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716" spans="1:12" x14ac:dyDescent="0.25">
      <c r="A716" t="s">
        <v>385</v>
      </c>
      <c r="B716" s="1">
        <v>110</v>
      </c>
      <c r="C716" s="1">
        <v>12</v>
      </c>
      <c r="D716">
        <v>7</v>
      </c>
      <c r="E716" t="s">
        <v>23</v>
      </c>
      <c r="F716" t="s">
        <v>57</v>
      </c>
      <c r="G716" t="s">
        <v>82</v>
      </c>
      <c r="H716">
        <f>IF(Table_Sales[[#This Row],[profit]]&lt;0,1,0)</f>
        <v>0</v>
      </c>
      <c r="I716" t="str" cm="1">
        <f t="array" ref="I716">_xlfn.IFS(Table_Sales[[#This Row],[quantity]]&lt;=3,"1-3",Table_Sales[[#This Row],[quantity]]&lt;=7,"2-7",Table_Sales[[#This Row],[quantity]]&lt;=10,"8-10",TRUE,"11 and above")</f>
        <v>2-7</v>
      </c>
      <c r="J716" t="str" cm="1">
        <f t="array" ref="J716">_xlfn.IFS(Table_Sales[[#This Row],[amount]]&lt;1000,"Under 1000",Table_Sales[[#This Row],[amount]]&lt;3000,"1000 - 2999",Table_Sales[[#This Row],[amount]]&lt;5000,"3000 - 4999",TRUE,"5000 &amp; above")</f>
        <v>Under 1000</v>
      </c>
      <c r="K716">
        <f>IF(COUNTIFS(INDEX(Table_Sales[order_id],1):Table_Sales[[#This Row],[order_id]],Table_Sales[[#This Row],[order_id]])=1,1,0)</f>
        <v>1</v>
      </c>
      <c r="L71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717" spans="1:12" x14ac:dyDescent="0.25">
      <c r="A717" t="s">
        <v>41</v>
      </c>
      <c r="B717" s="1">
        <v>95</v>
      </c>
      <c r="C717" s="1">
        <v>11</v>
      </c>
      <c r="D717">
        <v>4</v>
      </c>
      <c r="E717" t="s">
        <v>12</v>
      </c>
      <c r="F717" t="s">
        <v>131</v>
      </c>
      <c r="G717" t="s">
        <v>10</v>
      </c>
      <c r="H717">
        <f>IF(Table_Sales[[#This Row],[profit]]&lt;0,1,0)</f>
        <v>0</v>
      </c>
      <c r="I717" t="str" cm="1">
        <f t="array" ref="I717">_xlfn.IFS(Table_Sales[[#This Row],[quantity]]&lt;=3,"1-3",Table_Sales[[#This Row],[quantity]]&lt;=7,"2-7",Table_Sales[[#This Row],[quantity]]&lt;=10,"8-10",TRUE,"11 and above")</f>
        <v>2-7</v>
      </c>
      <c r="J717" t="str" cm="1">
        <f t="array" ref="J717">_xlfn.IFS(Table_Sales[[#This Row],[amount]]&lt;1000,"Under 1000",Table_Sales[[#This Row],[amount]]&lt;3000,"1000 - 2999",Table_Sales[[#This Row],[amount]]&lt;5000,"3000 - 4999",TRUE,"5000 &amp; above")</f>
        <v>Under 1000</v>
      </c>
      <c r="K717">
        <f>IF(COUNTIFS(INDEX(Table_Sales[order_id],1):Table_Sales[[#This Row],[order_id]],Table_Sales[[#This Row],[order_id]])=1,1,0)</f>
        <v>0</v>
      </c>
      <c r="L71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718" spans="1:12" x14ac:dyDescent="0.25">
      <c r="A718" t="s">
        <v>216</v>
      </c>
      <c r="B718" s="1">
        <v>1228</v>
      </c>
      <c r="C718" s="1">
        <v>14</v>
      </c>
      <c r="D718">
        <v>3</v>
      </c>
      <c r="E718" t="s">
        <v>12</v>
      </c>
      <c r="F718" t="s">
        <v>13</v>
      </c>
      <c r="G718" t="s">
        <v>28</v>
      </c>
      <c r="H718">
        <f>IF(Table_Sales[[#This Row],[profit]]&lt;0,1,0)</f>
        <v>0</v>
      </c>
      <c r="I718" t="str" cm="1">
        <f t="array" ref="I718">_xlfn.IFS(Table_Sales[[#This Row],[quantity]]&lt;=3,"1-3",Table_Sales[[#This Row],[quantity]]&lt;=7,"2-7",Table_Sales[[#This Row],[quantity]]&lt;=10,"8-10",TRUE,"11 and above")</f>
        <v>1-3</v>
      </c>
      <c r="J718" t="str" cm="1">
        <f t="array" ref="J718">_xlfn.IFS(Table_Sales[[#This Row],[amount]]&lt;1000,"Under 1000",Table_Sales[[#This Row],[amount]]&lt;3000,"1000 - 2999",Table_Sales[[#This Row],[amount]]&lt;5000,"3000 - 4999",TRUE,"5000 &amp; above")</f>
        <v>1000 - 2999</v>
      </c>
      <c r="K718">
        <f>IF(COUNTIFS(INDEX(Table_Sales[order_id],1):Table_Sales[[#This Row],[order_id]],Table_Sales[[#This Row],[order_id]])=1,1,0)</f>
        <v>0</v>
      </c>
      <c r="L71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719" spans="1:12" x14ac:dyDescent="0.25">
      <c r="A719" t="s">
        <v>285</v>
      </c>
      <c r="B719" s="1">
        <v>29</v>
      </c>
      <c r="C719" s="1">
        <v>0</v>
      </c>
      <c r="D719">
        <v>3</v>
      </c>
      <c r="E719" t="s">
        <v>12</v>
      </c>
      <c r="F719" t="s">
        <v>131</v>
      </c>
      <c r="G719" t="s">
        <v>10</v>
      </c>
      <c r="H719">
        <f>IF(Table_Sales[[#This Row],[profit]]&lt;0,1,0)</f>
        <v>0</v>
      </c>
      <c r="I719" t="str" cm="1">
        <f t="array" ref="I719">_xlfn.IFS(Table_Sales[[#This Row],[quantity]]&lt;=3,"1-3",Table_Sales[[#This Row],[quantity]]&lt;=7,"2-7",Table_Sales[[#This Row],[quantity]]&lt;=10,"8-10",TRUE,"11 and above")</f>
        <v>1-3</v>
      </c>
      <c r="J719" t="str" cm="1">
        <f t="array" ref="J719">_xlfn.IFS(Table_Sales[[#This Row],[amount]]&lt;1000,"Under 1000",Table_Sales[[#This Row],[amount]]&lt;3000,"1000 - 2999",Table_Sales[[#This Row],[amount]]&lt;5000,"3000 - 4999",TRUE,"5000 &amp; above")</f>
        <v>Under 1000</v>
      </c>
      <c r="K719">
        <f>IF(COUNTIFS(INDEX(Table_Sales[order_id],1):Table_Sales[[#This Row],[order_id]],Table_Sales[[#This Row],[order_id]])=1,1,0)</f>
        <v>0</v>
      </c>
      <c r="L71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720" spans="1:12" x14ac:dyDescent="0.25">
      <c r="A720" t="s">
        <v>11</v>
      </c>
      <c r="B720" s="1">
        <v>94</v>
      </c>
      <c r="C720" s="1">
        <v>27</v>
      </c>
      <c r="D720">
        <v>2</v>
      </c>
      <c r="E720" t="s">
        <v>23</v>
      </c>
      <c r="F720" t="s">
        <v>81</v>
      </c>
      <c r="G720" t="s">
        <v>10</v>
      </c>
      <c r="H720">
        <f>IF(Table_Sales[[#This Row],[profit]]&lt;0,1,0)</f>
        <v>0</v>
      </c>
      <c r="I720" t="str" cm="1">
        <f t="array" ref="I720">_xlfn.IFS(Table_Sales[[#This Row],[quantity]]&lt;=3,"1-3",Table_Sales[[#This Row],[quantity]]&lt;=7,"2-7",Table_Sales[[#This Row],[quantity]]&lt;=10,"8-10",TRUE,"11 and above")</f>
        <v>1-3</v>
      </c>
      <c r="J720" t="str" cm="1">
        <f t="array" ref="J720">_xlfn.IFS(Table_Sales[[#This Row],[amount]]&lt;1000,"Under 1000",Table_Sales[[#This Row],[amount]]&lt;3000,"1000 - 2999",Table_Sales[[#This Row],[amount]]&lt;5000,"3000 - 4999",TRUE,"5000 &amp; above")</f>
        <v>Under 1000</v>
      </c>
      <c r="K720">
        <f>IF(COUNTIFS(INDEX(Table_Sales[order_id],1):Table_Sales[[#This Row],[order_id]],Table_Sales[[#This Row],[order_id]])=1,1,0)</f>
        <v>0</v>
      </c>
      <c r="L72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721" spans="1:12" x14ac:dyDescent="0.25">
      <c r="A721" t="s">
        <v>117</v>
      </c>
      <c r="B721" s="1">
        <v>115</v>
      </c>
      <c r="C721" s="1">
        <v>25</v>
      </c>
      <c r="D721">
        <v>1</v>
      </c>
      <c r="E721" t="s">
        <v>8</v>
      </c>
      <c r="F721" t="s">
        <v>73</v>
      </c>
      <c r="G721" t="s">
        <v>10</v>
      </c>
      <c r="H721">
        <f>IF(Table_Sales[[#This Row],[profit]]&lt;0,1,0)</f>
        <v>0</v>
      </c>
      <c r="I721" t="str" cm="1">
        <f t="array" ref="I721">_xlfn.IFS(Table_Sales[[#This Row],[quantity]]&lt;=3,"1-3",Table_Sales[[#This Row],[quantity]]&lt;=7,"2-7",Table_Sales[[#This Row],[quantity]]&lt;=10,"8-10",TRUE,"11 and above")</f>
        <v>1-3</v>
      </c>
      <c r="J721" t="str" cm="1">
        <f t="array" ref="J721">_xlfn.IFS(Table_Sales[[#This Row],[amount]]&lt;1000,"Under 1000",Table_Sales[[#This Row],[amount]]&lt;3000,"1000 - 2999",Table_Sales[[#This Row],[amount]]&lt;5000,"3000 - 4999",TRUE,"5000 &amp; above")</f>
        <v>Under 1000</v>
      </c>
      <c r="K721">
        <f>IF(COUNTIFS(INDEX(Table_Sales[order_id],1):Table_Sales[[#This Row],[order_id]],Table_Sales[[#This Row],[order_id]])=1,1,0)</f>
        <v>0</v>
      </c>
      <c r="L72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722" spans="1:12" x14ac:dyDescent="0.25">
      <c r="A722" t="s">
        <v>202</v>
      </c>
      <c r="B722" s="1">
        <v>149</v>
      </c>
      <c r="C722" s="1">
        <v>15</v>
      </c>
      <c r="D722">
        <v>3</v>
      </c>
      <c r="E722" t="s">
        <v>23</v>
      </c>
      <c r="F722" t="s">
        <v>26</v>
      </c>
      <c r="G722" t="s">
        <v>14</v>
      </c>
      <c r="H722">
        <f>IF(Table_Sales[[#This Row],[profit]]&lt;0,1,0)</f>
        <v>0</v>
      </c>
      <c r="I722" t="str" cm="1">
        <f t="array" ref="I722">_xlfn.IFS(Table_Sales[[#This Row],[quantity]]&lt;=3,"1-3",Table_Sales[[#This Row],[quantity]]&lt;=7,"2-7",Table_Sales[[#This Row],[quantity]]&lt;=10,"8-10",TRUE,"11 and above")</f>
        <v>1-3</v>
      </c>
      <c r="J722" t="str" cm="1">
        <f t="array" ref="J722">_xlfn.IFS(Table_Sales[[#This Row],[amount]]&lt;1000,"Under 1000",Table_Sales[[#This Row],[amount]]&lt;3000,"1000 - 2999",Table_Sales[[#This Row],[amount]]&lt;5000,"3000 - 4999",TRUE,"5000 &amp; above")</f>
        <v>Under 1000</v>
      </c>
      <c r="K722">
        <f>IF(COUNTIFS(INDEX(Table_Sales[order_id],1):Table_Sales[[#This Row],[order_id]],Table_Sales[[#This Row],[order_id]])=1,1,0)</f>
        <v>0</v>
      </c>
      <c r="L72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723" spans="1:12" x14ac:dyDescent="0.25">
      <c r="A723" t="s">
        <v>122</v>
      </c>
      <c r="B723" s="1">
        <v>148</v>
      </c>
      <c r="C723" s="1">
        <v>23</v>
      </c>
      <c r="D723">
        <v>4</v>
      </c>
      <c r="E723" t="s">
        <v>23</v>
      </c>
      <c r="F723" t="s">
        <v>32</v>
      </c>
      <c r="G723" t="s">
        <v>14</v>
      </c>
      <c r="H723">
        <f>IF(Table_Sales[[#This Row],[profit]]&lt;0,1,0)</f>
        <v>0</v>
      </c>
      <c r="I723" t="str" cm="1">
        <f t="array" ref="I723">_xlfn.IFS(Table_Sales[[#This Row],[quantity]]&lt;=3,"1-3",Table_Sales[[#This Row],[quantity]]&lt;=7,"2-7",Table_Sales[[#This Row],[quantity]]&lt;=10,"8-10",TRUE,"11 and above")</f>
        <v>2-7</v>
      </c>
      <c r="J723" t="str" cm="1">
        <f t="array" ref="J723">_xlfn.IFS(Table_Sales[[#This Row],[amount]]&lt;1000,"Under 1000",Table_Sales[[#This Row],[amount]]&lt;3000,"1000 - 2999",Table_Sales[[#This Row],[amount]]&lt;5000,"3000 - 4999",TRUE,"5000 &amp; above")</f>
        <v>Under 1000</v>
      </c>
      <c r="K723">
        <f>IF(COUNTIFS(INDEX(Table_Sales[order_id],1):Table_Sales[[#This Row],[order_id]],Table_Sales[[#This Row],[order_id]])=1,1,0)</f>
        <v>0</v>
      </c>
      <c r="L72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724" spans="1:12" x14ac:dyDescent="0.25">
      <c r="A724" t="s">
        <v>50</v>
      </c>
      <c r="B724" s="1">
        <v>93</v>
      </c>
      <c r="C724" s="1">
        <v>15</v>
      </c>
      <c r="D724">
        <v>2</v>
      </c>
      <c r="E724" t="s">
        <v>8</v>
      </c>
      <c r="F724" t="s">
        <v>73</v>
      </c>
      <c r="G724" t="s">
        <v>10</v>
      </c>
      <c r="H724">
        <f>IF(Table_Sales[[#This Row],[profit]]&lt;0,1,0)</f>
        <v>0</v>
      </c>
      <c r="I724" t="str" cm="1">
        <f t="array" ref="I724">_xlfn.IFS(Table_Sales[[#This Row],[quantity]]&lt;=3,"1-3",Table_Sales[[#This Row],[quantity]]&lt;=7,"2-7",Table_Sales[[#This Row],[quantity]]&lt;=10,"8-10",TRUE,"11 and above")</f>
        <v>1-3</v>
      </c>
      <c r="J724" t="str" cm="1">
        <f t="array" ref="J724">_xlfn.IFS(Table_Sales[[#This Row],[amount]]&lt;1000,"Under 1000",Table_Sales[[#This Row],[amount]]&lt;3000,"1000 - 2999",Table_Sales[[#This Row],[amount]]&lt;5000,"3000 - 4999",TRUE,"5000 &amp; above")</f>
        <v>Under 1000</v>
      </c>
      <c r="K724">
        <f>IF(COUNTIFS(INDEX(Table_Sales[order_id],1):Table_Sales[[#This Row],[order_id]],Table_Sales[[#This Row],[order_id]])=1,1,0)</f>
        <v>0</v>
      </c>
      <c r="L72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725" spans="1:12" x14ac:dyDescent="0.25">
      <c r="A725" t="s">
        <v>361</v>
      </c>
      <c r="B725" s="1">
        <v>113</v>
      </c>
      <c r="C725" s="1">
        <v>24</v>
      </c>
      <c r="D725">
        <v>4</v>
      </c>
      <c r="E725" t="s">
        <v>23</v>
      </c>
      <c r="F725" t="s">
        <v>30</v>
      </c>
      <c r="G725" t="s">
        <v>82</v>
      </c>
      <c r="H725">
        <f>IF(Table_Sales[[#This Row],[profit]]&lt;0,1,0)</f>
        <v>0</v>
      </c>
      <c r="I725" t="str" cm="1">
        <f t="array" ref="I725">_xlfn.IFS(Table_Sales[[#This Row],[quantity]]&lt;=3,"1-3",Table_Sales[[#This Row],[quantity]]&lt;=7,"2-7",Table_Sales[[#This Row],[quantity]]&lt;=10,"8-10",TRUE,"11 and above")</f>
        <v>2-7</v>
      </c>
      <c r="J725" t="str" cm="1">
        <f t="array" ref="J725">_xlfn.IFS(Table_Sales[[#This Row],[amount]]&lt;1000,"Under 1000",Table_Sales[[#This Row],[amount]]&lt;3000,"1000 - 2999",Table_Sales[[#This Row],[amount]]&lt;5000,"3000 - 4999",TRUE,"5000 &amp; above")</f>
        <v>Under 1000</v>
      </c>
      <c r="K725">
        <f>IF(COUNTIFS(INDEX(Table_Sales[order_id],1):Table_Sales[[#This Row],[order_id]],Table_Sales[[#This Row],[order_id]])=1,1,0)</f>
        <v>0</v>
      </c>
      <c r="L72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726" spans="1:12" x14ac:dyDescent="0.25">
      <c r="A726" t="s">
        <v>264</v>
      </c>
      <c r="B726" s="1">
        <v>48</v>
      </c>
      <c r="C726" s="1">
        <v>2</v>
      </c>
      <c r="D726">
        <v>3</v>
      </c>
      <c r="E726" t="s">
        <v>23</v>
      </c>
      <c r="F726" t="s">
        <v>57</v>
      </c>
      <c r="G726" t="s">
        <v>10</v>
      </c>
      <c r="H726">
        <f>IF(Table_Sales[[#This Row],[profit]]&lt;0,1,0)</f>
        <v>0</v>
      </c>
      <c r="I726" t="str" cm="1">
        <f t="array" ref="I726">_xlfn.IFS(Table_Sales[[#This Row],[quantity]]&lt;=3,"1-3",Table_Sales[[#This Row],[quantity]]&lt;=7,"2-7",Table_Sales[[#This Row],[quantity]]&lt;=10,"8-10",TRUE,"11 and above")</f>
        <v>1-3</v>
      </c>
      <c r="J726" t="str" cm="1">
        <f t="array" ref="J726">_xlfn.IFS(Table_Sales[[#This Row],[amount]]&lt;1000,"Under 1000",Table_Sales[[#This Row],[amount]]&lt;3000,"1000 - 2999",Table_Sales[[#This Row],[amount]]&lt;5000,"3000 - 4999",TRUE,"5000 &amp; above")</f>
        <v>Under 1000</v>
      </c>
      <c r="K726">
        <f>IF(COUNTIFS(INDEX(Table_Sales[order_id],1):Table_Sales[[#This Row],[order_id]],Table_Sales[[#This Row],[order_id]])=1,1,0)</f>
        <v>0</v>
      </c>
      <c r="L72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727" spans="1:12" x14ac:dyDescent="0.25">
      <c r="A727" t="s">
        <v>328</v>
      </c>
      <c r="B727" s="1">
        <v>148</v>
      </c>
      <c r="C727" s="1">
        <v>9</v>
      </c>
      <c r="D727">
        <v>1</v>
      </c>
      <c r="E727" t="s">
        <v>8</v>
      </c>
      <c r="F727" t="s">
        <v>9</v>
      </c>
      <c r="G727" t="s">
        <v>28</v>
      </c>
      <c r="H727">
        <f>IF(Table_Sales[[#This Row],[profit]]&lt;0,1,0)</f>
        <v>0</v>
      </c>
      <c r="I727" t="str" cm="1">
        <f t="array" ref="I727">_xlfn.IFS(Table_Sales[[#This Row],[quantity]]&lt;=3,"1-3",Table_Sales[[#This Row],[quantity]]&lt;=7,"2-7",Table_Sales[[#This Row],[quantity]]&lt;=10,"8-10",TRUE,"11 and above")</f>
        <v>1-3</v>
      </c>
      <c r="J727" t="str" cm="1">
        <f t="array" ref="J727">_xlfn.IFS(Table_Sales[[#This Row],[amount]]&lt;1000,"Under 1000",Table_Sales[[#This Row],[amount]]&lt;3000,"1000 - 2999",Table_Sales[[#This Row],[amount]]&lt;5000,"3000 - 4999",TRUE,"5000 &amp; above")</f>
        <v>Under 1000</v>
      </c>
      <c r="K727">
        <f>IF(COUNTIFS(INDEX(Table_Sales[order_id],1):Table_Sales[[#This Row],[order_id]],Table_Sales[[#This Row],[order_id]])=1,1,0)</f>
        <v>0</v>
      </c>
      <c r="L72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728" spans="1:12" x14ac:dyDescent="0.25">
      <c r="A728" t="s">
        <v>386</v>
      </c>
      <c r="B728" s="1">
        <v>114</v>
      </c>
      <c r="C728" s="1">
        <v>11</v>
      </c>
      <c r="D728">
        <v>4</v>
      </c>
      <c r="E728" t="s">
        <v>23</v>
      </c>
      <c r="F728" t="s">
        <v>81</v>
      </c>
      <c r="G728" t="s">
        <v>82</v>
      </c>
      <c r="H728">
        <f>IF(Table_Sales[[#This Row],[profit]]&lt;0,1,0)</f>
        <v>0</v>
      </c>
      <c r="I728" t="str" cm="1">
        <f t="array" ref="I728">_xlfn.IFS(Table_Sales[[#This Row],[quantity]]&lt;=3,"1-3",Table_Sales[[#This Row],[quantity]]&lt;=7,"2-7",Table_Sales[[#This Row],[quantity]]&lt;=10,"8-10",TRUE,"11 and above")</f>
        <v>2-7</v>
      </c>
      <c r="J728" t="str" cm="1">
        <f t="array" ref="J728">_xlfn.IFS(Table_Sales[[#This Row],[amount]]&lt;1000,"Under 1000",Table_Sales[[#This Row],[amount]]&lt;3000,"1000 - 2999",Table_Sales[[#This Row],[amount]]&lt;5000,"3000 - 4999",TRUE,"5000 &amp; above")</f>
        <v>Under 1000</v>
      </c>
      <c r="K728">
        <f>IF(COUNTIFS(INDEX(Table_Sales[order_id],1):Table_Sales[[#This Row],[order_id]],Table_Sales[[#This Row],[order_id]])=1,1,0)</f>
        <v>1</v>
      </c>
      <c r="L72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729" spans="1:12" x14ac:dyDescent="0.25">
      <c r="A729" t="s">
        <v>79</v>
      </c>
      <c r="B729" s="1">
        <v>92</v>
      </c>
      <c r="C729" s="1">
        <v>42</v>
      </c>
      <c r="D729">
        <v>2</v>
      </c>
      <c r="E729" t="s">
        <v>23</v>
      </c>
      <c r="F729" t="s">
        <v>57</v>
      </c>
      <c r="G729" t="s">
        <v>10</v>
      </c>
      <c r="H729">
        <f>IF(Table_Sales[[#This Row],[profit]]&lt;0,1,0)</f>
        <v>0</v>
      </c>
      <c r="I729" t="str" cm="1">
        <f t="array" ref="I729">_xlfn.IFS(Table_Sales[[#This Row],[quantity]]&lt;=3,"1-3",Table_Sales[[#This Row],[quantity]]&lt;=7,"2-7",Table_Sales[[#This Row],[quantity]]&lt;=10,"8-10",TRUE,"11 and above")</f>
        <v>1-3</v>
      </c>
      <c r="J729" t="str" cm="1">
        <f t="array" ref="J729">_xlfn.IFS(Table_Sales[[#This Row],[amount]]&lt;1000,"Under 1000",Table_Sales[[#This Row],[amount]]&lt;3000,"1000 - 2999",Table_Sales[[#This Row],[amount]]&lt;5000,"3000 - 4999",TRUE,"5000 &amp; above")</f>
        <v>Under 1000</v>
      </c>
      <c r="K729">
        <f>IF(COUNTIFS(INDEX(Table_Sales[order_id],1):Table_Sales[[#This Row],[order_id]],Table_Sales[[#This Row],[order_id]])=1,1,0)</f>
        <v>0</v>
      </c>
      <c r="L72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730" spans="1:12" x14ac:dyDescent="0.25">
      <c r="A730" t="s">
        <v>387</v>
      </c>
      <c r="B730" s="1">
        <v>117</v>
      </c>
      <c r="C730" s="1">
        <v>14</v>
      </c>
      <c r="D730">
        <v>3</v>
      </c>
      <c r="E730" t="s">
        <v>23</v>
      </c>
      <c r="F730" t="s">
        <v>142</v>
      </c>
      <c r="G730" t="s">
        <v>28</v>
      </c>
      <c r="H730">
        <f>IF(Table_Sales[[#This Row],[profit]]&lt;0,1,0)</f>
        <v>0</v>
      </c>
      <c r="I730" t="str" cm="1">
        <f t="array" ref="I730">_xlfn.IFS(Table_Sales[[#This Row],[quantity]]&lt;=3,"1-3",Table_Sales[[#This Row],[quantity]]&lt;=7,"2-7",Table_Sales[[#This Row],[quantity]]&lt;=10,"8-10",TRUE,"11 and above")</f>
        <v>1-3</v>
      </c>
      <c r="J730" t="str" cm="1">
        <f t="array" ref="J730">_xlfn.IFS(Table_Sales[[#This Row],[amount]]&lt;1000,"Under 1000",Table_Sales[[#This Row],[amount]]&lt;3000,"1000 - 2999",Table_Sales[[#This Row],[amount]]&lt;5000,"3000 - 4999",TRUE,"5000 &amp; above")</f>
        <v>Under 1000</v>
      </c>
      <c r="K730">
        <f>IF(COUNTIFS(INDEX(Table_Sales[order_id],1):Table_Sales[[#This Row],[order_id]],Table_Sales[[#This Row],[order_id]])=1,1,0)</f>
        <v>1</v>
      </c>
      <c r="L73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731" spans="1:12" x14ac:dyDescent="0.25">
      <c r="A731" t="s">
        <v>80</v>
      </c>
      <c r="B731" s="1">
        <v>21</v>
      </c>
      <c r="C731" s="1">
        <v>-10</v>
      </c>
      <c r="D731">
        <v>4</v>
      </c>
      <c r="E731" t="s">
        <v>23</v>
      </c>
      <c r="F731" t="s">
        <v>63</v>
      </c>
      <c r="G731" t="s">
        <v>10</v>
      </c>
      <c r="H731">
        <f>IF(Table_Sales[[#This Row],[profit]]&lt;0,1,0)</f>
        <v>1</v>
      </c>
      <c r="I731" t="str" cm="1">
        <f t="array" ref="I731">_xlfn.IFS(Table_Sales[[#This Row],[quantity]]&lt;=3,"1-3",Table_Sales[[#This Row],[quantity]]&lt;=7,"2-7",Table_Sales[[#This Row],[quantity]]&lt;=10,"8-10",TRUE,"11 and above")</f>
        <v>2-7</v>
      </c>
      <c r="J731" t="str" cm="1">
        <f t="array" ref="J731">_xlfn.IFS(Table_Sales[[#This Row],[amount]]&lt;1000,"Under 1000",Table_Sales[[#This Row],[amount]]&lt;3000,"1000 - 2999",Table_Sales[[#This Row],[amount]]&lt;5000,"3000 - 4999",TRUE,"5000 &amp; above")</f>
        <v>Under 1000</v>
      </c>
      <c r="K731">
        <f>IF(COUNTIFS(INDEX(Table_Sales[order_id],1):Table_Sales[[#This Row],[order_id]],Table_Sales[[#This Row],[order_id]])=1,1,0)</f>
        <v>0</v>
      </c>
      <c r="L73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732" spans="1:12" x14ac:dyDescent="0.25">
      <c r="A732" t="s">
        <v>388</v>
      </c>
      <c r="B732" s="1">
        <v>33</v>
      </c>
      <c r="C732" s="1">
        <v>-10</v>
      </c>
      <c r="D732">
        <v>6</v>
      </c>
      <c r="E732" t="s">
        <v>23</v>
      </c>
      <c r="F732" t="s">
        <v>63</v>
      </c>
      <c r="G732" t="s">
        <v>28</v>
      </c>
      <c r="H732">
        <f>IF(Table_Sales[[#This Row],[profit]]&lt;0,1,0)</f>
        <v>1</v>
      </c>
      <c r="I732" t="str" cm="1">
        <f t="array" ref="I732">_xlfn.IFS(Table_Sales[[#This Row],[quantity]]&lt;=3,"1-3",Table_Sales[[#This Row],[quantity]]&lt;=7,"2-7",Table_Sales[[#This Row],[quantity]]&lt;=10,"8-10",TRUE,"11 and above")</f>
        <v>2-7</v>
      </c>
      <c r="J732" t="str" cm="1">
        <f t="array" ref="J732">_xlfn.IFS(Table_Sales[[#This Row],[amount]]&lt;1000,"Under 1000",Table_Sales[[#This Row],[amount]]&lt;3000,"1000 - 2999",Table_Sales[[#This Row],[amount]]&lt;5000,"3000 - 4999",TRUE,"5000 &amp; above")</f>
        <v>Under 1000</v>
      </c>
      <c r="K732">
        <f>IF(COUNTIFS(INDEX(Table_Sales[order_id],1):Table_Sales[[#This Row],[order_id]],Table_Sales[[#This Row],[order_id]])=1,1,0)</f>
        <v>1</v>
      </c>
      <c r="L73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733" spans="1:12" x14ac:dyDescent="0.25">
      <c r="A733" t="s">
        <v>99</v>
      </c>
      <c r="B733" s="1">
        <v>114</v>
      </c>
      <c r="C733" s="1">
        <v>8</v>
      </c>
      <c r="D733">
        <v>3</v>
      </c>
      <c r="E733" t="s">
        <v>8</v>
      </c>
      <c r="F733" t="s">
        <v>73</v>
      </c>
      <c r="G733" t="s">
        <v>82</v>
      </c>
      <c r="H733">
        <f>IF(Table_Sales[[#This Row],[profit]]&lt;0,1,0)</f>
        <v>0</v>
      </c>
      <c r="I733" t="str" cm="1">
        <f t="array" ref="I733">_xlfn.IFS(Table_Sales[[#This Row],[quantity]]&lt;=3,"1-3",Table_Sales[[#This Row],[quantity]]&lt;=7,"2-7",Table_Sales[[#This Row],[quantity]]&lt;=10,"8-10",TRUE,"11 and above")</f>
        <v>1-3</v>
      </c>
      <c r="J733" t="str" cm="1">
        <f t="array" ref="J733">_xlfn.IFS(Table_Sales[[#This Row],[amount]]&lt;1000,"Under 1000",Table_Sales[[#This Row],[amount]]&lt;3000,"1000 - 2999",Table_Sales[[#This Row],[amount]]&lt;5000,"3000 - 4999",TRUE,"5000 &amp; above")</f>
        <v>Under 1000</v>
      </c>
      <c r="K733">
        <f>IF(COUNTIFS(INDEX(Table_Sales[order_id],1):Table_Sales[[#This Row],[order_id]],Table_Sales[[#This Row],[order_id]])=1,1,0)</f>
        <v>0</v>
      </c>
      <c r="L73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734" spans="1:12" x14ac:dyDescent="0.25">
      <c r="A734" t="s">
        <v>204</v>
      </c>
      <c r="B734" s="1">
        <v>115</v>
      </c>
      <c r="C734" s="1">
        <v>0</v>
      </c>
      <c r="D734">
        <v>1</v>
      </c>
      <c r="E734" t="s">
        <v>8</v>
      </c>
      <c r="F734" t="s">
        <v>73</v>
      </c>
      <c r="G734" t="s">
        <v>82</v>
      </c>
      <c r="H734">
        <f>IF(Table_Sales[[#This Row],[profit]]&lt;0,1,0)</f>
        <v>0</v>
      </c>
      <c r="I734" t="str" cm="1">
        <f t="array" ref="I734">_xlfn.IFS(Table_Sales[[#This Row],[quantity]]&lt;=3,"1-3",Table_Sales[[#This Row],[quantity]]&lt;=7,"2-7",Table_Sales[[#This Row],[quantity]]&lt;=10,"8-10",TRUE,"11 and above")</f>
        <v>1-3</v>
      </c>
      <c r="J734" t="str" cm="1">
        <f t="array" ref="J734">_xlfn.IFS(Table_Sales[[#This Row],[amount]]&lt;1000,"Under 1000",Table_Sales[[#This Row],[amount]]&lt;3000,"1000 - 2999",Table_Sales[[#This Row],[amount]]&lt;5000,"3000 - 4999",TRUE,"5000 &amp; above")</f>
        <v>Under 1000</v>
      </c>
      <c r="K734">
        <f>IF(COUNTIFS(INDEX(Table_Sales[order_id],1):Table_Sales[[#This Row],[order_id]],Table_Sales[[#This Row],[order_id]])=1,1,0)</f>
        <v>0</v>
      </c>
      <c r="L73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735" spans="1:12" x14ac:dyDescent="0.25">
      <c r="A735" t="s">
        <v>31</v>
      </c>
      <c r="B735" s="1">
        <v>90</v>
      </c>
      <c r="C735" s="1">
        <v>29</v>
      </c>
      <c r="D735">
        <v>5</v>
      </c>
      <c r="E735" t="s">
        <v>23</v>
      </c>
      <c r="F735" t="s">
        <v>81</v>
      </c>
      <c r="G735" t="s">
        <v>10</v>
      </c>
      <c r="H735">
        <f>IF(Table_Sales[[#This Row],[profit]]&lt;0,1,0)</f>
        <v>0</v>
      </c>
      <c r="I735" t="str" cm="1">
        <f t="array" ref="I735">_xlfn.IFS(Table_Sales[[#This Row],[quantity]]&lt;=3,"1-3",Table_Sales[[#This Row],[quantity]]&lt;=7,"2-7",Table_Sales[[#This Row],[quantity]]&lt;=10,"8-10",TRUE,"11 and above")</f>
        <v>2-7</v>
      </c>
      <c r="J735" t="str" cm="1">
        <f t="array" ref="J735">_xlfn.IFS(Table_Sales[[#This Row],[amount]]&lt;1000,"Under 1000",Table_Sales[[#This Row],[amount]]&lt;3000,"1000 - 2999",Table_Sales[[#This Row],[amount]]&lt;5000,"3000 - 4999",TRUE,"5000 &amp; above")</f>
        <v>Under 1000</v>
      </c>
      <c r="K735">
        <f>IF(COUNTIFS(INDEX(Table_Sales[order_id],1):Table_Sales[[#This Row],[order_id]],Table_Sales[[#This Row],[order_id]])=1,1,0)</f>
        <v>0</v>
      </c>
      <c r="L73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736" spans="1:12" x14ac:dyDescent="0.25">
      <c r="A736" t="s">
        <v>389</v>
      </c>
      <c r="B736" s="1">
        <v>61</v>
      </c>
      <c r="C736" s="1">
        <v>1</v>
      </c>
      <c r="D736">
        <v>2</v>
      </c>
      <c r="E736" t="s">
        <v>12</v>
      </c>
      <c r="F736" t="s">
        <v>131</v>
      </c>
      <c r="G736" t="s">
        <v>10</v>
      </c>
      <c r="H736">
        <f>IF(Table_Sales[[#This Row],[profit]]&lt;0,1,0)</f>
        <v>0</v>
      </c>
      <c r="I736" t="str" cm="1">
        <f t="array" ref="I736">_xlfn.IFS(Table_Sales[[#This Row],[quantity]]&lt;=3,"1-3",Table_Sales[[#This Row],[quantity]]&lt;=7,"2-7",Table_Sales[[#This Row],[quantity]]&lt;=10,"8-10",TRUE,"11 and above")</f>
        <v>1-3</v>
      </c>
      <c r="J736" t="str" cm="1">
        <f t="array" ref="J736">_xlfn.IFS(Table_Sales[[#This Row],[amount]]&lt;1000,"Under 1000",Table_Sales[[#This Row],[amount]]&lt;3000,"1000 - 2999",Table_Sales[[#This Row],[amount]]&lt;5000,"3000 - 4999",TRUE,"5000 &amp; above")</f>
        <v>Under 1000</v>
      </c>
      <c r="K736">
        <f>IF(COUNTIFS(INDEX(Table_Sales[order_id],1):Table_Sales[[#This Row],[order_id]],Table_Sales[[#This Row],[order_id]])=1,1,0)</f>
        <v>1</v>
      </c>
      <c r="L73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737" spans="1:12" x14ac:dyDescent="0.25">
      <c r="A737" t="s">
        <v>390</v>
      </c>
      <c r="B737" s="1">
        <v>119</v>
      </c>
      <c r="C737" s="1">
        <v>1</v>
      </c>
      <c r="D737">
        <v>1</v>
      </c>
      <c r="E737" t="s">
        <v>12</v>
      </c>
      <c r="F737" t="s">
        <v>13</v>
      </c>
      <c r="G737" t="s">
        <v>10</v>
      </c>
      <c r="H737">
        <f>IF(Table_Sales[[#This Row],[profit]]&lt;0,1,0)</f>
        <v>0</v>
      </c>
      <c r="I737" t="str" cm="1">
        <f t="array" ref="I737">_xlfn.IFS(Table_Sales[[#This Row],[quantity]]&lt;=3,"1-3",Table_Sales[[#This Row],[quantity]]&lt;=7,"2-7",Table_Sales[[#This Row],[quantity]]&lt;=10,"8-10",TRUE,"11 and above")</f>
        <v>1-3</v>
      </c>
      <c r="J737" t="str" cm="1">
        <f t="array" ref="J737">_xlfn.IFS(Table_Sales[[#This Row],[amount]]&lt;1000,"Under 1000",Table_Sales[[#This Row],[amount]]&lt;3000,"1000 - 2999",Table_Sales[[#This Row],[amount]]&lt;5000,"3000 - 4999",TRUE,"5000 &amp; above")</f>
        <v>Under 1000</v>
      </c>
      <c r="K737">
        <f>IF(COUNTIFS(INDEX(Table_Sales[order_id],1):Table_Sales[[#This Row],[order_id]],Table_Sales[[#This Row],[order_id]])=1,1,0)</f>
        <v>1</v>
      </c>
      <c r="L73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738" spans="1:12" x14ac:dyDescent="0.25">
      <c r="A738" t="s">
        <v>111</v>
      </c>
      <c r="B738" s="1">
        <v>117</v>
      </c>
      <c r="C738" s="1">
        <v>36</v>
      </c>
      <c r="D738">
        <v>2</v>
      </c>
      <c r="E738" t="s">
        <v>23</v>
      </c>
      <c r="F738" t="s">
        <v>24</v>
      </c>
      <c r="G738" t="s">
        <v>82</v>
      </c>
      <c r="H738">
        <f>IF(Table_Sales[[#This Row],[profit]]&lt;0,1,0)</f>
        <v>0</v>
      </c>
      <c r="I738" t="str" cm="1">
        <f t="array" ref="I738">_xlfn.IFS(Table_Sales[[#This Row],[quantity]]&lt;=3,"1-3",Table_Sales[[#This Row],[quantity]]&lt;=7,"2-7",Table_Sales[[#This Row],[quantity]]&lt;=10,"8-10",TRUE,"11 and above")</f>
        <v>1-3</v>
      </c>
      <c r="J738" t="str" cm="1">
        <f t="array" ref="J738">_xlfn.IFS(Table_Sales[[#This Row],[amount]]&lt;1000,"Under 1000",Table_Sales[[#This Row],[amount]]&lt;3000,"1000 - 2999",Table_Sales[[#This Row],[amount]]&lt;5000,"3000 - 4999",TRUE,"5000 &amp; above")</f>
        <v>Under 1000</v>
      </c>
      <c r="K738">
        <f>IF(COUNTIFS(INDEX(Table_Sales[order_id],1):Table_Sales[[#This Row],[order_id]],Table_Sales[[#This Row],[order_id]])=1,1,0)</f>
        <v>0</v>
      </c>
      <c r="L73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739" spans="1:12" x14ac:dyDescent="0.25">
      <c r="A739" t="s">
        <v>391</v>
      </c>
      <c r="B739" s="1">
        <v>148</v>
      </c>
      <c r="C739" s="1">
        <v>54</v>
      </c>
      <c r="D739">
        <v>2</v>
      </c>
      <c r="E739" t="s">
        <v>12</v>
      </c>
      <c r="F739" t="s">
        <v>13</v>
      </c>
      <c r="G739" t="s">
        <v>28</v>
      </c>
      <c r="H739">
        <f>IF(Table_Sales[[#This Row],[profit]]&lt;0,1,0)</f>
        <v>0</v>
      </c>
      <c r="I739" t="str" cm="1">
        <f t="array" ref="I739">_xlfn.IFS(Table_Sales[[#This Row],[quantity]]&lt;=3,"1-3",Table_Sales[[#This Row],[quantity]]&lt;=7,"2-7",Table_Sales[[#This Row],[quantity]]&lt;=10,"8-10",TRUE,"11 and above")</f>
        <v>1-3</v>
      </c>
      <c r="J739" t="str" cm="1">
        <f t="array" ref="J739">_xlfn.IFS(Table_Sales[[#This Row],[amount]]&lt;1000,"Under 1000",Table_Sales[[#This Row],[amount]]&lt;3000,"1000 - 2999",Table_Sales[[#This Row],[amount]]&lt;5000,"3000 - 4999",TRUE,"5000 &amp; above")</f>
        <v>Under 1000</v>
      </c>
      <c r="K739">
        <f>IF(COUNTIFS(INDEX(Table_Sales[order_id],1):Table_Sales[[#This Row],[order_id]],Table_Sales[[#This Row],[order_id]])=1,1,0)</f>
        <v>1</v>
      </c>
      <c r="L73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740" spans="1:12" x14ac:dyDescent="0.25">
      <c r="A740" t="s">
        <v>190</v>
      </c>
      <c r="B740" s="1">
        <v>249</v>
      </c>
      <c r="C740" s="1">
        <v>-5</v>
      </c>
      <c r="D740">
        <v>4</v>
      </c>
      <c r="E740" t="s">
        <v>23</v>
      </c>
      <c r="F740" t="s">
        <v>26</v>
      </c>
      <c r="G740" t="s">
        <v>10</v>
      </c>
      <c r="H740">
        <f>IF(Table_Sales[[#This Row],[profit]]&lt;0,1,0)</f>
        <v>1</v>
      </c>
      <c r="I740" t="str" cm="1">
        <f t="array" ref="I740">_xlfn.IFS(Table_Sales[[#This Row],[quantity]]&lt;=3,"1-3",Table_Sales[[#This Row],[quantity]]&lt;=7,"2-7",Table_Sales[[#This Row],[quantity]]&lt;=10,"8-10",TRUE,"11 and above")</f>
        <v>2-7</v>
      </c>
      <c r="J740" t="str" cm="1">
        <f t="array" ref="J740">_xlfn.IFS(Table_Sales[[#This Row],[amount]]&lt;1000,"Under 1000",Table_Sales[[#This Row],[amount]]&lt;3000,"1000 - 2999",Table_Sales[[#This Row],[amount]]&lt;5000,"3000 - 4999",TRUE,"5000 &amp; above")</f>
        <v>Under 1000</v>
      </c>
      <c r="K740">
        <f>IF(COUNTIFS(INDEX(Table_Sales[order_id],1):Table_Sales[[#This Row],[order_id]],Table_Sales[[#This Row],[order_id]])=1,1,0)</f>
        <v>0</v>
      </c>
      <c r="L74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741" spans="1:12" x14ac:dyDescent="0.25">
      <c r="A741" t="s">
        <v>115</v>
      </c>
      <c r="B741" s="1">
        <v>147</v>
      </c>
      <c r="C741" s="1">
        <v>73</v>
      </c>
      <c r="D741">
        <v>3</v>
      </c>
      <c r="E741" t="s">
        <v>23</v>
      </c>
      <c r="F741" t="s">
        <v>57</v>
      </c>
      <c r="G741" t="s">
        <v>28</v>
      </c>
      <c r="H741">
        <f>IF(Table_Sales[[#This Row],[profit]]&lt;0,1,0)</f>
        <v>0</v>
      </c>
      <c r="I741" t="str" cm="1">
        <f t="array" ref="I741">_xlfn.IFS(Table_Sales[[#This Row],[quantity]]&lt;=3,"1-3",Table_Sales[[#This Row],[quantity]]&lt;=7,"2-7",Table_Sales[[#This Row],[quantity]]&lt;=10,"8-10",TRUE,"11 and above")</f>
        <v>1-3</v>
      </c>
      <c r="J741" t="str" cm="1">
        <f t="array" ref="J741">_xlfn.IFS(Table_Sales[[#This Row],[amount]]&lt;1000,"Under 1000",Table_Sales[[#This Row],[amount]]&lt;3000,"1000 - 2999",Table_Sales[[#This Row],[amount]]&lt;5000,"3000 - 4999",TRUE,"5000 &amp; above")</f>
        <v>Under 1000</v>
      </c>
      <c r="K741">
        <f>IF(COUNTIFS(INDEX(Table_Sales[order_id],1):Table_Sales[[#This Row],[order_id]],Table_Sales[[#This Row],[order_id]])=1,1,0)</f>
        <v>0</v>
      </c>
      <c r="L74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742" spans="1:12" x14ac:dyDescent="0.25">
      <c r="A742" t="s">
        <v>392</v>
      </c>
      <c r="B742" s="1">
        <v>118</v>
      </c>
      <c r="C742" s="1">
        <v>35</v>
      </c>
      <c r="D742">
        <v>7</v>
      </c>
      <c r="E742" t="s">
        <v>23</v>
      </c>
      <c r="F742" t="s">
        <v>81</v>
      </c>
      <c r="G742" t="s">
        <v>14</v>
      </c>
      <c r="H742">
        <f>IF(Table_Sales[[#This Row],[profit]]&lt;0,1,0)</f>
        <v>0</v>
      </c>
      <c r="I742" t="str" cm="1">
        <f t="array" ref="I742">_xlfn.IFS(Table_Sales[[#This Row],[quantity]]&lt;=3,"1-3",Table_Sales[[#This Row],[quantity]]&lt;=7,"2-7",Table_Sales[[#This Row],[quantity]]&lt;=10,"8-10",TRUE,"11 and above")</f>
        <v>2-7</v>
      </c>
      <c r="J742" t="str" cm="1">
        <f t="array" ref="J742">_xlfn.IFS(Table_Sales[[#This Row],[amount]]&lt;1000,"Under 1000",Table_Sales[[#This Row],[amount]]&lt;3000,"1000 - 2999",Table_Sales[[#This Row],[amount]]&lt;5000,"3000 - 4999",TRUE,"5000 &amp; above")</f>
        <v>Under 1000</v>
      </c>
      <c r="K742">
        <f>IF(COUNTIFS(INDEX(Table_Sales[order_id],1):Table_Sales[[#This Row],[order_id]],Table_Sales[[#This Row],[order_id]])=1,1,0)</f>
        <v>1</v>
      </c>
      <c r="L74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743" spans="1:12" x14ac:dyDescent="0.25">
      <c r="A743" t="s">
        <v>194</v>
      </c>
      <c r="B743" s="1">
        <v>119</v>
      </c>
      <c r="C743" s="1">
        <v>56</v>
      </c>
      <c r="D743">
        <v>7</v>
      </c>
      <c r="E743" t="s">
        <v>23</v>
      </c>
      <c r="F743" t="s">
        <v>26</v>
      </c>
      <c r="G743" t="s">
        <v>14</v>
      </c>
      <c r="H743">
        <f>IF(Table_Sales[[#This Row],[profit]]&lt;0,1,0)</f>
        <v>0</v>
      </c>
      <c r="I743" t="str" cm="1">
        <f t="array" ref="I743">_xlfn.IFS(Table_Sales[[#This Row],[quantity]]&lt;=3,"1-3",Table_Sales[[#This Row],[quantity]]&lt;=7,"2-7",Table_Sales[[#This Row],[quantity]]&lt;=10,"8-10",TRUE,"11 and above")</f>
        <v>2-7</v>
      </c>
      <c r="J743" t="str" cm="1">
        <f t="array" ref="J743">_xlfn.IFS(Table_Sales[[#This Row],[amount]]&lt;1000,"Under 1000",Table_Sales[[#This Row],[amount]]&lt;3000,"1000 - 2999",Table_Sales[[#This Row],[amount]]&lt;5000,"3000 - 4999",TRUE,"5000 &amp; above")</f>
        <v>Under 1000</v>
      </c>
      <c r="K743">
        <f>IF(COUNTIFS(INDEX(Table_Sales[order_id],1):Table_Sales[[#This Row],[order_id]],Table_Sales[[#This Row],[order_id]])=1,1,0)</f>
        <v>0</v>
      </c>
      <c r="L74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744" spans="1:12" x14ac:dyDescent="0.25">
      <c r="A744" t="s">
        <v>378</v>
      </c>
      <c r="B744" s="1">
        <v>90</v>
      </c>
      <c r="C744" s="1">
        <v>27</v>
      </c>
      <c r="D744">
        <v>2</v>
      </c>
      <c r="E744" t="s">
        <v>23</v>
      </c>
      <c r="F744" t="s">
        <v>81</v>
      </c>
      <c r="G744" t="s">
        <v>10</v>
      </c>
      <c r="H744">
        <f>IF(Table_Sales[[#This Row],[profit]]&lt;0,1,0)</f>
        <v>0</v>
      </c>
      <c r="I744" t="str" cm="1">
        <f t="array" ref="I744">_xlfn.IFS(Table_Sales[[#This Row],[quantity]]&lt;=3,"1-3",Table_Sales[[#This Row],[quantity]]&lt;=7,"2-7",Table_Sales[[#This Row],[quantity]]&lt;=10,"8-10",TRUE,"11 and above")</f>
        <v>1-3</v>
      </c>
      <c r="J744" t="str" cm="1">
        <f t="array" ref="J744">_xlfn.IFS(Table_Sales[[#This Row],[amount]]&lt;1000,"Under 1000",Table_Sales[[#This Row],[amount]]&lt;3000,"1000 - 2999",Table_Sales[[#This Row],[amount]]&lt;5000,"3000 - 4999",TRUE,"5000 &amp; above")</f>
        <v>Under 1000</v>
      </c>
      <c r="K744">
        <f>IF(COUNTIFS(INDEX(Table_Sales[order_id],1):Table_Sales[[#This Row],[order_id]],Table_Sales[[#This Row],[order_id]])=1,1,0)</f>
        <v>0</v>
      </c>
      <c r="L74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745" spans="1:12" x14ac:dyDescent="0.25">
      <c r="A745" t="s">
        <v>263</v>
      </c>
      <c r="B745" s="1">
        <v>32</v>
      </c>
      <c r="C745" s="1">
        <v>1</v>
      </c>
      <c r="D745">
        <v>2</v>
      </c>
      <c r="E745" t="s">
        <v>23</v>
      </c>
      <c r="F745" t="s">
        <v>57</v>
      </c>
      <c r="G745" t="s">
        <v>10</v>
      </c>
      <c r="H745">
        <f>IF(Table_Sales[[#This Row],[profit]]&lt;0,1,0)</f>
        <v>0</v>
      </c>
      <c r="I745" t="str" cm="1">
        <f t="array" ref="I745">_xlfn.IFS(Table_Sales[[#This Row],[quantity]]&lt;=3,"1-3",Table_Sales[[#This Row],[quantity]]&lt;=7,"2-7",Table_Sales[[#This Row],[quantity]]&lt;=10,"8-10",TRUE,"11 and above")</f>
        <v>1-3</v>
      </c>
      <c r="J745" t="str" cm="1">
        <f t="array" ref="J745">_xlfn.IFS(Table_Sales[[#This Row],[amount]]&lt;1000,"Under 1000",Table_Sales[[#This Row],[amount]]&lt;3000,"1000 - 2999",Table_Sales[[#This Row],[amount]]&lt;5000,"3000 - 4999",TRUE,"5000 &amp; above")</f>
        <v>Under 1000</v>
      </c>
      <c r="K745">
        <f>IF(COUNTIFS(INDEX(Table_Sales[order_id],1):Table_Sales[[#This Row],[order_id]],Table_Sales[[#This Row],[order_id]])=1,1,0)</f>
        <v>0</v>
      </c>
      <c r="L74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746" spans="1:12" x14ac:dyDescent="0.25">
      <c r="A746" t="s">
        <v>393</v>
      </c>
      <c r="B746" s="1">
        <v>89</v>
      </c>
      <c r="C746" s="1">
        <v>-89</v>
      </c>
      <c r="D746">
        <v>2</v>
      </c>
      <c r="E746" t="s">
        <v>12</v>
      </c>
      <c r="F746" t="s">
        <v>131</v>
      </c>
      <c r="G746" t="s">
        <v>10</v>
      </c>
      <c r="H746">
        <f>IF(Table_Sales[[#This Row],[profit]]&lt;0,1,0)</f>
        <v>1</v>
      </c>
      <c r="I746" t="str" cm="1">
        <f t="array" ref="I746">_xlfn.IFS(Table_Sales[[#This Row],[quantity]]&lt;=3,"1-3",Table_Sales[[#This Row],[quantity]]&lt;=7,"2-7",Table_Sales[[#This Row],[quantity]]&lt;=10,"8-10",TRUE,"11 and above")</f>
        <v>1-3</v>
      </c>
      <c r="J746" t="str" cm="1">
        <f t="array" ref="J746">_xlfn.IFS(Table_Sales[[#This Row],[amount]]&lt;1000,"Under 1000",Table_Sales[[#This Row],[amount]]&lt;3000,"1000 - 2999",Table_Sales[[#This Row],[amount]]&lt;5000,"3000 - 4999",TRUE,"5000 &amp; above")</f>
        <v>Under 1000</v>
      </c>
      <c r="K746">
        <f>IF(COUNTIFS(INDEX(Table_Sales[order_id],1):Table_Sales[[#This Row],[order_id]],Table_Sales[[#This Row],[order_id]])=1,1,0)</f>
        <v>1</v>
      </c>
      <c r="L74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747" spans="1:12" x14ac:dyDescent="0.25">
      <c r="A747" t="s">
        <v>328</v>
      </c>
      <c r="B747" s="1">
        <v>146</v>
      </c>
      <c r="C747" s="1">
        <v>66</v>
      </c>
      <c r="D747">
        <v>1</v>
      </c>
      <c r="E747" t="s">
        <v>8</v>
      </c>
      <c r="F747" t="s">
        <v>21</v>
      </c>
      <c r="G747" t="s">
        <v>28</v>
      </c>
      <c r="H747">
        <f>IF(Table_Sales[[#This Row],[profit]]&lt;0,1,0)</f>
        <v>0</v>
      </c>
      <c r="I747" t="str" cm="1">
        <f t="array" ref="I747">_xlfn.IFS(Table_Sales[[#This Row],[quantity]]&lt;=3,"1-3",Table_Sales[[#This Row],[quantity]]&lt;=7,"2-7",Table_Sales[[#This Row],[quantity]]&lt;=10,"8-10",TRUE,"11 and above")</f>
        <v>1-3</v>
      </c>
      <c r="J747" t="str" cm="1">
        <f t="array" ref="J747">_xlfn.IFS(Table_Sales[[#This Row],[amount]]&lt;1000,"Under 1000",Table_Sales[[#This Row],[amount]]&lt;3000,"1000 - 2999",Table_Sales[[#This Row],[amount]]&lt;5000,"3000 - 4999",TRUE,"5000 &amp; above")</f>
        <v>Under 1000</v>
      </c>
      <c r="K747">
        <f>IF(COUNTIFS(INDEX(Table_Sales[order_id],1):Table_Sales[[#This Row],[order_id]],Table_Sales[[#This Row],[order_id]])=1,1,0)</f>
        <v>0</v>
      </c>
      <c r="L74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748" spans="1:12" x14ac:dyDescent="0.25">
      <c r="A748" t="s">
        <v>394</v>
      </c>
      <c r="B748" s="1">
        <v>89</v>
      </c>
      <c r="C748" s="1">
        <v>-37</v>
      </c>
      <c r="D748">
        <v>4</v>
      </c>
      <c r="E748" t="s">
        <v>23</v>
      </c>
      <c r="F748" t="s">
        <v>142</v>
      </c>
      <c r="G748" t="s">
        <v>10</v>
      </c>
      <c r="H748">
        <f>IF(Table_Sales[[#This Row],[profit]]&lt;0,1,0)</f>
        <v>1</v>
      </c>
      <c r="I748" t="str" cm="1">
        <f t="array" ref="I748">_xlfn.IFS(Table_Sales[[#This Row],[quantity]]&lt;=3,"1-3",Table_Sales[[#This Row],[quantity]]&lt;=7,"2-7",Table_Sales[[#This Row],[quantity]]&lt;=10,"8-10",TRUE,"11 and above")</f>
        <v>2-7</v>
      </c>
      <c r="J748" t="str" cm="1">
        <f t="array" ref="J748">_xlfn.IFS(Table_Sales[[#This Row],[amount]]&lt;1000,"Under 1000",Table_Sales[[#This Row],[amount]]&lt;3000,"1000 - 2999",Table_Sales[[#This Row],[amount]]&lt;5000,"3000 - 4999",TRUE,"5000 &amp; above")</f>
        <v>Under 1000</v>
      </c>
      <c r="K748">
        <f>IF(COUNTIFS(INDEX(Table_Sales[order_id],1):Table_Sales[[#This Row],[order_id]],Table_Sales[[#This Row],[order_id]])=1,1,0)</f>
        <v>1</v>
      </c>
      <c r="L74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749" spans="1:12" x14ac:dyDescent="0.25">
      <c r="A749" t="s">
        <v>243</v>
      </c>
      <c r="B749" s="1">
        <v>88</v>
      </c>
      <c r="C749" s="1">
        <v>11</v>
      </c>
      <c r="D749">
        <v>3</v>
      </c>
      <c r="E749" t="s">
        <v>8</v>
      </c>
      <c r="F749" t="s">
        <v>73</v>
      </c>
      <c r="G749" t="s">
        <v>10</v>
      </c>
      <c r="H749">
        <f>IF(Table_Sales[[#This Row],[profit]]&lt;0,1,0)</f>
        <v>0</v>
      </c>
      <c r="I749" t="str" cm="1">
        <f t="array" ref="I749">_xlfn.IFS(Table_Sales[[#This Row],[quantity]]&lt;=3,"1-3",Table_Sales[[#This Row],[quantity]]&lt;=7,"2-7",Table_Sales[[#This Row],[quantity]]&lt;=10,"8-10",TRUE,"11 and above")</f>
        <v>1-3</v>
      </c>
      <c r="J749" t="str" cm="1">
        <f t="array" ref="J749">_xlfn.IFS(Table_Sales[[#This Row],[amount]]&lt;1000,"Under 1000",Table_Sales[[#This Row],[amount]]&lt;3000,"1000 - 2999",Table_Sales[[#This Row],[amount]]&lt;5000,"3000 - 4999",TRUE,"5000 &amp; above")</f>
        <v>Under 1000</v>
      </c>
      <c r="K749">
        <f>IF(COUNTIFS(INDEX(Table_Sales[order_id],1):Table_Sales[[#This Row],[order_id]],Table_Sales[[#This Row],[order_id]])=1,1,0)</f>
        <v>0</v>
      </c>
      <c r="L74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750" spans="1:12" x14ac:dyDescent="0.25">
      <c r="A750" t="s">
        <v>395</v>
      </c>
      <c r="B750" s="1">
        <v>121</v>
      </c>
      <c r="C750" s="1">
        <v>41</v>
      </c>
      <c r="D750">
        <v>4</v>
      </c>
      <c r="E750" t="s">
        <v>23</v>
      </c>
      <c r="F750" t="s">
        <v>57</v>
      </c>
      <c r="G750" t="s">
        <v>14</v>
      </c>
      <c r="H750">
        <f>IF(Table_Sales[[#This Row],[profit]]&lt;0,1,0)</f>
        <v>0</v>
      </c>
      <c r="I750" t="str" cm="1">
        <f t="array" ref="I750">_xlfn.IFS(Table_Sales[[#This Row],[quantity]]&lt;=3,"1-3",Table_Sales[[#This Row],[quantity]]&lt;=7,"2-7",Table_Sales[[#This Row],[quantity]]&lt;=10,"8-10",TRUE,"11 and above")</f>
        <v>2-7</v>
      </c>
      <c r="J750" t="str" cm="1">
        <f t="array" ref="J750">_xlfn.IFS(Table_Sales[[#This Row],[amount]]&lt;1000,"Under 1000",Table_Sales[[#This Row],[amount]]&lt;3000,"1000 - 2999",Table_Sales[[#This Row],[amount]]&lt;5000,"3000 - 4999",TRUE,"5000 &amp; above")</f>
        <v>Under 1000</v>
      </c>
      <c r="K750">
        <f>IF(COUNTIFS(INDEX(Table_Sales[order_id],1):Table_Sales[[#This Row],[order_id]],Table_Sales[[#This Row],[order_id]])=1,1,0)</f>
        <v>1</v>
      </c>
      <c r="L75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751" spans="1:12" x14ac:dyDescent="0.25">
      <c r="A751" t="s">
        <v>273</v>
      </c>
      <c r="B751" s="1">
        <v>88</v>
      </c>
      <c r="C751" s="1">
        <v>20</v>
      </c>
      <c r="D751">
        <v>2</v>
      </c>
      <c r="E751" t="s">
        <v>23</v>
      </c>
      <c r="F751" t="s">
        <v>26</v>
      </c>
      <c r="G751" t="s">
        <v>10</v>
      </c>
      <c r="H751">
        <f>IF(Table_Sales[[#This Row],[profit]]&lt;0,1,0)</f>
        <v>0</v>
      </c>
      <c r="I751" t="str" cm="1">
        <f t="array" ref="I751">_xlfn.IFS(Table_Sales[[#This Row],[quantity]]&lt;=3,"1-3",Table_Sales[[#This Row],[quantity]]&lt;=7,"2-7",Table_Sales[[#This Row],[quantity]]&lt;=10,"8-10",TRUE,"11 and above")</f>
        <v>1-3</v>
      </c>
      <c r="J751" t="str" cm="1">
        <f t="array" ref="J751">_xlfn.IFS(Table_Sales[[#This Row],[amount]]&lt;1000,"Under 1000",Table_Sales[[#This Row],[amount]]&lt;3000,"1000 - 2999",Table_Sales[[#This Row],[amount]]&lt;5000,"3000 - 4999",TRUE,"5000 &amp; above")</f>
        <v>Under 1000</v>
      </c>
      <c r="K751">
        <f>IF(COUNTIFS(INDEX(Table_Sales[order_id],1):Table_Sales[[#This Row],[order_id]],Table_Sales[[#This Row],[order_id]])=1,1,0)</f>
        <v>0</v>
      </c>
      <c r="L75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752" spans="1:12" x14ac:dyDescent="0.25">
      <c r="A752" t="s">
        <v>182</v>
      </c>
      <c r="B752" s="1">
        <v>87</v>
      </c>
      <c r="C752" s="1">
        <v>-83</v>
      </c>
      <c r="D752">
        <v>5</v>
      </c>
      <c r="E752" t="s">
        <v>23</v>
      </c>
      <c r="F752" t="s">
        <v>32</v>
      </c>
      <c r="G752" t="s">
        <v>10</v>
      </c>
      <c r="H752">
        <f>IF(Table_Sales[[#This Row],[profit]]&lt;0,1,0)</f>
        <v>1</v>
      </c>
      <c r="I752" t="str" cm="1">
        <f t="array" ref="I752">_xlfn.IFS(Table_Sales[[#This Row],[quantity]]&lt;=3,"1-3",Table_Sales[[#This Row],[quantity]]&lt;=7,"2-7",Table_Sales[[#This Row],[quantity]]&lt;=10,"8-10",TRUE,"11 and above")</f>
        <v>2-7</v>
      </c>
      <c r="J752" t="str" cm="1">
        <f t="array" ref="J752">_xlfn.IFS(Table_Sales[[#This Row],[amount]]&lt;1000,"Under 1000",Table_Sales[[#This Row],[amount]]&lt;3000,"1000 - 2999",Table_Sales[[#This Row],[amount]]&lt;5000,"3000 - 4999",TRUE,"5000 &amp; above")</f>
        <v>Under 1000</v>
      </c>
      <c r="K752">
        <f>IF(COUNTIFS(INDEX(Table_Sales[order_id],1):Table_Sales[[#This Row],[order_id]],Table_Sales[[#This Row],[order_id]])=1,1,0)</f>
        <v>0</v>
      </c>
      <c r="L75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753" spans="1:12" x14ac:dyDescent="0.25">
      <c r="A753" t="s">
        <v>396</v>
      </c>
      <c r="B753" s="1">
        <v>87</v>
      </c>
      <c r="C753" s="1">
        <v>4</v>
      </c>
      <c r="D753">
        <v>2</v>
      </c>
      <c r="E753" t="s">
        <v>23</v>
      </c>
      <c r="F753" t="s">
        <v>142</v>
      </c>
      <c r="G753" t="s">
        <v>10</v>
      </c>
      <c r="H753">
        <f>IF(Table_Sales[[#This Row],[profit]]&lt;0,1,0)</f>
        <v>0</v>
      </c>
      <c r="I753" t="str" cm="1">
        <f t="array" ref="I753">_xlfn.IFS(Table_Sales[[#This Row],[quantity]]&lt;=3,"1-3",Table_Sales[[#This Row],[quantity]]&lt;=7,"2-7",Table_Sales[[#This Row],[quantity]]&lt;=10,"8-10",TRUE,"11 and above")</f>
        <v>1-3</v>
      </c>
      <c r="J753" t="str" cm="1">
        <f t="array" ref="J753">_xlfn.IFS(Table_Sales[[#This Row],[amount]]&lt;1000,"Under 1000",Table_Sales[[#This Row],[amount]]&lt;3000,"1000 - 2999",Table_Sales[[#This Row],[amount]]&lt;5000,"3000 - 4999",TRUE,"5000 &amp; above")</f>
        <v>Under 1000</v>
      </c>
      <c r="K753">
        <f>IF(COUNTIFS(INDEX(Table_Sales[order_id],1):Table_Sales[[#This Row],[order_id]],Table_Sales[[#This Row],[order_id]])=1,1,0)</f>
        <v>1</v>
      </c>
      <c r="L75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754" spans="1:12" x14ac:dyDescent="0.25">
      <c r="A754" t="s">
        <v>397</v>
      </c>
      <c r="B754" s="1">
        <v>122</v>
      </c>
      <c r="C754" s="1">
        <v>15</v>
      </c>
      <c r="D754">
        <v>3</v>
      </c>
      <c r="E754" t="s">
        <v>8</v>
      </c>
      <c r="F754" t="s">
        <v>73</v>
      </c>
      <c r="G754" t="s">
        <v>14</v>
      </c>
      <c r="H754">
        <f>IF(Table_Sales[[#This Row],[profit]]&lt;0,1,0)</f>
        <v>0</v>
      </c>
      <c r="I754" t="str" cm="1">
        <f t="array" ref="I754">_xlfn.IFS(Table_Sales[[#This Row],[quantity]]&lt;=3,"1-3",Table_Sales[[#This Row],[quantity]]&lt;=7,"2-7",Table_Sales[[#This Row],[quantity]]&lt;=10,"8-10",TRUE,"11 and above")</f>
        <v>1-3</v>
      </c>
      <c r="J754" t="str" cm="1">
        <f t="array" ref="J754">_xlfn.IFS(Table_Sales[[#This Row],[amount]]&lt;1000,"Under 1000",Table_Sales[[#This Row],[amount]]&lt;3000,"1000 - 2999",Table_Sales[[#This Row],[amount]]&lt;5000,"3000 - 4999",TRUE,"5000 &amp; above")</f>
        <v>Under 1000</v>
      </c>
      <c r="K754">
        <f>IF(COUNTIFS(INDEX(Table_Sales[order_id],1):Table_Sales[[#This Row],[order_id]],Table_Sales[[#This Row],[order_id]])=1,1,0)</f>
        <v>1</v>
      </c>
      <c r="L75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755" spans="1:12" x14ac:dyDescent="0.25">
      <c r="A755" t="s">
        <v>398</v>
      </c>
      <c r="B755" s="1">
        <v>87</v>
      </c>
      <c r="C755" s="1">
        <v>10</v>
      </c>
      <c r="D755">
        <v>3</v>
      </c>
      <c r="E755" t="s">
        <v>23</v>
      </c>
      <c r="F755" t="s">
        <v>57</v>
      </c>
      <c r="G755" t="s">
        <v>10</v>
      </c>
      <c r="H755">
        <f>IF(Table_Sales[[#This Row],[profit]]&lt;0,1,0)</f>
        <v>0</v>
      </c>
      <c r="I755" t="str" cm="1">
        <f t="array" ref="I755">_xlfn.IFS(Table_Sales[[#This Row],[quantity]]&lt;=3,"1-3",Table_Sales[[#This Row],[quantity]]&lt;=7,"2-7",Table_Sales[[#This Row],[quantity]]&lt;=10,"8-10",TRUE,"11 and above")</f>
        <v>1-3</v>
      </c>
      <c r="J755" t="str" cm="1">
        <f t="array" ref="J755">_xlfn.IFS(Table_Sales[[#This Row],[amount]]&lt;1000,"Under 1000",Table_Sales[[#This Row],[amount]]&lt;3000,"1000 - 2999",Table_Sales[[#This Row],[amount]]&lt;5000,"3000 - 4999",TRUE,"5000 &amp; above")</f>
        <v>Under 1000</v>
      </c>
      <c r="K755">
        <f>IF(COUNTIFS(INDEX(Table_Sales[order_id],1):Table_Sales[[#This Row],[order_id]],Table_Sales[[#This Row],[order_id]])=1,1,0)</f>
        <v>1</v>
      </c>
      <c r="L75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756" spans="1:12" x14ac:dyDescent="0.25">
      <c r="A756" t="s">
        <v>399</v>
      </c>
      <c r="B756" s="1">
        <v>53</v>
      </c>
      <c r="C756" s="1">
        <v>8</v>
      </c>
      <c r="D756">
        <v>3</v>
      </c>
      <c r="E756" t="s">
        <v>12</v>
      </c>
      <c r="F756" t="s">
        <v>131</v>
      </c>
      <c r="G756" t="s">
        <v>28</v>
      </c>
      <c r="H756">
        <f>IF(Table_Sales[[#This Row],[profit]]&lt;0,1,0)</f>
        <v>0</v>
      </c>
      <c r="I756" t="str" cm="1">
        <f t="array" ref="I756">_xlfn.IFS(Table_Sales[[#This Row],[quantity]]&lt;=3,"1-3",Table_Sales[[#This Row],[quantity]]&lt;=7,"2-7",Table_Sales[[#This Row],[quantity]]&lt;=10,"8-10",TRUE,"11 and above")</f>
        <v>1-3</v>
      </c>
      <c r="J756" t="str" cm="1">
        <f t="array" ref="J756">_xlfn.IFS(Table_Sales[[#This Row],[amount]]&lt;1000,"Under 1000",Table_Sales[[#This Row],[amount]]&lt;3000,"1000 - 2999",Table_Sales[[#This Row],[amount]]&lt;5000,"3000 - 4999",TRUE,"5000 &amp; above")</f>
        <v>Under 1000</v>
      </c>
      <c r="K756">
        <f>IF(COUNTIFS(INDEX(Table_Sales[order_id],1):Table_Sales[[#This Row],[order_id]],Table_Sales[[#This Row],[order_id]])=1,1,0)</f>
        <v>1</v>
      </c>
      <c r="L75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757" spans="1:12" x14ac:dyDescent="0.25">
      <c r="A757" t="s">
        <v>133</v>
      </c>
      <c r="B757" s="1">
        <v>87</v>
      </c>
      <c r="C757" s="1">
        <v>-32</v>
      </c>
      <c r="D757">
        <v>9</v>
      </c>
      <c r="E757" t="s">
        <v>23</v>
      </c>
      <c r="F757" t="s">
        <v>43</v>
      </c>
      <c r="G757" t="s">
        <v>10</v>
      </c>
      <c r="H757">
        <f>IF(Table_Sales[[#This Row],[profit]]&lt;0,1,0)</f>
        <v>1</v>
      </c>
      <c r="I757" t="str" cm="1">
        <f t="array" ref="I757">_xlfn.IFS(Table_Sales[[#This Row],[quantity]]&lt;=3,"1-3",Table_Sales[[#This Row],[quantity]]&lt;=7,"2-7",Table_Sales[[#This Row],[quantity]]&lt;=10,"8-10",TRUE,"11 and above")</f>
        <v>8-10</v>
      </c>
      <c r="J757" t="str" cm="1">
        <f t="array" ref="J757">_xlfn.IFS(Table_Sales[[#This Row],[amount]]&lt;1000,"Under 1000",Table_Sales[[#This Row],[amount]]&lt;3000,"1000 - 2999",Table_Sales[[#This Row],[amount]]&lt;5000,"3000 - 4999",TRUE,"5000 &amp; above")</f>
        <v>Under 1000</v>
      </c>
      <c r="K757">
        <f>IF(COUNTIFS(INDEX(Table_Sales[order_id],1):Table_Sales[[#This Row],[order_id]],Table_Sales[[#This Row],[order_id]])=1,1,0)</f>
        <v>0</v>
      </c>
      <c r="L75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758" spans="1:12" x14ac:dyDescent="0.25">
      <c r="A758" t="s">
        <v>400</v>
      </c>
      <c r="B758" s="1">
        <v>86</v>
      </c>
      <c r="C758" s="1">
        <v>-55</v>
      </c>
      <c r="D758">
        <v>6</v>
      </c>
      <c r="E758" t="s">
        <v>23</v>
      </c>
      <c r="F758" t="s">
        <v>26</v>
      </c>
      <c r="G758" t="s">
        <v>10</v>
      </c>
      <c r="H758">
        <f>IF(Table_Sales[[#This Row],[profit]]&lt;0,1,0)</f>
        <v>1</v>
      </c>
      <c r="I758" t="str" cm="1">
        <f t="array" ref="I758">_xlfn.IFS(Table_Sales[[#This Row],[quantity]]&lt;=3,"1-3",Table_Sales[[#This Row],[quantity]]&lt;=7,"2-7",Table_Sales[[#This Row],[quantity]]&lt;=10,"8-10",TRUE,"11 and above")</f>
        <v>2-7</v>
      </c>
      <c r="J758" t="str" cm="1">
        <f t="array" ref="J758">_xlfn.IFS(Table_Sales[[#This Row],[amount]]&lt;1000,"Under 1000",Table_Sales[[#This Row],[amount]]&lt;3000,"1000 - 2999",Table_Sales[[#This Row],[amount]]&lt;5000,"3000 - 4999",TRUE,"5000 &amp; above")</f>
        <v>Under 1000</v>
      </c>
      <c r="K758">
        <f>IF(COUNTIFS(INDEX(Table_Sales[order_id],1):Table_Sales[[#This Row],[order_id]],Table_Sales[[#This Row],[order_id]])=1,1,0)</f>
        <v>1</v>
      </c>
      <c r="L75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759" spans="1:12" x14ac:dyDescent="0.25">
      <c r="A759" t="s">
        <v>401</v>
      </c>
      <c r="B759" s="1">
        <v>125</v>
      </c>
      <c r="C759" s="1">
        <v>22</v>
      </c>
      <c r="D759">
        <v>3</v>
      </c>
      <c r="E759" t="s">
        <v>23</v>
      </c>
      <c r="F759" t="s">
        <v>57</v>
      </c>
      <c r="G759" t="s">
        <v>14</v>
      </c>
      <c r="H759">
        <f>IF(Table_Sales[[#This Row],[profit]]&lt;0,1,0)</f>
        <v>0</v>
      </c>
      <c r="I759" t="str" cm="1">
        <f t="array" ref="I759">_xlfn.IFS(Table_Sales[[#This Row],[quantity]]&lt;=3,"1-3",Table_Sales[[#This Row],[quantity]]&lt;=7,"2-7",Table_Sales[[#This Row],[quantity]]&lt;=10,"8-10",TRUE,"11 and above")</f>
        <v>1-3</v>
      </c>
      <c r="J759" t="str" cm="1">
        <f t="array" ref="J759">_xlfn.IFS(Table_Sales[[#This Row],[amount]]&lt;1000,"Under 1000",Table_Sales[[#This Row],[amount]]&lt;3000,"1000 - 2999",Table_Sales[[#This Row],[amount]]&lt;5000,"3000 - 4999",TRUE,"5000 &amp; above")</f>
        <v>Under 1000</v>
      </c>
      <c r="K759">
        <f>IF(COUNTIFS(INDEX(Table_Sales[order_id],1):Table_Sales[[#This Row],[order_id]],Table_Sales[[#This Row],[order_id]])=1,1,0)</f>
        <v>1</v>
      </c>
      <c r="L75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760" spans="1:12" x14ac:dyDescent="0.25">
      <c r="A760" t="s">
        <v>180</v>
      </c>
      <c r="B760" s="1">
        <v>128</v>
      </c>
      <c r="C760" s="1">
        <v>-3</v>
      </c>
      <c r="D760">
        <v>3</v>
      </c>
      <c r="E760" t="s">
        <v>23</v>
      </c>
      <c r="F760" t="s">
        <v>26</v>
      </c>
      <c r="G760" t="s">
        <v>82</v>
      </c>
      <c r="H760">
        <f>IF(Table_Sales[[#This Row],[profit]]&lt;0,1,0)</f>
        <v>1</v>
      </c>
      <c r="I760" t="str" cm="1">
        <f t="array" ref="I760">_xlfn.IFS(Table_Sales[[#This Row],[quantity]]&lt;=3,"1-3",Table_Sales[[#This Row],[quantity]]&lt;=7,"2-7",Table_Sales[[#This Row],[quantity]]&lt;=10,"8-10",TRUE,"11 and above")</f>
        <v>1-3</v>
      </c>
      <c r="J760" t="str" cm="1">
        <f t="array" ref="J760">_xlfn.IFS(Table_Sales[[#This Row],[amount]]&lt;1000,"Under 1000",Table_Sales[[#This Row],[amount]]&lt;3000,"1000 - 2999",Table_Sales[[#This Row],[amount]]&lt;5000,"3000 - 4999",TRUE,"5000 &amp; above")</f>
        <v>Under 1000</v>
      </c>
      <c r="K760">
        <f>IF(COUNTIFS(INDEX(Table_Sales[order_id],1):Table_Sales[[#This Row],[order_id]],Table_Sales[[#This Row],[order_id]])=1,1,0)</f>
        <v>0</v>
      </c>
      <c r="L76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761" spans="1:12" x14ac:dyDescent="0.25">
      <c r="A761" t="s">
        <v>224</v>
      </c>
      <c r="B761" s="1">
        <v>143</v>
      </c>
      <c r="C761" s="1">
        <v>-124</v>
      </c>
      <c r="D761">
        <v>5</v>
      </c>
      <c r="E761" t="s">
        <v>23</v>
      </c>
      <c r="F761" t="s">
        <v>26</v>
      </c>
      <c r="G761" t="s">
        <v>28</v>
      </c>
      <c r="H761">
        <f>IF(Table_Sales[[#This Row],[profit]]&lt;0,1,0)</f>
        <v>1</v>
      </c>
      <c r="I761" t="str" cm="1">
        <f t="array" ref="I761">_xlfn.IFS(Table_Sales[[#This Row],[quantity]]&lt;=3,"1-3",Table_Sales[[#This Row],[quantity]]&lt;=7,"2-7",Table_Sales[[#This Row],[quantity]]&lt;=10,"8-10",TRUE,"11 and above")</f>
        <v>2-7</v>
      </c>
      <c r="J761" t="str" cm="1">
        <f t="array" ref="J761">_xlfn.IFS(Table_Sales[[#This Row],[amount]]&lt;1000,"Under 1000",Table_Sales[[#This Row],[amount]]&lt;3000,"1000 - 2999",Table_Sales[[#This Row],[amount]]&lt;5000,"3000 - 4999",TRUE,"5000 &amp; above")</f>
        <v>Under 1000</v>
      </c>
      <c r="K761">
        <f>IF(COUNTIFS(INDEX(Table_Sales[order_id],1):Table_Sales[[#This Row],[order_id]],Table_Sales[[#This Row],[order_id]])=1,1,0)</f>
        <v>0</v>
      </c>
      <c r="L76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762" spans="1:12" x14ac:dyDescent="0.25">
      <c r="A762" t="s">
        <v>83</v>
      </c>
      <c r="B762" s="1">
        <v>86</v>
      </c>
      <c r="C762" s="1">
        <v>22</v>
      </c>
      <c r="D762">
        <v>2</v>
      </c>
      <c r="E762" t="s">
        <v>23</v>
      </c>
      <c r="F762" t="s">
        <v>26</v>
      </c>
      <c r="G762" t="s">
        <v>10</v>
      </c>
      <c r="H762">
        <f>IF(Table_Sales[[#This Row],[profit]]&lt;0,1,0)</f>
        <v>0</v>
      </c>
      <c r="I762" t="str" cm="1">
        <f t="array" ref="I762">_xlfn.IFS(Table_Sales[[#This Row],[quantity]]&lt;=3,"1-3",Table_Sales[[#This Row],[quantity]]&lt;=7,"2-7",Table_Sales[[#This Row],[quantity]]&lt;=10,"8-10",TRUE,"11 and above")</f>
        <v>1-3</v>
      </c>
      <c r="J762" t="str" cm="1">
        <f t="array" ref="J762">_xlfn.IFS(Table_Sales[[#This Row],[amount]]&lt;1000,"Under 1000",Table_Sales[[#This Row],[amount]]&lt;3000,"1000 - 2999",Table_Sales[[#This Row],[amount]]&lt;5000,"3000 - 4999",TRUE,"5000 &amp; above")</f>
        <v>Under 1000</v>
      </c>
      <c r="K762">
        <f>IF(COUNTIFS(INDEX(Table_Sales[order_id],1):Table_Sales[[#This Row],[order_id]],Table_Sales[[#This Row],[order_id]])=1,1,0)</f>
        <v>0</v>
      </c>
      <c r="L76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763" spans="1:12" x14ac:dyDescent="0.25">
      <c r="A763" t="s">
        <v>402</v>
      </c>
      <c r="B763" s="1">
        <v>86</v>
      </c>
      <c r="C763" s="1">
        <v>9</v>
      </c>
      <c r="D763">
        <v>3</v>
      </c>
      <c r="E763" t="s">
        <v>23</v>
      </c>
      <c r="F763" t="s">
        <v>26</v>
      </c>
      <c r="G763" t="s">
        <v>10</v>
      </c>
      <c r="H763">
        <f>IF(Table_Sales[[#This Row],[profit]]&lt;0,1,0)</f>
        <v>0</v>
      </c>
      <c r="I763" t="str" cm="1">
        <f t="array" ref="I763">_xlfn.IFS(Table_Sales[[#This Row],[quantity]]&lt;=3,"1-3",Table_Sales[[#This Row],[quantity]]&lt;=7,"2-7",Table_Sales[[#This Row],[quantity]]&lt;=10,"8-10",TRUE,"11 and above")</f>
        <v>1-3</v>
      </c>
      <c r="J763" t="str" cm="1">
        <f t="array" ref="J763">_xlfn.IFS(Table_Sales[[#This Row],[amount]]&lt;1000,"Under 1000",Table_Sales[[#This Row],[amount]]&lt;3000,"1000 - 2999",Table_Sales[[#This Row],[amount]]&lt;5000,"3000 - 4999",TRUE,"5000 &amp; above")</f>
        <v>Under 1000</v>
      </c>
      <c r="K763">
        <f>IF(COUNTIFS(INDEX(Table_Sales[order_id],1):Table_Sales[[#This Row],[order_id]],Table_Sales[[#This Row],[order_id]])=1,1,0)</f>
        <v>1</v>
      </c>
      <c r="L76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764" spans="1:12" x14ac:dyDescent="0.25">
      <c r="A764" t="s">
        <v>289</v>
      </c>
      <c r="B764" s="1">
        <v>85</v>
      </c>
      <c r="C764" s="1">
        <v>-9</v>
      </c>
      <c r="D764">
        <v>4</v>
      </c>
      <c r="E764" t="s">
        <v>23</v>
      </c>
      <c r="F764" t="s">
        <v>26</v>
      </c>
      <c r="G764" t="s">
        <v>10</v>
      </c>
      <c r="H764">
        <f>IF(Table_Sales[[#This Row],[profit]]&lt;0,1,0)</f>
        <v>1</v>
      </c>
      <c r="I764" t="str" cm="1">
        <f t="array" ref="I764">_xlfn.IFS(Table_Sales[[#This Row],[quantity]]&lt;=3,"1-3",Table_Sales[[#This Row],[quantity]]&lt;=7,"2-7",Table_Sales[[#This Row],[quantity]]&lt;=10,"8-10",TRUE,"11 and above")</f>
        <v>2-7</v>
      </c>
      <c r="J764" t="str" cm="1">
        <f t="array" ref="J764">_xlfn.IFS(Table_Sales[[#This Row],[amount]]&lt;1000,"Under 1000",Table_Sales[[#This Row],[amount]]&lt;3000,"1000 - 2999",Table_Sales[[#This Row],[amount]]&lt;5000,"3000 - 4999",TRUE,"5000 &amp; above")</f>
        <v>Under 1000</v>
      </c>
      <c r="K764">
        <f>IF(COUNTIFS(INDEX(Table_Sales[order_id],1):Table_Sales[[#This Row],[order_id]],Table_Sales[[#This Row],[order_id]])=1,1,0)</f>
        <v>0</v>
      </c>
      <c r="L76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765" spans="1:12" x14ac:dyDescent="0.25">
      <c r="A765" t="s">
        <v>268</v>
      </c>
      <c r="B765" s="1">
        <v>129</v>
      </c>
      <c r="C765" s="1">
        <v>-75</v>
      </c>
      <c r="D765">
        <v>5</v>
      </c>
      <c r="E765" t="s">
        <v>23</v>
      </c>
      <c r="F765" t="s">
        <v>142</v>
      </c>
      <c r="G765" t="s">
        <v>82</v>
      </c>
      <c r="H765">
        <f>IF(Table_Sales[[#This Row],[profit]]&lt;0,1,0)</f>
        <v>1</v>
      </c>
      <c r="I765" t="str" cm="1">
        <f t="array" ref="I765">_xlfn.IFS(Table_Sales[[#This Row],[quantity]]&lt;=3,"1-3",Table_Sales[[#This Row],[quantity]]&lt;=7,"2-7",Table_Sales[[#This Row],[quantity]]&lt;=10,"8-10",TRUE,"11 and above")</f>
        <v>2-7</v>
      </c>
      <c r="J765" t="str" cm="1">
        <f t="array" ref="J765">_xlfn.IFS(Table_Sales[[#This Row],[amount]]&lt;1000,"Under 1000",Table_Sales[[#This Row],[amount]]&lt;3000,"1000 - 2999",Table_Sales[[#This Row],[amount]]&lt;5000,"3000 - 4999",TRUE,"5000 &amp; above")</f>
        <v>Under 1000</v>
      </c>
      <c r="K765">
        <f>IF(COUNTIFS(INDEX(Table_Sales[order_id],1):Table_Sales[[#This Row],[order_id]],Table_Sales[[#This Row],[order_id]])=1,1,0)</f>
        <v>0</v>
      </c>
      <c r="L76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766" spans="1:12" x14ac:dyDescent="0.25">
      <c r="A766" t="s">
        <v>403</v>
      </c>
      <c r="B766" s="1">
        <v>84</v>
      </c>
      <c r="C766" s="1">
        <v>-42</v>
      </c>
      <c r="D766">
        <v>2</v>
      </c>
      <c r="E766" t="s">
        <v>8</v>
      </c>
      <c r="F766" t="s">
        <v>73</v>
      </c>
      <c r="G766" t="s">
        <v>10</v>
      </c>
      <c r="H766">
        <f>IF(Table_Sales[[#This Row],[profit]]&lt;0,1,0)</f>
        <v>1</v>
      </c>
      <c r="I766" t="str" cm="1">
        <f t="array" ref="I766">_xlfn.IFS(Table_Sales[[#This Row],[quantity]]&lt;=3,"1-3",Table_Sales[[#This Row],[quantity]]&lt;=7,"2-7",Table_Sales[[#This Row],[quantity]]&lt;=10,"8-10",TRUE,"11 and above")</f>
        <v>1-3</v>
      </c>
      <c r="J766" t="str" cm="1">
        <f t="array" ref="J766">_xlfn.IFS(Table_Sales[[#This Row],[amount]]&lt;1000,"Under 1000",Table_Sales[[#This Row],[amount]]&lt;3000,"1000 - 2999",Table_Sales[[#This Row],[amount]]&lt;5000,"3000 - 4999",TRUE,"5000 &amp; above")</f>
        <v>Under 1000</v>
      </c>
      <c r="K766">
        <f>IF(COUNTIFS(INDEX(Table_Sales[order_id],1):Table_Sales[[#This Row],[order_id]],Table_Sales[[#This Row],[order_id]])=1,1,0)</f>
        <v>1</v>
      </c>
      <c r="L76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767" spans="1:12" x14ac:dyDescent="0.25">
      <c r="A767" t="s">
        <v>121</v>
      </c>
      <c r="B767" s="1">
        <v>83</v>
      </c>
      <c r="C767" s="1">
        <v>-81</v>
      </c>
      <c r="D767">
        <v>3</v>
      </c>
      <c r="E767" t="s">
        <v>12</v>
      </c>
      <c r="F767" t="s">
        <v>13</v>
      </c>
      <c r="G767" t="s">
        <v>10</v>
      </c>
      <c r="H767">
        <f>IF(Table_Sales[[#This Row],[profit]]&lt;0,1,0)</f>
        <v>1</v>
      </c>
      <c r="I767" t="str" cm="1">
        <f t="array" ref="I767">_xlfn.IFS(Table_Sales[[#This Row],[quantity]]&lt;=3,"1-3",Table_Sales[[#This Row],[quantity]]&lt;=7,"2-7",Table_Sales[[#This Row],[quantity]]&lt;=10,"8-10",TRUE,"11 and above")</f>
        <v>1-3</v>
      </c>
      <c r="J767" t="str" cm="1">
        <f t="array" ref="J767">_xlfn.IFS(Table_Sales[[#This Row],[amount]]&lt;1000,"Under 1000",Table_Sales[[#This Row],[amount]]&lt;3000,"1000 - 2999",Table_Sales[[#This Row],[amount]]&lt;5000,"3000 - 4999",TRUE,"5000 &amp; above")</f>
        <v>Under 1000</v>
      </c>
      <c r="K767">
        <f>IF(COUNTIFS(INDEX(Table_Sales[order_id],1):Table_Sales[[#This Row],[order_id]],Table_Sales[[#This Row],[order_id]])=1,1,0)</f>
        <v>0</v>
      </c>
      <c r="L76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768" spans="1:12" x14ac:dyDescent="0.25">
      <c r="A768" t="s">
        <v>297</v>
      </c>
      <c r="B768" s="1">
        <v>143</v>
      </c>
      <c r="C768" s="1">
        <v>6</v>
      </c>
      <c r="D768">
        <v>2</v>
      </c>
      <c r="E768" t="s">
        <v>8</v>
      </c>
      <c r="F768" t="s">
        <v>73</v>
      </c>
      <c r="G768" t="s">
        <v>28</v>
      </c>
      <c r="H768">
        <f>IF(Table_Sales[[#This Row],[profit]]&lt;0,1,0)</f>
        <v>0</v>
      </c>
      <c r="I768" t="str" cm="1">
        <f t="array" ref="I768">_xlfn.IFS(Table_Sales[[#This Row],[quantity]]&lt;=3,"1-3",Table_Sales[[#This Row],[quantity]]&lt;=7,"2-7",Table_Sales[[#This Row],[quantity]]&lt;=10,"8-10",TRUE,"11 and above")</f>
        <v>1-3</v>
      </c>
      <c r="J768" t="str" cm="1">
        <f t="array" ref="J768">_xlfn.IFS(Table_Sales[[#This Row],[amount]]&lt;1000,"Under 1000",Table_Sales[[#This Row],[amount]]&lt;3000,"1000 - 2999",Table_Sales[[#This Row],[amount]]&lt;5000,"3000 - 4999",TRUE,"5000 &amp; above")</f>
        <v>Under 1000</v>
      </c>
      <c r="K768">
        <f>IF(COUNTIFS(INDEX(Table_Sales[order_id],1):Table_Sales[[#This Row],[order_id]],Table_Sales[[#This Row],[order_id]])=1,1,0)</f>
        <v>0</v>
      </c>
      <c r="L76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769" spans="1:12" x14ac:dyDescent="0.25">
      <c r="A769" t="s">
        <v>404</v>
      </c>
      <c r="B769" s="1">
        <v>336</v>
      </c>
      <c r="C769" s="1">
        <v>123</v>
      </c>
      <c r="D769">
        <v>3</v>
      </c>
      <c r="E769" t="s">
        <v>8</v>
      </c>
      <c r="F769" t="s">
        <v>21</v>
      </c>
      <c r="G769" t="s">
        <v>28</v>
      </c>
      <c r="H769">
        <f>IF(Table_Sales[[#This Row],[profit]]&lt;0,1,0)</f>
        <v>0</v>
      </c>
      <c r="I769" t="str" cm="1">
        <f t="array" ref="I769">_xlfn.IFS(Table_Sales[[#This Row],[quantity]]&lt;=3,"1-3",Table_Sales[[#This Row],[quantity]]&lt;=7,"2-7",Table_Sales[[#This Row],[quantity]]&lt;=10,"8-10",TRUE,"11 and above")</f>
        <v>1-3</v>
      </c>
      <c r="J769" t="str" cm="1">
        <f t="array" ref="J769">_xlfn.IFS(Table_Sales[[#This Row],[amount]]&lt;1000,"Under 1000",Table_Sales[[#This Row],[amount]]&lt;3000,"1000 - 2999",Table_Sales[[#This Row],[amount]]&lt;5000,"3000 - 4999",TRUE,"5000 &amp; above")</f>
        <v>Under 1000</v>
      </c>
      <c r="K769">
        <f>IF(COUNTIFS(INDEX(Table_Sales[order_id],1):Table_Sales[[#This Row],[order_id]],Table_Sales[[#This Row],[order_id]])=1,1,0)</f>
        <v>1</v>
      </c>
      <c r="L76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770" spans="1:12" x14ac:dyDescent="0.25">
      <c r="A770" t="s">
        <v>71</v>
      </c>
      <c r="B770" s="1">
        <v>323</v>
      </c>
      <c r="C770" s="1">
        <v>122</v>
      </c>
      <c r="D770">
        <v>5</v>
      </c>
      <c r="E770" t="s">
        <v>8</v>
      </c>
      <c r="F770" t="s">
        <v>21</v>
      </c>
      <c r="G770" t="s">
        <v>28</v>
      </c>
      <c r="H770">
        <f>IF(Table_Sales[[#This Row],[profit]]&lt;0,1,0)</f>
        <v>0</v>
      </c>
      <c r="I770" t="str" cm="1">
        <f t="array" ref="I770">_xlfn.IFS(Table_Sales[[#This Row],[quantity]]&lt;=3,"1-3",Table_Sales[[#This Row],[quantity]]&lt;=7,"2-7",Table_Sales[[#This Row],[quantity]]&lt;=10,"8-10",TRUE,"11 and above")</f>
        <v>2-7</v>
      </c>
      <c r="J770" t="str" cm="1">
        <f t="array" ref="J770">_xlfn.IFS(Table_Sales[[#This Row],[amount]]&lt;1000,"Under 1000",Table_Sales[[#This Row],[amount]]&lt;3000,"1000 - 2999",Table_Sales[[#This Row],[amount]]&lt;5000,"3000 - 4999",TRUE,"5000 &amp; above")</f>
        <v>Under 1000</v>
      </c>
      <c r="K770">
        <f>IF(COUNTIFS(INDEX(Table_Sales[order_id],1):Table_Sales[[#This Row],[order_id]],Table_Sales[[#This Row],[order_id]])=1,1,0)</f>
        <v>0</v>
      </c>
      <c r="L77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771" spans="1:12" x14ac:dyDescent="0.25">
      <c r="A771" t="s">
        <v>260</v>
      </c>
      <c r="B771" s="1">
        <v>130</v>
      </c>
      <c r="C771" s="1">
        <v>61</v>
      </c>
      <c r="D771">
        <v>3</v>
      </c>
      <c r="E771" t="s">
        <v>23</v>
      </c>
      <c r="F771" t="s">
        <v>142</v>
      </c>
      <c r="G771" t="s">
        <v>82</v>
      </c>
      <c r="H771">
        <f>IF(Table_Sales[[#This Row],[profit]]&lt;0,1,0)</f>
        <v>0</v>
      </c>
      <c r="I771" t="str" cm="1">
        <f t="array" ref="I771">_xlfn.IFS(Table_Sales[[#This Row],[quantity]]&lt;=3,"1-3",Table_Sales[[#This Row],[quantity]]&lt;=7,"2-7",Table_Sales[[#This Row],[quantity]]&lt;=10,"8-10",TRUE,"11 and above")</f>
        <v>1-3</v>
      </c>
      <c r="J771" t="str" cm="1">
        <f t="array" ref="J771">_xlfn.IFS(Table_Sales[[#This Row],[amount]]&lt;1000,"Under 1000",Table_Sales[[#This Row],[amount]]&lt;3000,"1000 - 2999",Table_Sales[[#This Row],[amount]]&lt;5000,"3000 - 4999",TRUE,"5000 &amp; above")</f>
        <v>Under 1000</v>
      </c>
      <c r="K771">
        <f>IF(COUNTIFS(INDEX(Table_Sales[order_id],1):Table_Sales[[#This Row],[order_id]],Table_Sales[[#This Row],[order_id]])=1,1,0)</f>
        <v>0</v>
      </c>
      <c r="L77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772" spans="1:12" x14ac:dyDescent="0.25">
      <c r="A772" t="s">
        <v>292</v>
      </c>
      <c r="B772" s="1">
        <v>152</v>
      </c>
      <c r="C772" s="1">
        <v>-3</v>
      </c>
      <c r="D772">
        <v>5</v>
      </c>
      <c r="E772" t="s">
        <v>23</v>
      </c>
      <c r="F772" t="s">
        <v>26</v>
      </c>
      <c r="G772" t="s">
        <v>10</v>
      </c>
      <c r="H772">
        <f>IF(Table_Sales[[#This Row],[profit]]&lt;0,1,0)</f>
        <v>1</v>
      </c>
      <c r="I772" t="str" cm="1">
        <f t="array" ref="I772">_xlfn.IFS(Table_Sales[[#This Row],[quantity]]&lt;=3,"1-3",Table_Sales[[#This Row],[quantity]]&lt;=7,"2-7",Table_Sales[[#This Row],[quantity]]&lt;=10,"8-10",TRUE,"11 and above")</f>
        <v>2-7</v>
      </c>
      <c r="J772" t="str" cm="1">
        <f t="array" ref="J772">_xlfn.IFS(Table_Sales[[#This Row],[amount]]&lt;1000,"Under 1000",Table_Sales[[#This Row],[amount]]&lt;3000,"1000 - 2999",Table_Sales[[#This Row],[amount]]&lt;5000,"3000 - 4999",TRUE,"5000 &amp; above")</f>
        <v>Under 1000</v>
      </c>
      <c r="K772">
        <f>IF(COUNTIFS(INDEX(Table_Sales[order_id],1):Table_Sales[[#This Row],[order_id]],Table_Sales[[#This Row],[order_id]])=1,1,0)</f>
        <v>0</v>
      </c>
      <c r="L77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773" spans="1:12" x14ac:dyDescent="0.25">
      <c r="A773" t="s">
        <v>397</v>
      </c>
      <c r="B773" s="1">
        <v>25</v>
      </c>
      <c r="C773" s="1">
        <v>10</v>
      </c>
      <c r="D773">
        <v>1</v>
      </c>
      <c r="E773" t="s">
        <v>12</v>
      </c>
      <c r="F773" t="s">
        <v>131</v>
      </c>
      <c r="G773" t="s">
        <v>28</v>
      </c>
      <c r="H773">
        <f>IF(Table_Sales[[#This Row],[profit]]&lt;0,1,0)</f>
        <v>0</v>
      </c>
      <c r="I773" t="str" cm="1">
        <f t="array" ref="I773">_xlfn.IFS(Table_Sales[[#This Row],[quantity]]&lt;=3,"1-3",Table_Sales[[#This Row],[quantity]]&lt;=7,"2-7",Table_Sales[[#This Row],[quantity]]&lt;=10,"8-10",TRUE,"11 and above")</f>
        <v>1-3</v>
      </c>
      <c r="J773" t="str" cm="1">
        <f t="array" ref="J773">_xlfn.IFS(Table_Sales[[#This Row],[amount]]&lt;1000,"Under 1000",Table_Sales[[#This Row],[amount]]&lt;3000,"1000 - 2999",Table_Sales[[#This Row],[amount]]&lt;5000,"3000 - 4999",TRUE,"5000 &amp; above")</f>
        <v>Under 1000</v>
      </c>
      <c r="K773">
        <f>IF(COUNTIFS(INDEX(Table_Sales[order_id],1):Table_Sales[[#This Row],[order_id]],Table_Sales[[#This Row],[order_id]])=1,1,0)</f>
        <v>0</v>
      </c>
      <c r="L77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774" spans="1:12" x14ac:dyDescent="0.25">
      <c r="A774" t="s">
        <v>140</v>
      </c>
      <c r="B774" s="1">
        <v>140</v>
      </c>
      <c r="C774" s="1">
        <v>15</v>
      </c>
      <c r="D774">
        <v>5</v>
      </c>
      <c r="E774" t="s">
        <v>23</v>
      </c>
      <c r="F774" t="s">
        <v>57</v>
      </c>
      <c r="G774" t="s">
        <v>28</v>
      </c>
      <c r="H774">
        <f>IF(Table_Sales[[#This Row],[profit]]&lt;0,1,0)</f>
        <v>0</v>
      </c>
      <c r="I774" t="str" cm="1">
        <f t="array" ref="I774">_xlfn.IFS(Table_Sales[[#This Row],[quantity]]&lt;=3,"1-3",Table_Sales[[#This Row],[quantity]]&lt;=7,"2-7",Table_Sales[[#This Row],[quantity]]&lt;=10,"8-10",TRUE,"11 and above")</f>
        <v>2-7</v>
      </c>
      <c r="J774" t="str" cm="1">
        <f t="array" ref="J774">_xlfn.IFS(Table_Sales[[#This Row],[amount]]&lt;1000,"Under 1000",Table_Sales[[#This Row],[amount]]&lt;3000,"1000 - 2999",Table_Sales[[#This Row],[amount]]&lt;5000,"3000 - 4999",TRUE,"5000 &amp; above")</f>
        <v>Under 1000</v>
      </c>
      <c r="K774">
        <f>IF(COUNTIFS(INDEX(Table_Sales[order_id],1):Table_Sales[[#This Row],[order_id]],Table_Sales[[#This Row],[order_id]])=1,1,0)</f>
        <v>0</v>
      </c>
      <c r="L77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775" spans="1:12" x14ac:dyDescent="0.25">
      <c r="A775" t="s">
        <v>241</v>
      </c>
      <c r="B775" s="1">
        <v>45</v>
      </c>
      <c r="C775" s="1">
        <v>0</v>
      </c>
      <c r="D775">
        <v>2</v>
      </c>
      <c r="E775" t="s">
        <v>23</v>
      </c>
      <c r="F775" t="s">
        <v>57</v>
      </c>
      <c r="G775" t="s">
        <v>28</v>
      </c>
      <c r="H775">
        <f>IF(Table_Sales[[#This Row],[profit]]&lt;0,1,0)</f>
        <v>0</v>
      </c>
      <c r="I775" t="str" cm="1">
        <f t="array" ref="I775">_xlfn.IFS(Table_Sales[[#This Row],[quantity]]&lt;=3,"1-3",Table_Sales[[#This Row],[quantity]]&lt;=7,"2-7",Table_Sales[[#This Row],[quantity]]&lt;=10,"8-10",TRUE,"11 and above")</f>
        <v>1-3</v>
      </c>
      <c r="J775" t="str" cm="1">
        <f t="array" ref="J775">_xlfn.IFS(Table_Sales[[#This Row],[amount]]&lt;1000,"Under 1000",Table_Sales[[#This Row],[amount]]&lt;3000,"1000 - 2999",Table_Sales[[#This Row],[amount]]&lt;5000,"3000 - 4999",TRUE,"5000 &amp; above")</f>
        <v>Under 1000</v>
      </c>
      <c r="K775">
        <f>IF(COUNTIFS(INDEX(Table_Sales[order_id],1):Table_Sales[[#This Row],[order_id]],Table_Sales[[#This Row],[order_id]])=1,1,0)</f>
        <v>0</v>
      </c>
      <c r="L77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776" spans="1:12" x14ac:dyDescent="0.25">
      <c r="A776" t="s">
        <v>157</v>
      </c>
      <c r="B776" s="1">
        <v>132</v>
      </c>
      <c r="C776" s="1">
        <v>49</v>
      </c>
      <c r="D776">
        <v>3</v>
      </c>
      <c r="E776" t="s">
        <v>23</v>
      </c>
      <c r="F776" t="s">
        <v>142</v>
      </c>
      <c r="G776" t="s">
        <v>10</v>
      </c>
      <c r="H776">
        <f>IF(Table_Sales[[#This Row],[profit]]&lt;0,1,0)</f>
        <v>0</v>
      </c>
      <c r="I776" t="str" cm="1">
        <f t="array" ref="I776">_xlfn.IFS(Table_Sales[[#This Row],[quantity]]&lt;=3,"1-3",Table_Sales[[#This Row],[quantity]]&lt;=7,"2-7",Table_Sales[[#This Row],[quantity]]&lt;=10,"8-10",TRUE,"11 and above")</f>
        <v>1-3</v>
      </c>
      <c r="J776" t="str" cm="1">
        <f t="array" ref="J776">_xlfn.IFS(Table_Sales[[#This Row],[amount]]&lt;1000,"Under 1000",Table_Sales[[#This Row],[amount]]&lt;3000,"1000 - 2999",Table_Sales[[#This Row],[amount]]&lt;5000,"3000 - 4999",TRUE,"5000 &amp; above")</f>
        <v>Under 1000</v>
      </c>
      <c r="K776">
        <f>IF(COUNTIFS(INDEX(Table_Sales[order_id],1):Table_Sales[[#This Row],[order_id]],Table_Sales[[#This Row],[order_id]])=1,1,0)</f>
        <v>0</v>
      </c>
      <c r="L77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777" spans="1:12" x14ac:dyDescent="0.25">
      <c r="A777" t="s">
        <v>229</v>
      </c>
      <c r="B777" s="1">
        <v>133</v>
      </c>
      <c r="C777" s="1">
        <v>12</v>
      </c>
      <c r="D777">
        <v>5</v>
      </c>
      <c r="E777" t="s">
        <v>23</v>
      </c>
      <c r="F777" t="s">
        <v>57</v>
      </c>
      <c r="G777" t="s">
        <v>82</v>
      </c>
      <c r="H777">
        <f>IF(Table_Sales[[#This Row],[profit]]&lt;0,1,0)</f>
        <v>0</v>
      </c>
      <c r="I777" t="str" cm="1">
        <f t="array" ref="I777">_xlfn.IFS(Table_Sales[[#This Row],[quantity]]&lt;=3,"1-3",Table_Sales[[#This Row],[quantity]]&lt;=7,"2-7",Table_Sales[[#This Row],[quantity]]&lt;=10,"8-10",TRUE,"11 and above")</f>
        <v>2-7</v>
      </c>
      <c r="J777" t="str" cm="1">
        <f t="array" ref="J777">_xlfn.IFS(Table_Sales[[#This Row],[amount]]&lt;1000,"Under 1000",Table_Sales[[#This Row],[amount]]&lt;3000,"1000 - 2999",Table_Sales[[#This Row],[amount]]&lt;5000,"3000 - 4999",TRUE,"5000 &amp; above")</f>
        <v>Under 1000</v>
      </c>
      <c r="K777">
        <f>IF(COUNTIFS(INDEX(Table_Sales[order_id],1):Table_Sales[[#This Row],[order_id]],Table_Sales[[#This Row],[order_id]])=1,1,0)</f>
        <v>0</v>
      </c>
      <c r="L77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778" spans="1:12" x14ac:dyDescent="0.25">
      <c r="A778" t="s">
        <v>187</v>
      </c>
      <c r="B778" s="1">
        <v>82</v>
      </c>
      <c r="C778" s="1">
        <v>13</v>
      </c>
      <c r="D778">
        <v>2</v>
      </c>
      <c r="E778" t="s">
        <v>23</v>
      </c>
      <c r="F778" t="s">
        <v>142</v>
      </c>
      <c r="G778" t="s">
        <v>10</v>
      </c>
      <c r="H778">
        <f>IF(Table_Sales[[#This Row],[profit]]&lt;0,1,0)</f>
        <v>0</v>
      </c>
      <c r="I778" t="str" cm="1">
        <f t="array" ref="I778">_xlfn.IFS(Table_Sales[[#This Row],[quantity]]&lt;=3,"1-3",Table_Sales[[#This Row],[quantity]]&lt;=7,"2-7",Table_Sales[[#This Row],[quantity]]&lt;=10,"8-10",TRUE,"11 and above")</f>
        <v>1-3</v>
      </c>
      <c r="J778" t="str" cm="1">
        <f t="array" ref="J778">_xlfn.IFS(Table_Sales[[#This Row],[amount]]&lt;1000,"Under 1000",Table_Sales[[#This Row],[amount]]&lt;3000,"1000 - 2999",Table_Sales[[#This Row],[amount]]&lt;5000,"3000 - 4999",TRUE,"5000 &amp; above")</f>
        <v>Under 1000</v>
      </c>
      <c r="K778">
        <f>IF(COUNTIFS(INDEX(Table_Sales[order_id],1):Table_Sales[[#This Row],[order_id]],Table_Sales[[#This Row],[order_id]])=1,1,0)</f>
        <v>0</v>
      </c>
      <c r="L77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779" spans="1:12" x14ac:dyDescent="0.25">
      <c r="A779" t="s">
        <v>243</v>
      </c>
      <c r="B779" s="1">
        <v>140</v>
      </c>
      <c r="C779" s="1">
        <v>56</v>
      </c>
      <c r="D779">
        <v>4</v>
      </c>
      <c r="E779" t="s">
        <v>23</v>
      </c>
      <c r="F779" t="s">
        <v>142</v>
      </c>
      <c r="G779" t="s">
        <v>28</v>
      </c>
      <c r="H779">
        <f>IF(Table_Sales[[#This Row],[profit]]&lt;0,1,0)</f>
        <v>0</v>
      </c>
      <c r="I779" t="str" cm="1">
        <f t="array" ref="I779">_xlfn.IFS(Table_Sales[[#This Row],[quantity]]&lt;=3,"1-3",Table_Sales[[#This Row],[quantity]]&lt;=7,"2-7",Table_Sales[[#This Row],[quantity]]&lt;=10,"8-10",TRUE,"11 and above")</f>
        <v>2-7</v>
      </c>
      <c r="J779" t="str" cm="1">
        <f t="array" ref="J779">_xlfn.IFS(Table_Sales[[#This Row],[amount]]&lt;1000,"Under 1000",Table_Sales[[#This Row],[amount]]&lt;3000,"1000 - 2999",Table_Sales[[#This Row],[amount]]&lt;5000,"3000 - 4999",TRUE,"5000 &amp; above")</f>
        <v>Under 1000</v>
      </c>
      <c r="K779">
        <f>IF(COUNTIFS(INDEX(Table_Sales[order_id],1):Table_Sales[[#This Row],[order_id]],Table_Sales[[#This Row],[order_id]])=1,1,0)</f>
        <v>0</v>
      </c>
      <c r="L77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780" spans="1:12" x14ac:dyDescent="0.25">
      <c r="A780" t="s">
        <v>330</v>
      </c>
      <c r="B780" s="1">
        <v>81</v>
      </c>
      <c r="C780" s="1">
        <v>19</v>
      </c>
      <c r="D780">
        <v>7</v>
      </c>
      <c r="E780" t="s">
        <v>23</v>
      </c>
      <c r="F780" t="s">
        <v>30</v>
      </c>
      <c r="G780" t="s">
        <v>10</v>
      </c>
      <c r="H780">
        <f>IF(Table_Sales[[#This Row],[profit]]&lt;0,1,0)</f>
        <v>0</v>
      </c>
      <c r="I780" t="str" cm="1">
        <f t="array" ref="I780">_xlfn.IFS(Table_Sales[[#This Row],[quantity]]&lt;=3,"1-3",Table_Sales[[#This Row],[quantity]]&lt;=7,"2-7",Table_Sales[[#This Row],[quantity]]&lt;=10,"8-10",TRUE,"11 and above")</f>
        <v>2-7</v>
      </c>
      <c r="J780" t="str" cm="1">
        <f t="array" ref="J780">_xlfn.IFS(Table_Sales[[#This Row],[amount]]&lt;1000,"Under 1000",Table_Sales[[#This Row],[amount]]&lt;3000,"1000 - 2999",Table_Sales[[#This Row],[amount]]&lt;5000,"3000 - 4999",TRUE,"5000 &amp; above")</f>
        <v>Under 1000</v>
      </c>
      <c r="K780">
        <f>IF(COUNTIFS(INDEX(Table_Sales[order_id],1):Table_Sales[[#This Row],[order_id]],Table_Sales[[#This Row],[order_id]])=1,1,0)</f>
        <v>0</v>
      </c>
      <c r="L78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781" spans="1:12" x14ac:dyDescent="0.25">
      <c r="A781" t="s">
        <v>72</v>
      </c>
      <c r="B781" s="1">
        <v>137</v>
      </c>
      <c r="C781" s="1">
        <v>38</v>
      </c>
      <c r="D781">
        <v>5</v>
      </c>
      <c r="E781" t="s">
        <v>23</v>
      </c>
      <c r="F781" t="s">
        <v>30</v>
      </c>
      <c r="G781" t="s">
        <v>82</v>
      </c>
      <c r="H781">
        <f>IF(Table_Sales[[#This Row],[profit]]&lt;0,1,0)</f>
        <v>0</v>
      </c>
      <c r="I781" t="str" cm="1">
        <f t="array" ref="I781">_xlfn.IFS(Table_Sales[[#This Row],[quantity]]&lt;=3,"1-3",Table_Sales[[#This Row],[quantity]]&lt;=7,"2-7",Table_Sales[[#This Row],[quantity]]&lt;=10,"8-10",TRUE,"11 and above")</f>
        <v>2-7</v>
      </c>
      <c r="J781" t="str" cm="1">
        <f t="array" ref="J781">_xlfn.IFS(Table_Sales[[#This Row],[amount]]&lt;1000,"Under 1000",Table_Sales[[#This Row],[amount]]&lt;3000,"1000 - 2999",Table_Sales[[#This Row],[amount]]&lt;5000,"3000 - 4999",TRUE,"5000 &amp; above")</f>
        <v>Under 1000</v>
      </c>
      <c r="K781">
        <f>IF(COUNTIFS(INDEX(Table_Sales[order_id],1):Table_Sales[[#This Row],[order_id]],Table_Sales[[#This Row],[order_id]])=1,1,0)</f>
        <v>0</v>
      </c>
      <c r="L78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782" spans="1:12" x14ac:dyDescent="0.25">
      <c r="A782" t="s">
        <v>405</v>
      </c>
      <c r="B782" s="1">
        <v>137</v>
      </c>
      <c r="C782" s="1">
        <v>-41</v>
      </c>
      <c r="D782">
        <v>3</v>
      </c>
      <c r="E782" t="s">
        <v>8</v>
      </c>
      <c r="F782" t="s">
        <v>21</v>
      </c>
      <c r="G782" t="s">
        <v>82</v>
      </c>
      <c r="H782">
        <f>IF(Table_Sales[[#This Row],[profit]]&lt;0,1,0)</f>
        <v>1</v>
      </c>
      <c r="I782" t="str" cm="1">
        <f t="array" ref="I782">_xlfn.IFS(Table_Sales[[#This Row],[quantity]]&lt;=3,"1-3",Table_Sales[[#This Row],[quantity]]&lt;=7,"2-7",Table_Sales[[#This Row],[quantity]]&lt;=10,"8-10",TRUE,"11 and above")</f>
        <v>1-3</v>
      </c>
      <c r="J782" t="str" cm="1">
        <f t="array" ref="J782">_xlfn.IFS(Table_Sales[[#This Row],[amount]]&lt;1000,"Under 1000",Table_Sales[[#This Row],[amount]]&lt;3000,"1000 - 2999",Table_Sales[[#This Row],[amount]]&lt;5000,"3000 - 4999",TRUE,"5000 &amp; above")</f>
        <v>Under 1000</v>
      </c>
      <c r="K782">
        <f>IF(COUNTIFS(INDEX(Table_Sales[order_id],1):Table_Sales[[#This Row],[order_id]],Table_Sales[[#This Row],[order_id]])=1,1,0)</f>
        <v>1</v>
      </c>
      <c r="L78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783" spans="1:12" x14ac:dyDescent="0.25">
      <c r="A783" t="s">
        <v>383</v>
      </c>
      <c r="B783" s="1">
        <v>140</v>
      </c>
      <c r="C783" s="1">
        <v>57</v>
      </c>
      <c r="D783">
        <v>2</v>
      </c>
      <c r="E783" t="s">
        <v>23</v>
      </c>
      <c r="F783" t="s">
        <v>24</v>
      </c>
      <c r="G783" t="s">
        <v>82</v>
      </c>
      <c r="H783">
        <f>IF(Table_Sales[[#This Row],[profit]]&lt;0,1,0)</f>
        <v>0</v>
      </c>
      <c r="I783" t="str" cm="1">
        <f t="array" ref="I783">_xlfn.IFS(Table_Sales[[#This Row],[quantity]]&lt;=3,"1-3",Table_Sales[[#This Row],[quantity]]&lt;=7,"2-7",Table_Sales[[#This Row],[quantity]]&lt;=10,"8-10",TRUE,"11 and above")</f>
        <v>1-3</v>
      </c>
      <c r="J783" t="str" cm="1">
        <f t="array" ref="J783">_xlfn.IFS(Table_Sales[[#This Row],[amount]]&lt;1000,"Under 1000",Table_Sales[[#This Row],[amount]]&lt;3000,"1000 - 2999",Table_Sales[[#This Row],[amount]]&lt;5000,"3000 - 4999",TRUE,"5000 &amp; above")</f>
        <v>Under 1000</v>
      </c>
      <c r="K783">
        <f>IF(COUNTIFS(INDEX(Table_Sales[order_id],1):Table_Sales[[#This Row],[order_id]],Table_Sales[[#This Row],[order_id]])=1,1,0)</f>
        <v>0</v>
      </c>
      <c r="L78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784" spans="1:12" x14ac:dyDescent="0.25">
      <c r="A784" t="s">
        <v>406</v>
      </c>
      <c r="B784" s="1">
        <v>139</v>
      </c>
      <c r="C784" s="1">
        <v>30</v>
      </c>
      <c r="D784">
        <v>3</v>
      </c>
      <c r="E784" t="s">
        <v>23</v>
      </c>
      <c r="F784" t="s">
        <v>142</v>
      </c>
      <c r="G784" t="s">
        <v>28</v>
      </c>
      <c r="H784">
        <f>IF(Table_Sales[[#This Row],[profit]]&lt;0,1,0)</f>
        <v>0</v>
      </c>
      <c r="I784" t="str" cm="1">
        <f t="array" ref="I784">_xlfn.IFS(Table_Sales[[#This Row],[quantity]]&lt;=3,"1-3",Table_Sales[[#This Row],[quantity]]&lt;=7,"2-7",Table_Sales[[#This Row],[quantity]]&lt;=10,"8-10",TRUE,"11 and above")</f>
        <v>1-3</v>
      </c>
      <c r="J784" t="str" cm="1">
        <f t="array" ref="J784">_xlfn.IFS(Table_Sales[[#This Row],[amount]]&lt;1000,"Under 1000",Table_Sales[[#This Row],[amount]]&lt;3000,"1000 - 2999",Table_Sales[[#This Row],[amount]]&lt;5000,"3000 - 4999",TRUE,"5000 &amp; above")</f>
        <v>Under 1000</v>
      </c>
      <c r="K784">
        <f>IF(COUNTIFS(INDEX(Table_Sales[order_id],1):Table_Sales[[#This Row],[order_id]],Table_Sales[[#This Row],[order_id]])=1,1,0)</f>
        <v>1</v>
      </c>
      <c r="L78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785" spans="1:12" x14ac:dyDescent="0.25">
      <c r="A785" t="s">
        <v>273</v>
      </c>
      <c r="B785" s="1">
        <v>138</v>
      </c>
      <c r="C785" s="1">
        <v>11</v>
      </c>
      <c r="D785">
        <v>5</v>
      </c>
      <c r="E785" t="s">
        <v>23</v>
      </c>
      <c r="F785" t="s">
        <v>57</v>
      </c>
      <c r="G785" t="s">
        <v>28</v>
      </c>
      <c r="H785">
        <f>IF(Table_Sales[[#This Row],[profit]]&lt;0,1,0)</f>
        <v>0</v>
      </c>
      <c r="I785" t="str" cm="1">
        <f t="array" ref="I785">_xlfn.IFS(Table_Sales[[#This Row],[quantity]]&lt;=3,"1-3",Table_Sales[[#This Row],[quantity]]&lt;=7,"2-7",Table_Sales[[#This Row],[quantity]]&lt;=10,"8-10",TRUE,"11 and above")</f>
        <v>2-7</v>
      </c>
      <c r="J785" t="str" cm="1">
        <f t="array" ref="J785">_xlfn.IFS(Table_Sales[[#This Row],[amount]]&lt;1000,"Under 1000",Table_Sales[[#This Row],[amount]]&lt;3000,"1000 - 2999",Table_Sales[[#This Row],[amount]]&lt;5000,"3000 - 4999",TRUE,"5000 &amp; above")</f>
        <v>Under 1000</v>
      </c>
      <c r="K785">
        <f>IF(COUNTIFS(INDEX(Table_Sales[order_id],1):Table_Sales[[#This Row],[order_id]],Table_Sales[[#This Row],[order_id]])=1,1,0)</f>
        <v>0</v>
      </c>
      <c r="L78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786" spans="1:12" x14ac:dyDescent="0.25">
      <c r="A786" t="s">
        <v>407</v>
      </c>
      <c r="B786" s="1">
        <v>79</v>
      </c>
      <c r="C786" s="1">
        <v>-124</v>
      </c>
      <c r="D786">
        <v>9</v>
      </c>
      <c r="E786" t="s">
        <v>23</v>
      </c>
      <c r="F786" t="s">
        <v>43</v>
      </c>
      <c r="G786" t="s">
        <v>10</v>
      </c>
      <c r="H786">
        <f>IF(Table_Sales[[#This Row],[profit]]&lt;0,1,0)</f>
        <v>1</v>
      </c>
      <c r="I786" t="str" cm="1">
        <f t="array" ref="I786">_xlfn.IFS(Table_Sales[[#This Row],[quantity]]&lt;=3,"1-3",Table_Sales[[#This Row],[quantity]]&lt;=7,"2-7",Table_Sales[[#This Row],[quantity]]&lt;=10,"8-10",TRUE,"11 and above")</f>
        <v>8-10</v>
      </c>
      <c r="J786" t="str" cm="1">
        <f t="array" ref="J786">_xlfn.IFS(Table_Sales[[#This Row],[amount]]&lt;1000,"Under 1000",Table_Sales[[#This Row],[amount]]&lt;3000,"1000 - 2999",Table_Sales[[#This Row],[amount]]&lt;5000,"3000 - 4999",TRUE,"5000 &amp; above")</f>
        <v>Under 1000</v>
      </c>
      <c r="K786">
        <f>IF(COUNTIFS(INDEX(Table_Sales[order_id],1):Table_Sales[[#This Row],[order_id]],Table_Sales[[#This Row],[order_id]])=1,1,0)</f>
        <v>1</v>
      </c>
      <c r="L78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787" spans="1:12" x14ac:dyDescent="0.25">
      <c r="A787" t="s">
        <v>408</v>
      </c>
      <c r="B787" s="1">
        <v>136</v>
      </c>
      <c r="C787" s="1">
        <v>41</v>
      </c>
      <c r="D787">
        <v>3</v>
      </c>
      <c r="E787" t="s">
        <v>8</v>
      </c>
      <c r="F787" t="s">
        <v>73</v>
      </c>
      <c r="G787" t="s">
        <v>28</v>
      </c>
      <c r="H787">
        <f>IF(Table_Sales[[#This Row],[profit]]&lt;0,1,0)</f>
        <v>0</v>
      </c>
      <c r="I787" t="str" cm="1">
        <f t="array" ref="I787">_xlfn.IFS(Table_Sales[[#This Row],[quantity]]&lt;=3,"1-3",Table_Sales[[#This Row],[quantity]]&lt;=7,"2-7",Table_Sales[[#This Row],[quantity]]&lt;=10,"8-10",TRUE,"11 and above")</f>
        <v>1-3</v>
      </c>
      <c r="J787" t="str" cm="1">
        <f t="array" ref="J787">_xlfn.IFS(Table_Sales[[#This Row],[amount]]&lt;1000,"Under 1000",Table_Sales[[#This Row],[amount]]&lt;3000,"1000 - 2999",Table_Sales[[#This Row],[amount]]&lt;5000,"3000 - 4999",TRUE,"5000 &amp; above")</f>
        <v>Under 1000</v>
      </c>
      <c r="K787">
        <f>IF(COUNTIFS(INDEX(Table_Sales[order_id],1):Table_Sales[[#This Row],[order_id]],Table_Sales[[#This Row],[order_id]])=1,1,0)</f>
        <v>1</v>
      </c>
      <c r="L78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788" spans="1:12" x14ac:dyDescent="0.25">
      <c r="A788" t="s">
        <v>297</v>
      </c>
      <c r="B788" s="1">
        <v>145</v>
      </c>
      <c r="C788" s="1">
        <v>16</v>
      </c>
      <c r="D788">
        <v>3</v>
      </c>
      <c r="E788" t="s">
        <v>23</v>
      </c>
      <c r="F788" t="s">
        <v>81</v>
      </c>
      <c r="G788" t="s">
        <v>82</v>
      </c>
      <c r="H788">
        <f>IF(Table_Sales[[#This Row],[profit]]&lt;0,1,0)</f>
        <v>0</v>
      </c>
      <c r="I788" t="str" cm="1">
        <f t="array" ref="I788">_xlfn.IFS(Table_Sales[[#This Row],[quantity]]&lt;=3,"1-3",Table_Sales[[#This Row],[quantity]]&lt;=7,"2-7",Table_Sales[[#This Row],[quantity]]&lt;=10,"8-10",TRUE,"11 and above")</f>
        <v>1-3</v>
      </c>
      <c r="J788" t="str" cm="1">
        <f t="array" ref="J788">_xlfn.IFS(Table_Sales[[#This Row],[amount]]&lt;1000,"Under 1000",Table_Sales[[#This Row],[amount]]&lt;3000,"1000 - 2999",Table_Sales[[#This Row],[amount]]&lt;5000,"3000 - 4999",TRUE,"5000 &amp; above")</f>
        <v>Under 1000</v>
      </c>
      <c r="K788">
        <f>IF(COUNTIFS(INDEX(Table_Sales[order_id],1):Table_Sales[[#This Row],[order_id]],Table_Sales[[#This Row],[order_id]])=1,1,0)</f>
        <v>0</v>
      </c>
      <c r="L78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789" spans="1:12" x14ac:dyDescent="0.25">
      <c r="A789" t="s">
        <v>174</v>
      </c>
      <c r="B789" s="1">
        <v>44</v>
      </c>
      <c r="C789" s="1">
        <v>20</v>
      </c>
      <c r="D789">
        <v>2</v>
      </c>
      <c r="E789" t="s">
        <v>23</v>
      </c>
      <c r="F789" t="s">
        <v>81</v>
      </c>
      <c r="G789" t="s">
        <v>28</v>
      </c>
      <c r="H789">
        <f>IF(Table_Sales[[#This Row],[profit]]&lt;0,1,0)</f>
        <v>0</v>
      </c>
      <c r="I789" t="str" cm="1">
        <f t="array" ref="I789">_xlfn.IFS(Table_Sales[[#This Row],[quantity]]&lt;=3,"1-3",Table_Sales[[#This Row],[quantity]]&lt;=7,"2-7",Table_Sales[[#This Row],[quantity]]&lt;=10,"8-10",TRUE,"11 and above")</f>
        <v>1-3</v>
      </c>
      <c r="J789" t="str" cm="1">
        <f t="array" ref="J789">_xlfn.IFS(Table_Sales[[#This Row],[amount]]&lt;1000,"Under 1000",Table_Sales[[#This Row],[amount]]&lt;3000,"1000 - 2999",Table_Sales[[#This Row],[amount]]&lt;5000,"3000 - 4999",TRUE,"5000 &amp; above")</f>
        <v>Under 1000</v>
      </c>
      <c r="K789">
        <f>IF(COUNTIFS(INDEX(Table_Sales[order_id],1):Table_Sales[[#This Row],[order_id]],Table_Sales[[#This Row],[order_id]])=1,1,0)</f>
        <v>0</v>
      </c>
      <c r="L78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790" spans="1:12" x14ac:dyDescent="0.25">
      <c r="A790" t="s">
        <v>306</v>
      </c>
      <c r="B790" s="1">
        <v>79</v>
      </c>
      <c r="C790" s="1">
        <v>6</v>
      </c>
      <c r="D790">
        <v>7</v>
      </c>
      <c r="E790" t="s">
        <v>23</v>
      </c>
      <c r="F790" t="s">
        <v>26</v>
      </c>
      <c r="G790" t="s">
        <v>10</v>
      </c>
      <c r="H790">
        <f>IF(Table_Sales[[#This Row],[profit]]&lt;0,1,0)</f>
        <v>0</v>
      </c>
      <c r="I790" t="str" cm="1">
        <f t="array" ref="I790">_xlfn.IFS(Table_Sales[[#This Row],[quantity]]&lt;=3,"1-3",Table_Sales[[#This Row],[quantity]]&lt;=7,"2-7",Table_Sales[[#This Row],[quantity]]&lt;=10,"8-10",TRUE,"11 and above")</f>
        <v>2-7</v>
      </c>
      <c r="J790" t="str" cm="1">
        <f t="array" ref="J790">_xlfn.IFS(Table_Sales[[#This Row],[amount]]&lt;1000,"Under 1000",Table_Sales[[#This Row],[amount]]&lt;3000,"1000 - 2999",Table_Sales[[#This Row],[amount]]&lt;5000,"3000 - 4999",TRUE,"5000 &amp; above")</f>
        <v>Under 1000</v>
      </c>
      <c r="K790">
        <f>IF(COUNTIFS(INDEX(Table_Sales[order_id],1):Table_Sales[[#This Row],[order_id]],Table_Sales[[#This Row],[order_id]])=1,1,0)</f>
        <v>0</v>
      </c>
      <c r="L79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791" spans="1:12" x14ac:dyDescent="0.25">
      <c r="A791" t="s">
        <v>158</v>
      </c>
      <c r="B791" s="1">
        <v>79</v>
      </c>
      <c r="C791" s="1">
        <v>36</v>
      </c>
      <c r="D791">
        <v>4</v>
      </c>
      <c r="E791" t="s">
        <v>23</v>
      </c>
      <c r="F791" t="s">
        <v>142</v>
      </c>
      <c r="G791" t="s">
        <v>10</v>
      </c>
      <c r="H791">
        <f>IF(Table_Sales[[#This Row],[profit]]&lt;0,1,0)</f>
        <v>0</v>
      </c>
      <c r="I791" t="str" cm="1">
        <f t="array" ref="I791">_xlfn.IFS(Table_Sales[[#This Row],[quantity]]&lt;=3,"1-3",Table_Sales[[#This Row],[quantity]]&lt;=7,"2-7",Table_Sales[[#This Row],[quantity]]&lt;=10,"8-10",TRUE,"11 and above")</f>
        <v>2-7</v>
      </c>
      <c r="J791" t="str" cm="1">
        <f t="array" ref="J791">_xlfn.IFS(Table_Sales[[#This Row],[amount]]&lt;1000,"Under 1000",Table_Sales[[#This Row],[amount]]&lt;3000,"1000 - 2999",Table_Sales[[#This Row],[amount]]&lt;5000,"3000 - 4999",TRUE,"5000 &amp; above")</f>
        <v>Under 1000</v>
      </c>
      <c r="K791">
        <f>IF(COUNTIFS(INDEX(Table_Sales[order_id],1):Table_Sales[[#This Row],[order_id]],Table_Sales[[#This Row],[order_id]])=1,1,0)</f>
        <v>0</v>
      </c>
      <c r="L79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792" spans="1:12" x14ac:dyDescent="0.25">
      <c r="A792" t="s">
        <v>212</v>
      </c>
      <c r="B792" s="1">
        <v>134</v>
      </c>
      <c r="C792" s="1">
        <v>-13</v>
      </c>
      <c r="D792">
        <v>3</v>
      </c>
      <c r="E792" t="s">
        <v>8</v>
      </c>
      <c r="F792" t="s">
        <v>9</v>
      </c>
      <c r="G792" t="s">
        <v>28</v>
      </c>
      <c r="H792">
        <f>IF(Table_Sales[[#This Row],[profit]]&lt;0,1,0)</f>
        <v>1</v>
      </c>
      <c r="I792" t="str" cm="1">
        <f t="array" ref="I792">_xlfn.IFS(Table_Sales[[#This Row],[quantity]]&lt;=3,"1-3",Table_Sales[[#This Row],[quantity]]&lt;=7,"2-7",Table_Sales[[#This Row],[quantity]]&lt;=10,"8-10",TRUE,"11 and above")</f>
        <v>1-3</v>
      </c>
      <c r="J792" t="str" cm="1">
        <f t="array" ref="J792">_xlfn.IFS(Table_Sales[[#This Row],[amount]]&lt;1000,"Under 1000",Table_Sales[[#This Row],[amount]]&lt;3000,"1000 - 2999",Table_Sales[[#This Row],[amount]]&lt;5000,"3000 - 4999",TRUE,"5000 &amp; above")</f>
        <v>Under 1000</v>
      </c>
      <c r="K792">
        <f>IF(COUNTIFS(INDEX(Table_Sales[order_id],1):Table_Sales[[#This Row],[order_id]],Table_Sales[[#This Row],[order_id]])=1,1,0)</f>
        <v>0</v>
      </c>
      <c r="L79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793" spans="1:12" x14ac:dyDescent="0.25">
      <c r="A793" t="s">
        <v>46</v>
      </c>
      <c r="B793" s="1">
        <v>133</v>
      </c>
      <c r="C793" s="1">
        <v>5</v>
      </c>
      <c r="D793">
        <v>5</v>
      </c>
      <c r="E793" t="s">
        <v>23</v>
      </c>
      <c r="F793" t="s">
        <v>57</v>
      </c>
      <c r="G793" t="s">
        <v>28</v>
      </c>
      <c r="H793">
        <f>IF(Table_Sales[[#This Row],[profit]]&lt;0,1,0)</f>
        <v>0</v>
      </c>
      <c r="I793" t="str" cm="1">
        <f t="array" ref="I793">_xlfn.IFS(Table_Sales[[#This Row],[quantity]]&lt;=3,"1-3",Table_Sales[[#This Row],[quantity]]&lt;=7,"2-7",Table_Sales[[#This Row],[quantity]]&lt;=10,"8-10",TRUE,"11 and above")</f>
        <v>2-7</v>
      </c>
      <c r="J793" t="str" cm="1">
        <f t="array" ref="J793">_xlfn.IFS(Table_Sales[[#This Row],[amount]]&lt;1000,"Under 1000",Table_Sales[[#This Row],[amount]]&lt;3000,"1000 - 2999",Table_Sales[[#This Row],[amount]]&lt;5000,"3000 - 4999",TRUE,"5000 &amp; above")</f>
        <v>Under 1000</v>
      </c>
      <c r="K793">
        <f>IF(COUNTIFS(INDEX(Table_Sales[order_id],1):Table_Sales[[#This Row],[order_id]],Table_Sales[[#This Row],[order_id]])=1,1,0)</f>
        <v>0</v>
      </c>
      <c r="L79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794" spans="1:12" x14ac:dyDescent="0.25">
      <c r="A794" t="s">
        <v>211</v>
      </c>
      <c r="B794" s="1">
        <v>47</v>
      </c>
      <c r="C794" s="1">
        <v>20</v>
      </c>
      <c r="D794">
        <v>7</v>
      </c>
      <c r="E794" t="s">
        <v>23</v>
      </c>
      <c r="F794" t="s">
        <v>30</v>
      </c>
      <c r="G794" t="s">
        <v>28</v>
      </c>
      <c r="H794">
        <f>IF(Table_Sales[[#This Row],[profit]]&lt;0,1,0)</f>
        <v>0</v>
      </c>
      <c r="I794" t="str" cm="1">
        <f t="array" ref="I794">_xlfn.IFS(Table_Sales[[#This Row],[quantity]]&lt;=3,"1-3",Table_Sales[[#This Row],[quantity]]&lt;=7,"2-7",Table_Sales[[#This Row],[quantity]]&lt;=10,"8-10",TRUE,"11 and above")</f>
        <v>2-7</v>
      </c>
      <c r="J794" t="str" cm="1">
        <f t="array" ref="J794">_xlfn.IFS(Table_Sales[[#This Row],[amount]]&lt;1000,"Under 1000",Table_Sales[[#This Row],[amount]]&lt;3000,"1000 - 2999",Table_Sales[[#This Row],[amount]]&lt;5000,"3000 - 4999",TRUE,"5000 &amp; above")</f>
        <v>Under 1000</v>
      </c>
      <c r="K794">
        <f>IF(COUNTIFS(INDEX(Table_Sales[order_id],1):Table_Sales[[#This Row],[order_id]],Table_Sales[[#This Row],[order_id]])=1,1,0)</f>
        <v>0</v>
      </c>
      <c r="L79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795" spans="1:12" x14ac:dyDescent="0.25">
      <c r="A795" t="s">
        <v>258</v>
      </c>
      <c r="B795" s="1">
        <v>133</v>
      </c>
      <c r="C795" s="1">
        <v>-42</v>
      </c>
      <c r="D795">
        <v>1</v>
      </c>
      <c r="E795" t="s">
        <v>8</v>
      </c>
      <c r="F795" t="s">
        <v>18</v>
      </c>
      <c r="G795" t="s">
        <v>28</v>
      </c>
      <c r="H795">
        <f>IF(Table_Sales[[#This Row],[profit]]&lt;0,1,0)</f>
        <v>1</v>
      </c>
      <c r="I795" t="str" cm="1">
        <f t="array" ref="I795">_xlfn.IFS(Table_Sales[[#This Row],[quantity]]&lt;=3,"1-3",Table_Sales[[#This Row],[quantity]]&lt;=7,"2-7",Table_Sales[[#This Row],[quantity]]&lt;=10,"8-10",TRUE,"11 and above")</f>
        <v>1-3</v>
      </c>
      <c r="J795" t="str" cm="1">
        <f t="array" ref="J795">_xlfn.IFS(Table_Sales[[#This Row],[amount]]&lt;1000,"Under 1000",Table_Sales[[#This Row],[amount]]&lt;3000,"1000 - 2999",Table_Sales[[#This Row],[amount]]&lt;5000,"3000 - 4999",TRUE,"5000 &amp; above")</f>
        <v>Under 1000</v>
      </c>
      <c r="K795">
        <f>IF(COUNTIFS(INDEX(Table_Sales[order_id],1):Table_Sales[[#This Row],[order_id]],Table_Sales[[#This Row],[order_id]])=1,1,0)</f>
        <v>0</v>
      </c>
      <c r="L79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796" spans="1:12" x14ac:dyDescent="0.25">
      <c r="A796" t="s">
        <v>409</v>
      </c>
      <c r="B796" s="1">
        <v>78</v>
      </c>
      <c r="C796" s="1">
        <v>27</v>
      </c>
      <c r="D796">
        <v>3</v>
      </c>
      <c r="E796" t="s">
        <v>23</v>
      </c>
      <c r="F796" t="s">
        <v>57</v>
      </c>
      <c r="G796" t="s">
        <v>10</v>
      </c>
      <c r="H796">
        <f>IF(Table_Sales[[#This Row],[profit]]&lt;0,1,0)</f>
        <v>0</v>
      </c>
      <c r="I796" t="str" cm="1">
        <f t="array" ref="I796">_xlfn.IFS(Table_Sales[[#This Row],[quantity]]&lt;=3,"1-3",Table_Sales[[#This Row],[quantity]]&lt;=7,"2-7",Table_Sales[[#This Row],[quantity]]&lt;=10,"8-10",TRUE,"11 and above")</f>
        <v>1-3</v>
      </c>
      <c r="J796" t="str" cm="1">
        <f t="array" ref="J796">_xlfn.IFS(Table_Sales[[#This Row],[amount]]&lt;1000,"Under 1000",Table_Sales[[#This Row],[amount]]&lt;3000,"1000 - 2999",Table_Sales[[#This Row],[amount]]&lt;5000,"3000 - 4999",TRUE,"5000 &amp; above")</f>
        <v>Under 1000</v>
      </c>
      <c r="K796">
        <f>IF(COUNTIFS(INDEX(Table_Sales[order_id],1):Table_Sales[[#This Row],[order_id]],Table_Sales[[#This Row],[order_id]])=1,1,0)</f>
        <v>1</v>
      </c>
      <c r="L79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797" spans="1:12" x14ac:dyDescent="0.25">
      <c r="A797" t="s">
        <v>410</v>
      </c>
      <c r="B797" s="1">
        <v>78</v>
      </c>
      <c r="C797" s="1">
        <v>7</v>
      </c>
      <c r="D797">
        <v>1</v>
      </c>
      <c r="E797" t="s">
        <v>12</v>
      </c>
      <c r="F797" t="s">
        <v>13</v>
      </c>
      <c r="G797" t="s">
        <v>10</v>
      </c>
      <c r="H797">
        <f>IF(Table_Sales[[#This Row],[profit]]&lt;0,1,0)</f>
        <v>0</v>
      </c>
      <c r="I797" t="str" cm="1">
        <f t="array" ref="I797">_xlfn.IFS(Table_Sales[[#This Row],[quantity]]&lt;=3,"1-3",Table_Sales[[#This Row],[quantity]]&lt;=7,"2-7",Table_Sales[[#This Row],[quantity]]&lt;=10,"8-10",TRUE,"11 and above")</f>
        <v>1-3</v>
      </c>
      <c r="J797" t="str" cm="1">
        <f t="array" ref="J797">_xlfn.IFS(Table_Sales[[#This Row],[amount]]&lt;1000,"Under 1000",Table_Sales[[#This Row],[amount]]&lt;3000,"1000 - 2999",Table_Sales[[#This Row],[amount]]&lt;5000,"3000 - 4999",TRUE,"5000 &amp; above")</f>
        <v>Under 1000</v>
      </c>
      <c r="K797">
        <f>IF(COUNTIFS(INDEX(Table_Sales[order_id],1):Table_Sales[[#This Row],[order_id]],Table_Sales[[#This Row],[order_id]])=1,1,0)</f>
        <v>1</v>
      </c>
      <c r="L79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798" spans="1:12" x14ac:dyDescent="0.25">
      <c r="A798" t="s">
        <v>411</v>
      </c>
      <c r="B798" s="1">
        <v>76</v>
      </c>
      <c r="C798" s="1">
        <v>-92</v>
      </c>
      <c r="D798">
        <v>8</v>
      </c>
      <c r="E798" t="s">
        <v>12</v>
      </c>
      <c r="F798" t="s">
        <v>131</v>
      </c>
      <c r="G798" t="s">
        <v>10</v>
      </c>
      <c r="H798">
        <f>IF(Table_Sales[[#This Row],[profit]]&lt;0,1,0)</f>
        <v>1</v>
      </c>
      <c r="I798" t="str" cm="1">
        <f t="array" ref="I798">_xlfn.IFS(Table_Sales[[#This Row],[quantity]]&lt;=3,"1-3",Table_Sales[[#This Row],[quantity]]&lt;=7,"2-7",Table_Sales[[#This Row],[quantity]]&lt;=10,"8-10",TRUE,"11 and above")</f>
        <v>8-10</v>
      </c>
      <c r="J798" t="str" cm="1">
        <f t="array" ref="J798">_xlfn.IFS(Table_Sales[[#This Row],[amount]]&lt;1000,"Under 1000",Table_Sales[[#This Row],[amount]]&lt;3000,"1000 - 2999",Table_Sales[[#This Row],[amount]]&lt;5000,"3000 - 4999",TRUE,"5000 &amp; above")</f>
        <v>Under 1000</v>
      </c>
      <c r="K798">
        <f>IF(COUNTIFS(INDEX(Table_Sales[order_id],1):Table_Sales[[#This Row],[order_id]],Table_Sales[[#This Row],[order_id]])=1,1,0)</f>
        <v>1</v>
      </c>
      <c r="L79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799" spans="1:12" x14ac:dyDescent="0.25">
      <c r="A799" t="s">
        <v>412</v>
      </c>
      <c r="B799" s="1">
        <v>76</v>
      </c>
      <c r="C799" s="1">
        <v>-50</v>
      </c>
      <c r="D799">
        <v>1</v>
      </c>
      <c r="E799" t="s">
        <v>23</v>
      </c>
      <c r="F799" t="s">
        <v>26</v>
      </c>
      <c r="G799" t="s">
        <v>10</v>
      </c>
      <c r="H799">
        <f>IF(Table_Sales[[#This Row],[profit]]&lt;0,1,0)</f>
        <v>1</v>
      </c>
      <c r="I799" t="str" cm="1">
        <f t="array" ref="I799">_xlfn.IFS(Table_Sales[[#This Row],[quantity]]&lt;=3,"1-3",Table_Sales[[#This Row],[quantity]]&lt;=7,"2-7",Table_Sales[[#This Row],[quantity]]&lt;=10,"8-10",TRUE,"11 and above")</f>
        <v>1-3</v>
      </c>
      <c r="J799" t="str" cm="1">
        <f t="array" ref="J799">_xlfn.IFS(Table_Sales[[#This Row],[amount]]&lt;1000,"Under 1000",Table_Sales[[#This Row],[amount]]&lt;3000,"1000 - 2999",Table_Sales[[#This Row],[amount]]&lt;5000,"3000 - 4999",TRUE,"5000 &amp; above")</f>
        <v>Under 1000</v>
      </c>
      <c r="K799">
        <f>IF(COUNTIFS(INDEX(Table_Sales[order_id],1):Table_Sales[[#This Row],[order_id]],Table_Sales[[#This Row],[order_id]])=1,1,0)</f>
        <v>1</v>
      </c>
      <c r="L79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800" spans="1:12" x14ac:dyDescent="0.25">
      <c r="A800" t="s">
        <v>234</v>
      </c>
      <c r="B800" s="1">
        <v>76</v>
      </c>
      <c r="C800" s="1">
        <v>19</v>
      </c>
      <c r="D800">
        <v>3</v>
      </c>
      <c r="E800" t="s">
        <v>23</v>
      </c>
      <c r="F800" t="s">
        <v>30</v>
      </c>
      <c r="G800" t="s">
        <v>10</v>
      </c>
      <c r="H800">
        <f>IF(Table_Sales[[#This Row],[profit]]&lt;0,1,0)</f>
        <v>0</v>
      </c>
      <c r="I800" t="str" cm="1">
        <f t="array" ref="I800">_xlfn.IFS(Table_Sales[[#This Row],[quantity]]&lt;=3,"1-3",Table_Sales[[#This Row],[quantity]]&lt;=7,"2-7",Table_Sales[[#This Row],[quantity]]&lt;=10,"8-10",TRUE,"11 and above")</f>
        <v>1-3</v>
      </c>
      <c r="J800" t="str" cm="1">
        <f t="array" ref="J800">_xlfn.IFS(Table_Sales[[#This Row],[amount]]&lt;1000,"Under 1000",Table_Sales[[#This Row],[amount]]&lt;3000,"1000 - 2999",Table_Sales[[#This Row],[amount]]&lt;5000,"3000 - 4999",TRUE,"5000 &amp; above")</f>
        <v>Under 1000</v>
      </c>
      <c r="K800">
        <f>IF(COUNTIFS(INDEX(Table_Sales[order_id],1):Table_Sales[[#This Row],[order_id]],Table_Sales[[#This Row],[order_id]])=1,1,0)</f>
        <v>0</v>
      </c>
      <c r="L80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801" spans="1:12" x14ac:dyDescent="0.25">
      <c r="A801" t="s">
        <v>155</v>
      </c>
      <c r="B801" s="1">
        <v>74</v>
      </c>
      <c r="C801" s="1">
        <v>29</v>
      </c>
      <c r="D801">
        <v>3</v>
      </c>
      <c r="E801" t="s">
        <v>23</v>
      </c>
      <c r="F801" t="s">
        <v>57</v>
      </c>
      <c r="G801" t="s">
        <v>10</v>
      </c>
      <c r="H801">
        <f>IF(Table_Sales[[#This Row],[profit]]&lt;0,1,0)</f>
        <v>0</v>
      </c>
      <c r="I801" t="str" cm="1">
        <f t="array" ref="I801">_xlfn.IFS(Table_Sales[[#This Row],[quantity]]&lt;=3,"1-3",Table_Sales[[#This Row],[quantity]]&lt;=7,"2-7",Table_Sales[[#This Row],[quantity]]&lt;=10,"8-10",TRUE,"11 and above")</f>
        <v>1-3</v>
      </c>
      <c r="J801" t="str" cm="1">
        <f t="array" ref="J801">_xlfn.IFS(Table_Sales[[#This Row],[amount]]&lt;1000,"Under 1000",Table_Sales[[#This Row],[amount]]&lt;3000,"1000 - 2999",Table_Sales[[#This Row],[amount]]&lt;5000,"3000 - 4999",TRUE,"5000 &amp; above")</f>
        <v>Under 1000</v>
      </c>
      <c r="K801">
        <f>IF(COUNTIFS(INDEX(Table_Sales[order_id],1):Table_Sales[[#This Row],[order_id]],Table_Sales[[#This Row],[order_id]])=1,1,0)</f>
        <v>0</v>
      </c>
      <c r="L80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802" spans="1:12" x14ac:dyDescent="0.25">
      <c r="A802" t="s">
        <v>413</v>
      </c>
      <c r="B802" s="1">
        <v>74</v>
      </c>
      <c r="C802" s="1">
        <v>-25</v>
      </c>
      <c r="D802">
        <v>3</v>
      </c>
      <c r="E802" t="s">
        <v>23</v>
      </c>
      <c r="F802" t="s">
        <v>57</v>
      </c>
      <c r="G802" t="s">
        <v>10</v>
      </c>
      <c r="H802">
        <f>IF(Table_Sales[[#This Row],[profit]]&lt;0,1,0)</f>
        <v>1</v>
      </c>
      <c r="I802" t="str" cm="1">
        <f t="array" ref="I802">_xlfn.IFS(Table_Sales[[#This Row],[quantity]]&lt;=3,"1-3",Table_Sales[[#This Row],[quantity]]&lt;=7,"2-7",Table_Sales[[#This Row],[quantity]]&lt;=10,"8-10",TRUE,"11 and above")</f>
        <v>1-3</v>
      </c>
      <c r="J802" t="str" cm="1">
        <f t="array" ref="J802">_xlfn.IFS(Table_Sales[[#This Row],[amount]]&lt;1000,"Under 1000",Table_Sales[[#This Row],[amount]]&lt;3000,"1000 - 2999",Table_Sales[[#This Row],[amount]]&lt;5000,"3000 - 4999",TRUE,"5000 &amp; above")</f>
        <v>Under 1000</v>
      </c>
      <c r="K802">
        <f>IF(COUNTIFS(INDEX(Table_Sales[order_id],1):Table_Sales[[#This Row],[order_id]],Table_Sales[[#This Row],[order_id]])=1,1,0)</f>
        <v>1</v>
      </c>
      <c r="L80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803" spans="1:12" x14ac:dyDescent="0.25">
      <c r="A803" t="s">
        <v>145</v>
      </c>
      <c r="B803" s="1">
        <v>146</v>
      </c>
      <c r="C803" s="1">
        <v>-63</v>
      </c>
      <c r="D803">
        <v>3</v>
      </c>
      <c r="E803" t="s">
        <v>8</v>
      </c>
      <c r="F803" t="s">
        <v>9</v>
      </c>
      <c r="G803" t="s">
        <v>82</v>
      </c>
      <c r="H803">
        <f>IF(Table_Sales[[#This Row],[profit]]&lt;0,1,0)</f>
        <v>1</v>
      </c>
      <c r="I803" t="str" cm="1">
        <f t="array" ref="I803">_xlfn.IFS(Table_Sales[[#This Row],[quantity]]&lt;=3,"1-3",Table_Sales[[#This Row],[quantity]]&lt;=7,"2-7",Table_Sales[[#This Row],[quantity]]&lt;=10,"8-10",TRUE,"11 and above")</f>
        <v>1-3</v>
      </c>
      <c r="J803" t="str" cm="1">
        <f t="array" ref="J803">_xlfn.IFS(Table_Sales[[#This Row],[amount]]&lt;1000,"Under 1000",Table_Sales[[#This Row],[amount]]&lt;3000,"1000 - 2999",Table_Sales[[#This Row],[amount]]&lt;5000,"3000 - 4999",TRUE,"5000 &amp; above")</f>
        <v>Under 1000</v>
      </c>
      <c r="K803">
        <f>IF(COUNTIFS(INDEX(Table_Sales[order_id],1):Table_Sales[[#This Row],[order_id]],Table_Sales[[#This Row],[order_id]])=1,1,0)</f>
        <v>0</v>
      </c>
      <c r="L80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804" spans="1:12" x14ac:dyDescent="0.25">
      <c r="A804" t="s">
        <v>141</v>
      </c>
      <c r="B804" s="1">
        <v>73</v>
      </c>
      <c r="C804" s="1">
        <v>-31</v>
      </c>
      <c r="D804">
        <v>1</v>
      </c>
      <c r="E804" t="s">
        <v>12</v>
      </c>
      <c r="F804" t="s">
        <v>16</v>
      </c>
      <c r="G804" t="s">
        <v>10</v>
      </c>
      <c r="H804">
        <f>IF(Table_Sales[[#This Row],[profit]]&lt;0,1,0)</f>
        <v>1</v>
      </c>
      <c r="I804" t="str" cm="1">
        <f t="array" ref="I804">_xlfn.IFS(Table_Sales[[#This Row],[quantity]]&lt;=3,"1-3",Table_Sales[[#This Row],[quantity]]&lt;=7,"2-7",Table_Sales[[#This Row],[quantity]]&lt;=10,"8-10",TRUE,"11 and above")</f>
        <v>1-3</v>
      </c>
      <c r="J804" t="str" cm="1">
        <f t="array" ref="J804">_xlfn.IFS(Table_Sales[[#This Row],[amount]]&lt;1000,"Under 1000",Table_Sales[[#This Row],[amount]]&lt;3000,"1000 - 2999",Table_Sales[[#This Row],[amount]]&lt;5000,"3000 - 4999",TRUE,"5000 &amp; above")</f>
        <v>Under 1000</v>
      </c>
      <c r="K804">
        <f>IF(COUNTIFS(INDEX(Table_Sales[order_id],1):Table_Sales[[#This Row],[order_id]],Table_Sales[[#This Row],[order_id]])=1,1,0)</f>
        <v>0</v>
      </c>
      <c r="L80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805" spans="1:12" x14ac:dyDescent="0.25">
      <c r="A805" t="s">
        <v>88</v>
      </c>
      <c r="B805" s="1">
        <v>80</v>
      </c>
      <c r="C805" s="1">
        <v>22</v>
      </c>
      <c r="D805">
        <v>3</v>
      </c>
      <c r="E805" t="s">
        <v>23</v>
      </c>
      <c r="F805" t="s">
        <v>57</v>
      </c>
      <c r="G805" t="s">
        <v>28</v>
      </c>
      <c r="H805">
        <f>IF(Table_Sales[[#This Row],[profit]]&lt;0,1,0)</f>
        <v>0</v>
      </c>
      <c r="I805" t="str" cm="1">
        <f t="array" ref="I805">_xlfn.IFS(Table_Sales[[#This Row],[quantity]]&lt;=3,"1-3",Table_Sales[[#This Row],[quantity]]&lt;=7,"2-7",Table_Sales[[#This Row],[quantity]]&lt;=10,"8-10",TRUE,"11 and above")</f>
        <v>1-3</v>
      </c>
      <c r="J805" t="str" cm="1">
        <f t="array" ref="J805">_xlfn.IFS(Table_Sales[[#This Row],[amount]]&lt;1000,"Under 1000",Table_Sales[[#This Row],[amount]]&lt;3000,"1000 - 2999",Table_Sales[[#This Row],[amount]]&lt;5000,"3000 - 4999",TRUE,"5000 &amp; above")</f>
        <v>Under 1000</v>
      </c>
      <c r="K805">
        <f>IF(COUNTIFS(INDEX(Table_Sales[order_id],1):Table_Sales[[#This Row],[order_id]],Table_Sales[[#This Row],[order_id]])=1,1,0)</f>
        <v>0</v>
      </c>
      <c r="L80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806" spans="1:12" x14ac:dyDescent="0.25">
      <c r="A806" t="s">
        <v>294</v>
      </c>
      <c r="B806" s="1">
        <v>133</v>
      </c>
      <c r="C806" s="1">
        <v>46</v>
      </c>
      <c r="D806">
        <v>5</v>
      </c>
      <c r="E806" t="s">
        <v>23</v>
      </c>
      <c r="F806" t="s">
        <v>142</v>
      </c>
      <c r="G806" t="s">
        <v>14</v>
      </c>
      <c r="H806">
        <f>IF(Table_Sales[[#This Row],[profit]]&lt;0,1,0)</f>
        <v>0</v>
      </c>
      <c r="I806" t="str" cm="1">
        <f t="array" ref="I806">_xlfn.IFS(Table_Sales[[#This Row],[quantity]]&lt;=3,"1-3",Table_Sales[[#This Row],[quantity]]&lt;=7,"2-7",Table_Sales[[#This Row],[quantity]]&lt;=10,"8-10",TRUE,"11 and above")</f>
        <v>2-7</v>
      </c>
      <c r="J806" t="str" cm="1">
        <f t="array" ref="J806">_xlfn.IFS(Table_Sales[[#This Row],[amount]]&lt;1000,"Under 1000",Table_Sales[[#This Row],[amount]]&lt;3000,"1000 - 2999",Table_Sales[[#This Row],[amount]]&lt;5000,"3000 - 4999",TRUE,"5000 &amp; above")</f>
        <v>Under 1000</v>
      </c>
      <c r="K806">
        <f>IF(COUNTIFS(INDEX(Table_Sales[order_id],1):Table_Sales[[#This Row],[order_id]],Table_Sales[[#This Row],[order_id]])=1,1,0)</f>
        <v>0</v>
      </c>
      <c r="L80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807" spans="1:12" x14ac:dyDescent="0.25">
      <c r="A807" t="s">
        <v>414</v>
      </c>
      <c r="B807" s="1">
        <v>146</v>
      </c>
      <c r="C807" s="1">
        <v>7</v>
      </c>
      <c r="D807">
        <v>2</v>
      </c>
      <c r="E807" t="s">
        <v>8</v>
      </c>
      <c r="F807" t="s">
        <v>21</v>
      </c>
      <c r="G807" t="s">
        <v>82</v>
      </c>
      <c r="H807">
        <f>IF(Table_Sales[[#This Row],[profit]]&lt;0,1,0)</f>
        <v>0</v>
      </c>
      <c r="I807" t="str" cm="1">
        <f t="array" ref="I807">_xlfn.IFS(Table_Sales[[#This Row],[quantity]]&lt;=3,"1-3",Table_Sales[[#This Row],[quantity]]&lt;=7,"2-7",Table_Sales[[#This Row],[quantity]]&lt;=10,"8-10",TRUE,"11 and above")</f>
        <v>1-3</v>
      </c>
      <c r="J807" t="str" cm="1">
        <f t="array" ref="J807">_xlfn.IFS(Table_Sales[[#This Row],[amount]]&lt;1000,"Under 1000",Table_Sales[[#This Row],[amount]]&lt;3000,"1000 - 2999",Table_Sales[[#This Row],[amount]]&lt;5000,"3000 - 4999",TRUE,"5000 &amp; above")</f>
        <v>Under 1000</v>
      </c>
      <c r="K807">
        <f>IF(COUNTIFS(INDEX(Table_Sales[order_id],1):Table_Sales[[#This Row],[order_id]],Table_Sales[[#This Row],[order_id]])=1,1,0)</f>
        <v>1</v>
      </c>
      <c r="L80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808" spans="1:12" x14ac:dyDescent="0.25">
      <c r="A808" t="s">
        <v>218</v>
      </c>
      <c r="B808" s="1">
        <v>130</v>
      </c>
      <c r="C808" s="1">
        <v>-41</v>
      </c>
      <c r="D808">
        <v>4</v>
      </c>
      <c r="E808" t="s">
        <v>23</v>
      </c>
      <c r="F808" t="s">
        <v>26</v>
      </c>
      <c r="G808" t="s">
        <v>14</v>
      </c>
      <c r="H808">
        <f>IF(Table_Sales[[#This Row],[profit]]&lt;0,1,0)</f>
        <v>1</v>
      </c>
      <c r="I808" t="str" cm="1">
        <f t="array" ref="I808">_xlfn.IFS(Table_Sales[[#This Row],[quantity]]&lt;=3,"1-3",Table_Sales[[#This Row],[quantity]]&lt;=7,"2-7",Table_Sales[[#This Row],[quantity]]&lt;=10,"8-10",TRUE,"11 and above")</f>
        <v>2-7</v>
      </c>
      <c r="J808" t="str" cm="1">
        <f t="array" ref="J808">_xlfn.IFS(Table_Sales[[#This Row],[amount]]&lt;1000,"Under 1000",Table_Sales[[#This Row],[amount]]&lt;3000,"1000 - 2999",Table_Sales[[#This Row],[amount]]&lt;5000,"3000 - 4999",TRUE,"5000 &amp; above")</f>
        <v>Under 1000</v>
      </c>
      <c r="K808">
        <f>IF(COUNTIFS(INDEX(Table_Sales[order_id],1):Table_Sales[[#This Row],[order_id]],Table_Sales[[#This Row],[order_id]])=1,1,0)</f>
        <v>0</v>
      </c>
      <c r="L80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809" spans="1:12" x14ac:dyDescent="0.25">
      <c r="A809" t="s">
        <v>415</v>
      </c>
      <c r="B809" s="1">
        <v>141</v>
      </c>
      <c r="C809" s="1">
        <v>41</v>
      </c>
      <c r="D809">
        <v>3</v>
      </c>
      <c r="E809" t="s">
        <v>23</v>
      </c>
      <c r="F809" t="s">
        <v>142</v>
      </c>
      <c r="G809" t="s">
        <v>28</v>
      </c>
      <c r="H809">
        <f>IF(Table_Sales[[#This Row],[profit]]&lt;0,1,0)</f>
        <v>0</v>
      </c>
      <c r="I809" t="str" cm="1">
        <f t="array" ref="I809">_xlfn.IFS(Table_Sales[[#This Row],[quantity]]&lt;=3,"1-3",Table_Sales[[#This Row],[quantity]]&lt;=7,"2-7",Table_Sales[[#This Row],[quantity]]&lt;=10,"8-10",TRUE,"11 and above")</f>
        <v>1-3</v>
      </c>
      <c r="J809" t="str" cm="1">
        <f t="array" ref="J809">_xlfn.IFS(Table_Sales[[#This Row],[amount]]&lt;1000,"Under 1000",Table_Sales[[#This Row],[amount]]&lt;3000,"1000 - 2999",Table_Sales[[#This Row],[amount]]&lt;5000,"3000 - 4999",TRUE,"5000 &amp; above")</f>
        <v>Under 1000</v>
      </c>
      <c r="K809">
        <f>IF(COUNTIFS(INDEX(Table_Sales[order_id],1):Table_Sales[[#This Row],[order_id]],Table_Sales[[#This Row],[order_id]])=1,1,0)</f>
        <v>1</v>
      </c>
      <c r="L80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810" spans="1:12" x14ac:dyDescent="0.25">
      <c r="A810" t="s">
        <v>214</v>
      </c>
      <c r="B810" s="1">
        <v>147</v>
      </c>
      <c r="C810" s="1">
        <v>21</v>
      </c>
      <c r="D810">
        <v>3</v>
      </c>
      <c r="E810" t="s">
        <v>12</v>
      </c>
      <c r="F810" t="s">
        <v>131</v>
      </c>
      <c r="G810" t="s">
        <v>82</v>
      </c>
      <c r="H810">
        <f>IF(Table_Sales[[#This Row],[profit]]&lt;0,1,0)</f>
        <v>0</v>
      </c>
      <c r="I810" t="str" cm="1">
        <f t="array" ref="I810">_xlfn.IFS(Table_Sales[[#This Row],[quantity]]&lt;=3,"1-3",Table_Sales[[#This Row],[quantity]]&lt;=7,"2-7",Table_Sales[[#This Row],[quantity]]&lt;=10,"8-10",TRUE,"11 and above")</f>
        <v>1-3</v>
      </c>
      <c r="J810" t="str" cm="1">
        <f t="array" ref="J810">_xlfn.IFS(Table_Sales[[#This Row],[amount]]&lt;1000,"Under 1000",Table_Sales[[#This Row],[amount]]&lt;3000,"1000 - 2999",Table_Sales[[#This Row],[amount]]&lt;5000,"3000 - 4999",TRUE,"5000 &amp; above")</f>
        <v>Under 1000</v>
      </c>
      <c r="K810">
        <f>IF(COUNTIFS(INDEX(Table_Sales[order_id],1):Table_Sales[[#This Row],[order_id]],Table_Sales[[#This Row],[order_id]])=1,1,0)</f>
        <v>0</v>
      </c>
      <c r="L81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811" spans="1:12" x14ac:dyDescent="0.25">
      <c r="A811" t="s">
        <v>99</v>
      </c>
      <c r="B811" s="1">
        <v>73</v>
      </c>
      <c r="C811" s="1">
        <v>-7</v>
      </c>
      <c r="D811">
        <v>1</v>
      </c>
      <c r="E811" t="s">
        <v>8</v>
      </c>
      <c r="F811" t="s">
        <v>21</v>
      </c>
      <c r="G811" t="s">
        <v>10</v>
      </c>
      <c r="H811">
        <f>IF(Table_Sales[[#This Row],[profit]]&lt;0,1,0)</f>
        <v>1</v>
      </c>
      <c r="I811" t="str" cm="1">
        <f t="array" ref="I811">_xlfn.IFS(Table_Sales[[#This Row],[quantity]]&lt;=3,"1-3",Table_Sales[[#This Row],[quantity]]&lt;=7,"2-7",Table_Sales[[#This Row],[quantity]]&lt;=10,"8-10",TRUE,"11 and above")</f>
        <v>1-3</v>
      </c>
      <c r="J811" t="str" cm="1">
        <f t="array" ref="J811">_xlfn.IFS(Table_Sales[[#This Row],[amount]]&lt;1000,"Under 1000",Table_Sales[[#This Row],[amount]]&lt;3000,"1000 - 2999",Table_Sales[[#This Row],[amount]]&lt;5000,"3000 - 4999",TRUE,"5000 &amp; above")</f>
        <v>Under 1000</v>
      </c>
      <c r="K811">
        <f>IF(COUNTIFS(INDEX(Table_Sales[order_id],1):Table_Sales[[#This Row],[order_id]],Table_Sales[[#This Row],[order_id]])=1,1,0)</f>
        <v>0</v>
      </c>
      <c r="L81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812" spans="1:12" x14ac:dyDescent="0.25">
      <c r="A812" t="s">
        <v>416</v>
      </c>
      <c r="B812" s="1">
        <v>148</v>
      </c>
      <c r="C812" s="1">
        <v>72</v>
      </c>
      <c r="D812">
        <v>7</v>
      </c>
      <c r="E812" t="s">
        <v>23</v>
      </c>
      <c r="F812" t="s">
        <v>81</v>
      </c>
      <c r="G812" t="s">
        <v>82</v>
      </c>
      <c r="H812">
        <f>IF(Table_Sales[[#This Row],[profit]]&lt;0,1,0)</f>
        <v>0</v>
      </c>
      <c r="I812" t="str" cm="1">
        <f t="array" ref="I812">_xlfn.IFS(Table_Sales[[#This Row],[quantity]]&lt;=3,"1-3",Table_Sales[[#This Row],[quantity]]&lt;=7,"2-7",Table_Sales[[#This Row],[quantity]]&lt;=10,"8-10",TRUE,"11 and above")</f>
        <v>2-7</v>
      </c>
      <c r="J812" t="str" cm="1">
        <f t="array" ref="J812">_xlfn.IFS(Table_Sales[[#This Row],[amount]]&lt;1000,"Under 1000",Table_Sales[[#This Row],[amount]]&lt;3000,"1000 - 2999",Table_Sales[[#This Row],[amount]]&lt;5000,"3000 - 4999",TRUE,"5000 &amp; above")</f>
        <v>Under 1000</v>
      </c>
      <c r="K812">
        <f>IF(COUNTIFS(INDEX(Table_Sales[order_id],1):Table_Sales[[#This Row],[order_id]],Table_Sales[[#This Row],[order_id]])=1,1,0)</f>
        <v>1</v>
      </c>
      <c r="L81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813" spans="1:12" x14ac:dyDescent="0.25">
      <c r="A813" t="s">
        <v>417</v>
      </c>
      <c r="B813" s="1">
        <v>58</v>
      </c>
      <c r="C813" s="1">
        <v>0</v>
      </c>
      <c r="D813">
        <v>4</v>
      </c>
      <c r="E813" t="s">
        <v>23</v>
      </c>
      <c r="F813" t="s">
        <v>26</v>
      </c>
      <c r="G813" t="s">
        <v>28</v>
      </c>
      <c r="H813">
        <f>IF(Table_Sales[[#This Row],[profit]]&lt;0,1,0)</f>
        <v>0</v>
      </c>
      <c r="I813" t="str" cm="1">
        <f t="array" ref="I813">_xlfn.IFS(Table_Sales[[#This Row],[quantity]]&lt;=3,"1-3",Table_Sales[[#This Row],[quantity]]&lt;=7,"2-7",Table_Sales[[#This Row],[quantity]]&lt;=10,"8-10",TRUE,"11 and above")</f>
        <v>2-7</v>
      </c>
      <c r="J813" t="str" cm="1">
        <f t="array" ref="J813">_xlfn.IFS(Table_Sales[[#This Row],[amount]]&lt;1000,"Under 1000",Table_Sales[[#This Row],[amount]]&lt;3000,"1000 - 2999",Table_Sales[[#This Row],[amount]]&lt;5000,"3000 - 4999",TRUE,"5000 &amp; above")</f>
        <v>Under 1000</v>
      </c>
      <c r="K813">
        <f>IF(COUNTIFS(INDEX(Table_Sales[order_id],1):Table_Sales[[#This Row],[order_id]],Table_Sales[[#This Row],[order_id]])=1,1,0)</f>
        <v>1</v>
      </c>
      <c r="L81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814" spans="1:12" x14ac:dyDescent="0.25">
      <c r="A814" t="s">
        <v>308</v>
      </c>
      <c r="B814" s="1">
        <v>21</v>
      </c>
      <c r="C814" s="1">
        <v>-13</v>
      </c>
      <c r="D814">
        <v>3</v>
      </c>
      <c r="E814" t="s">
        <v>23</v>
      </c>
      <c r="F814" t="s">
        <v>63</v>
      </c>
      <c r="G814" t="s">
        <v>28</v>
      </c>
      <c r="H814">
        <f>IF(Table_Sales[[#This Row],[profit]]&lt;0,1,0)</f>
        <v>1</v>
      </c>
      <c r="I814" t="str" cm="1">
        <f t="array" ref="I814">_xlfn.IFS(Table_Sales[[#This Row],[quantity]]&lt;=3,"1-3",Table_Sales[[#This Row],[quantity]]&lt;=7,"2-7",Table_Sales[[#This Row],[quantity]]&lt;=10,"8-10",TRUE,"11 and above")</f>
        <v>1-3</v>
      </c>
      <c r="J814" t="str" cm="1">
        <f t="array" ref="J814">_xlfn.IFS(Table_Sales[[#This Row],[amount]]&lt;1000,"Under 1000",Table_Sales[[#This Row],[amount]]&lt;3000,"1000 - 2999",Table_Sales[[#This Row],[amount]]&lt;5000,"3000 - 4999",TRUE,"5000 &amp; above")</f>
        <v>Under 1000</v>
      </c>
      <c r="K814">
        <f>IF(COUNTIFS(INDEX(Table_Sales[order_id],1):Table_Sales[[#This Row],[order_id]],Table_Sales[[#This Row],[order_id]])=1,1,0)</f>
        <v>0</v>
      </c>
      <c r="L81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815" spans="1:12" x14ac:dyDescent="0.25">
      <c r="A815" t="s">
        <v>17</v>
      </c>
      <c r="B815" s="1">
        <v>148</v>
      </c>
      <c r="C815" s="1">
        <v>25</v>
      </c>
      <c r="D815">
        <v>3</v>
      </c>
      <c r="E815" t="s">
        <v>23</v>
      </c>
      <c r="F815" t="s">
        <v>26</v>
      </c>
      <c r="G815" t="s">
        <v>82</v>
      </c>
      <c r="H815">
        <f>IF(Table_Sales[[#This Row],[profit]]&lt;0,1,0)</f>
        <v>0</v>
      </c>
      <c r="I815" t="str" cm="1">
        <f t="array" ref="I815">_xlfn.IFS(Table_Sales[[#This Row],[quantity]]&lt;=3,"1-3",Table_Sales[[#This Row],[quantity]]&lt;=7,"2-7",Table_Sales[[#This Row],[quantity]]&lt;=10,"8-10",TRUE,"11 and above")</f>
        <v>1-3</v>
      </c>
      <c r="J815" t="str" cm="1">
        <f t="array" ref="J815">_xlfn.IFS(Table_Sales[[#This Row],[amount]]&lt;1000,"Under 1000",Table_Sales[[#This Row],[amount]]&lt;3000,"1000 - 2999",Table_Sales[[#This Row],[amount]]&lt;5000,"3000 - 4999",TRUE,"5000 &amp; above")</f>
        <v>Under 1000</v>
      </c>
      <c r="K815">
        <f>IF(COUNTIFS(INDEX(Table_Sales[order_id],1):Table_Sales[[#This Row],[order_id]],Table_Sales[[#This Row],[order_id]])=1,1,0)</f>
        <v>0</v>
      </c>
      <c r="L81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816" spans="1:12" x14ac:dyDescent="0.25">
      <c r="A816" t="s">
        <v>418</v>
      </c>
      <c r="B816" s="1">
        <v>144</v>
      </c>
      <c r="C816" s="1">
        <v>-7</v>
      </c>
      <c r="D816">
        <v>4</v>
      </c>
      <c r="E816" t="s">
        <v>8</v>
      </c>
      <c r="F816" t="s">
        <v>9</v>
      </c>
      <c r="G816" t="s">
        <v>10</v>
      </c>
      <c r="H816">
        <f>IF(Table_Sales[[#This Row],[profit]]&lt;0,1,0)</f>
        <v>1</v>
      </c>
      <c r="I816" t="str" cm="1">
        <f t="array" ref="I816">_xlfn.IFS(Table_Sales[[#This Row],[quantity]]&lt;=3,"1-3",Table_Sales[[#This Row],[quantity]]&lt;=7,"2-7",Table_Sales[[#This Row],[quantity]]&lt;=10,"8-10",TRUE,"11 and above")</f>
        <v>2-7</v>
      </c>
      <c r="J816" t="str" cm="1">
        <f t="array" ref="J816">_xlfn.IFS(Table_Sales[[#This Row],[amount]]&lt;1000,"Under 1000",Table_Sales[[#This Row],[amount]]&lt;3000,"1000 - 2999",Table_Sales[[#This Row],[amount]]&lt;5000,"3000 - 4999",TRUE,"5000 &amp; above")</f>
        <v>Under 1000</v>
      </c>
      <c r="K816">
        <f>IF(COUNTIFS(INDEX(Table_Sales[order_id],1):Table_Sales[[#This Row],[order_id]],Table_Sales[[#This Row],[order_id]])=1,1,0)</f>
        <v>1</v>
      </c>
      <c r="L81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817" spans="1:12" x14ac:dyDescent="0.25">
      <c r="A817" t="s">
        <v>290</v>
      </c>
      <c r="B817" s="1">
        <v>145</v>
      </c>
      <c r="C817" s="1">
        <v>-104</v>
      </c>
      <c r="D817">
        <v>5</v>
      </c>
      <c r="E817" t="s">
        <v>12</v>
      </c>
      <c r="F817" t="s">
        <v>13</v>
      </c>
      <c r="G817" t="s">
        <v>28</v>
      </c>
      <c r="H817">
        <f>IF(Table_Sales[[#This Row],[profit]]&lt;0,1,0)</f>
        <v>1</v>
      </c>
      <c r="I817" t="str" cm="1">
        <f t="array" ref="I817">_xlfn.IFS(Table_Sales[[#This Row],[quantity]]&lt;=3,"1-3",Table_Sales[[#This Row],[quantity]]&lt;=7,"2-7",Table_Sales[[#This Row],[quantity]]&lt;=10,"8-10",TRUE,"11 and above")</f>
        <v>2-7</v>
      </c>
      <c r="J817" t="str" cm="1">
        <f t="array" ref="J817">_xlfn.IFS(Table_Sales[[#This Row],[amount]]&lt;1000,"Under 1000",Table_Sales[[#This Row],[amount]]&lt;3000,"1000 - 2999",Table_Sales[[#This Row],[amount]]&lt;5000,"3000 - 4999",TRUE,"5000 &amp; above")</f>
        <v>Under 1000</v>
      </c>
      <c r="K817">
        <f>IF(COUNTIFS(INDEX(Table_Sales[order_id],1):Table_Sales[[#This Row],[order_id]],Table_Sales[[#This Row],[order_id]])=1,1,0)</f>
        <v>0</v>
      </c>
      <c r="L81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818" spans="1:12" x14ac:dyDescent="0.25">
      <c r="A818" t="s">
        <v>112</v>
      </c>
      <c r="B818" s="1">
        <v>72</v>
      </c>
      <c r="C818" s="1">
        <v>-49</v>
      </c>
      <c r="D818">
        <v>1</v>
      </c>
      <c r="E818" t="s">
        <v>8</v>
      </c>
      <c r="F818" t="s">
        <v>21</v>
      </c>
      <c r="G818" t="s">
        <v>10</v>
      </c>
      <c r="H818">
        <f>IF(Table_Sales[[#This Row],[profit]]&lt;0,1,0)</f>
        <v>1</v>
      </c>
      <c r="I818" t="str" cm="1">
        <f t="array" ref="I818">_xlfn.IFS(Table_Sales[[#This Row],[quantity]]&lt;=3,"1-3",Table_Sales[[#This Row],[quantity]]&lt;=7,"2-7",Table_Sales[[#This Row],[quantity]]&lt;=10,"8-10",TRUE,"11 and above")</f>
        <v>1-3</v>
      </c>
      <c r="J818" t="str" cm="1">
        <f t="array" ref="J818">_xlfn.IFS(Table_Sales[[#This Row],[amount]]&lt;1000,"Under 1000",Table_Sales[[#This Row],[amount]]&lt;3000,"1000 - 2999",Table_Sales[[#This Row],[amount]]&lt;5000,"3000 - 4999",TRUE,"5000 &amp; above")</f>
        <v>Under 1000</v>
      </c>
      <c r="K818">
        <f>IF(COUNTIFS(INDEX(Table_Sales[order_id],1):Table_Sales[[#This Row],[order_id]],Table_Sales[[#This Row],[order_id]])=1,1,0)</f>
        <v>0</v>
      </c>
      <c r="L81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819" spans="1:12" x14ac:dyDescent="0.25">
      <c r="A819" t="s">
        <v>44</v>
      </c>
      <c r="B819" s="1">
        <v>125</v>
      </c>
      <c r="C819" s="1">
        <v>15</v>
      </c>
      <c r="D819">
        <v>5</v>
      </c>
      <c r="E819" t="s">
        <v>23</v>
      </c>
      <c r="F819" t="s">
        <v>142</v>
      </c>
      <c r="G819" t="s">
        <v>14</v>
      </c>
      <c r="H819">
        <f>IF(Table_Sales[[#This Row],[profit]]&lt;0,1,0)</f>
        <v>0</v>
      </c>
      <c r="I819" t="str" cm="1">
        <f t="array" ref="I819">_xlfn.IFS(Table_Sales[[#This Row],[quantity]]&lt;=3,"1-3",Table_Sales[[#This Row],[quantity]]&lt;=7,"2-7",Table_Sales[[#This Row],[quantity]]&lt;=10,"8-10",TRUE,"11 and above")</f>
        <v>2-7</v>
      </c>
      <c r="J819" t="str" cm="1">
        <f t="array" ref="J819">_xlfn.IFS(Table_Sales[[#This Row],[amount]]&lt;1000,"Under 1000",Table_Sales[[#This Row],[amount]]&lt;3000,"1000 - 2999",Table_Sales[[#This Row],[amount]]&lt;5000,"3000 - 4999",TRUE,"5000 &amp; above")</f>
        <v>Under 1000</v>
      </c>
      <c r="K819">
        <f>IF(COUNTIFS(INDEX(Table_Sales[order_id],1):Table_Sales[[#This Row],[order_id]],Table_Sales[[#This Row],[order_id]])=1,1,0)</f>
        <v>0</v>
      </c>
      <c r="L81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820" spans="1:12" x14ac:dyDescent="0.25">
      <c r="A820" t="s">
        <v>72</v>
      </c>
      <c r="B820" s="1">
        <v>149</v>
      </c>
      <c r="C820" s="1">
        <v>15</v>
      </c>
      <c r="D820">
        <v>3</v>
      </c>
      <c r="E820" t="s">
        <v>23</v>
      </c>
      <c r="F820" t="s">
        <v>26</v>
      </c>
      <c r="G820" t="s">
        <v>82</v>
      </c>
      <c r="H820">
        <f>IF(Table_Sales[[#This Row],[profit]]&lt;0,1,0)</f>
        <v>0</v>
      </c>
      <c r="I820" t="str" cm="1">
        <f t="array" ref="I820">_xlfn.IFS(Table_Sales[[#This Row],[quantity]]&lt;=3,"1-3",Table_Sales[[#This Row],[quantity]]&lt;=7,"2-7",Table_Sales[[#This Row],[quantity]]&lt;=10,"8-10",TRUE,"11 and above")</f>
        <v>1-3</v>
      </c>
      <c r="J820" t="str" cm="1">
        <f t="array" ref="J820">_xlfn.IFS(Table_Sales[[#This Row],[amount]]&lt;1000,"Under 1000",Table_Sales[[#This Row],[amount]]&lt;3000,"1000 - 2999",Table_Sales[[#This Row],[amount]]&lt;5000,"3000 - 4999",TRUE,"5000 &amp; above")</f>
        <v>Under 1000</v>
      </c>
      <c r="K820">
        <f>IF(COUNTIFS(INDEX(Table_Sales[order_id],1):Table_Sales[[#This Row],[order_id]],Table_Sales[[#This Row],[order_id]])=1,1,0)</f>
        <v>0</v>
      </c>
      <c r="L82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821" spans="1:12" x14ac:dyDescent="0.25">
      <c r="A821" t="s">
        <v>116</v>
      </c>
      <c r="B821" s="1">
        <v>72</v>
      </c>
      <c r="C821" s="1">
        <v>16</v>
      </c>
      <c r="D821">
        <v>2</v>
      </c>
      <c r="E821" t="s">
        <v>23</v>
      </c>
      <c r="F821" t="s">
        <v>142</v>
      </c>
      <c r="G821" t="s">
        <v>10</v>
      </c>
      <c r="H821">
        <f>IF(Table_Sales[[#This Row],[profit]]&lt;0,1,0)</f>
        <v>0</v>
      </c>
      <c r="I821" t="str" cm="1">
        <f t="array" ref="I821">_xlfn.IFS(Table_Sales[[#This Row],[quantity]]&lt;=3,"1-3",Table_Sales[[#This Row],[quantity]]&lt;=7,"2-7",Table_Sales[[#This Row],[quantity]]&lt;=10,"8-10",TRUE,"11 and above")</f>
        <v>1-3</v>
      </c>
      <c r="J821" t="str" cm="1">
        <f t="array" ref="J821">_xlfn.IFS(Table_Sales[[#This Row],[amount]]&lt;1000,"Under 1000",Table_Sales[[#This Row],[amount]]&lt;3000,"1000 - 2999",Table_Sales[[#This Row],[amount]]&lt;5000,"3000 - 4999",TRUE,"5000 &amp; above")</f>
        <v>Under 1000</v>
      </c>
      <c r="K821">
        <f>IF(COUNTIFS(INDEX(Table_Sales[order_id],1):Table_Sales[[#This Row],[order_id]],Table_Sales[[#This Row],[order_id]])=1,1,0)</f>
        <v>0</v>
      </c>
      <c r="L82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822" spans="1:12" x14ac:dyDescent="0.25">
      <c r="A822" t="s">
        <v>50</v>
      </c>
      <c r="B822" s="1">
        <v>71</v>
      </c>
      <c r="C822" s="1">
        <v>0</v>
      </c>
      <c r="D822">
        <v>8</v>
      </c>
      <c r="E822" t="s">
        <v>23</v>
      </c>
      <c r="F822" t="s">
        <v>43</v>
      </c>
      <c r="G822" t="s">
        <v>10</v>
      </c>
      <c r="H822">
        <f>IF(Table_Sales[[#This Row],[profit]]&lt;0,1,0)</f>
        <v>0</v>
      </c>
      <c r="I822" t="str" cm="1">
        <f t="array" ref="I822">_xlfn.IFS(Table_Sales[[#This Row],[quantity]]&lt;=3,"1-3",Table_Sales[[#This Row],[quantity]]&lt;=7,"2-7",Table_Sales[[#This Row],[quantity]]&lt;=10,"8-10",TRUE,"11 and above")</f>
        <v>8-10</v>
      </c>
      <c r="J822" t="str" cm="1">
        <f t="array" ref="J822">_xlfn.IFS(Table_Sales[[#This Row],[amount]]&lt;1000,"Under 1000",Table_Sales[[#This Row],[amount]]&lt;3000,"1000 - 2999",Table_Sales[[#This Row],[amount]]&lt;5000,"3000 - 4999",TRUE,"5000 &amp; above")</f>
        <v>Under 1000</v>
      </c>
      <c r="K822">
        <f>IF(COUNTIFS(INDEX(Table_Sales[order_id],1):Table_Sales[[#This Row],[order_id]],Table_Sales[[#This Row],[order_id]])=1,1,0)</f>
        <v>0</v>
      </c>
      <c r="L82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823" spans="1:12" x14ac:dyDescent="0.25">
      <c r="A823" t="s">
        <v>419</v>
      </c>
      <c r="B823" s="1">
        <v>71</v>
      </c>
      <c r="C823" s="1">
        <v>-14</v>
      </c>
      <c r="D823">
        <v>4</v>
      </c>
      <c r="E823" t="s">
        <v>12</v>
      </c>
      <c r="F823" t="s">
        <v>131</v>
      </c>
      <c r="G823" t="s">
        <v>10</v>
      </c>
      <c r="H823">
        <f>IF(Table_Sales[[#This Row],[profit]]&lt;0,1,0)</f>
        <v>1</v>
      </c>
      <c r="I823" t="str" cm="1">
        <f t="array" ref="I823">_xlfn.IFS(Table_Sales[[#This Row],[quantity]]&lt;=3,"1-3",Table_Sales[[#This Row],[quantity]]&lt;=7,"2-7",Table_Sales[[#This Row],[quantity]]&lt;=10,"8-10",TRUE,"11 and above")</f>
        <v>2-7</v>
      </c>
      <c r="J823" t="str" cm="1">
        <f t="array" ref="J823">_xlfn.IFS(Table_Sales[[#This Row],[amount]]&lt;1000,"Under 1000",Table_Sales[[#This Row],[amount]]&lt;3000,"1000 - 2999",Table_Sales[[#This Row],[amount]]&lt;5000,"3000 - 4999",TRUE,"5000 &amp; above")</f>
        <v>Under 1000</v>
      </c>
      <c r="K823">
        <f>IF(COUNTIFS(INDEX(Table_Sales[order_id],1):Table_Sales[[#This Row],[order_id]],Table_Sales[[#This Row],[order_id]])=1,1,0)</f>
        <v>1</v>
      </c>
      <c r="L82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824" spans="1:12" x14ac:dyDescent="0.25">
      <c r="A824" t="s">
        <v>96</v>
      </c>
      <c r="B824" s="1">
        <v>154</v>
      </c>
      <c r="C824" s="1">
        <v>-85</v>
      </c>
      <c r="D824">
        <v>3</v>
      </c>
      <c r="E824" t="s">
        <v>12</v>
      </c>
      <c r="F824" t="s">
        <v>13</v>
      </c>
      <c r="G824" t="s">
        <v>14</v>
      </c>
      <c r="H824">
        <f>IF(Table_Sales[[#This Row],[profit]]&lt;0,1,0)</f>
        <v>1</v>
      </c>
      <c r="I824" t="str" cm="1">
        <f t="array" ref="I824">_xlfn.IFS(Table_Sales[[#This Row],[quantity]]&lt;=3,"1-3",Table_Sales[[#This Row],[quantity]]&lt;=7,"2-7",Table_Sales[[#This Row],[quantity]]&lt;=10,"8-10",TRUE,"11 and above")</f>
        <v>1-3</v>
      </c>
      <c r="J824" t="str" cm="1">
        <f t="array" ref="J824">_xlfn.IFS(Table_Sales[[#This Row],[amount]]&lt;1000,"Under 1000",Table_Sales[[#This Row],[amount]]&lt;3000,"1000 - 2999",Table_Sales[[#This Row],[amount]]&lt;5000,"3000 - 4999",TRUE,"5000 &amp; above")</f>
        <v>Under 1000</v>
      </c>
      <c r="K824">
        <f>IF(COUNTIFS(INDEX(Table_Sales[order_id],1):Table_Sales[[#This Row],[order_id]],Table_Sales[[#This Row],[order_id]])=1,1,0)</f>
        <v>0</v>
      </c>
      <c r="L82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825" spans="1:12" x14ac:dyDescent="0.25">
      <c r="A825" t="s">
        <v>152</v>
      </c>
      <c r="B825" s="1">
        <v>191</v>
      </c>
      <c r="C825" s="1">
        <v>13</v>
      </c>
      <c r="D825">
        <v>8</v>
      </c>
      <c r="E825" t="s">
        <v>12</v>
      </c>
      <c r="F825" t="s">
        <v>131</v>
      </c>
      <c r="G825" t="s">
        <v>10</v>
      </c>
      <c r="H825">
        <f>IF(Table_Sales[[#This Row],[profit]]&lt;0,1,0)</f>
        <v>0</v>
      </c>
      <c r="I825" t="str" cm="1">
        <f t="array" ref="I825">_xlfn.IFS(Table_Sales[[#This Row],[quantity]]&lt;=3,"1-3",Table_Sales[[#This Row],[quantity]]&lt;=7,"2-7",Table_Sales[[#This Row],[quantity]]&lt;=10,"8-10",TRUE,"11 and above")</f>
        <v>8-10</v>
      </c>
      <c r="J825" t="str" cm="1">
        <f t="array" ref="J825">_xlfn.IFS(Table_Sales[[#This Row],[amount]]&lt;1000,"Under 1000",Table_Sales[[#This Row],[amount]]&lt;3000,"1000 - 2999",Table_Sales[[#This Row],[amount]]&lt;5000,"3000 - 4999",TRUE,"5000 &amp; above")</f>
        <v>Under 1000</v>
      </c>
      <c r="K825">
        <f>IF(COUNTIFS(INDEX(Table_Sales[order_id],1):Table_Sales[[#This Row],[order_id]],Table_Sales[[#This Row],[order_id]])=1,1,0)</f>
        <v>0</v>
      </c>
      <c r="L82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826" spans="1:12" x14ac:dyDescent="0.25">
      <c r="A826" t="s">
        <v>403</v>
      </c>
      <c r="B826" s="1">
        <v>170</v>
      </c>
      <c r="C826" s="1">
        <v>19</v>
      </c>
      <c r="D826">
        <v>5</v>
      </c>
      <c r="E826" t="s">
        <v>23</v>
      </c>
      <c r="F826" t="s">
        <v>81</v>
      </c>
      <c r="G826" t="s">
        <v>28</v>
      </c>
      <c r="H826">
        <f>IF(Table_Sales[[#This Row],[profit]]&lt;0,1,0)</f>
        <v>0</v>
      </c>
      <c r="I826" t="str" cm="1">
        <f t="array" ref="I826">_xlfn.IFS(Table_Sales[[#This Row],[quantity]]&lt;=3,"1-3",Table_Sales[[#This Row],[quantity]]&lt;=7,"2-7",Table_Sales[[#This Row],[quantity]]&lt;=10,"8-10",TRUE,"11 and above")</f>
        <v>2-7</v>
      </c>
      <c r="J826" t="str" cm="1">
        <f t="array" ref="J826">_xlfn.IFS(Table_Sales[[#This Row],[amount]]&lt;1000,"Under 1000",Table_Sales[[#This Row],[amount]]&lt;3000,"1000 - 2999",Table_Sales[[#This Row],[amount]]&lt;5000,"3000 - 4999",TRUE,"5000 &amp; above")</f>
        <v>Under 1000</v>
      </c>
      <c r="K826">
        <f>IF(COUNTIFS(INDEX(Table_Sales[order_id],1):Table_Sales[[#This Row],[order_id]],Table_Sales[[#This Row],[order_id]])=1,1,0)</f>
        <v>0</v>
      </c>
      <c r="L82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827" spans="1:12" x14ac:dyDescent="0.25">
      <c r="A827" t="s">
        <v>67</v>
      </c>
      <c r="B827" s="1">
        <v>47</v>
      </c>
      <c r="C827" s="1">
        <v>-3</v>
      </c>
      <c r="D827">
        <v>2</v>
      </c>
      <c r="E827" t="s">
        <v>23</v>
      </c>
      <c r="F827" t="s">
        <v>57</v>
      </c>
      <c r="G827" t="s">
        <v>28</v>
      </c>
      <c r="H827">
        <f>IF(Table_Sales[[#This Row],[profit]]&lt;0,1,0)</f>
        <v>1</v>
      </c>
      <c r="I827" t="str" cm="1">
        <f t="array" ref="I827">_xlfn.IFS(Table_Sales[[#This Row],[quantity]]&lt;=3,"1-3",Table_Sales[[#This Row],[quantity]]&lt;=7,"2-7",Table_Sales[[#This Row],[quantity]]&lt;=10,"8-10",TRUE,"11 and above")</f>
        <v>1-3</v>
      </c>
      <c r="J827" t="str" cm="1">
        <f t="array" ref="J827">_xlfn.IFS(Table_Sales[[#This Row],[amount]]&lt;1000,"Under 1000",Table_Sales[[#This Row],[amount]]&lt;3000,"1000 - 2999",Table_Sales[[#This Row],[amount]]&lt;5000,"3000 - 4999",TRUE,"5000 &amp; above")</f>
        <v>Under 1000</v>
      </c>
      <c r="K827">
        <f>IF(COUNTIFS(INDEX(Table_Sales[order_id],1):Table_Sales[[#This Row],[order_id]],Table_Sales[[#This Row],[order_id]])=1,1,0)</f>
        <v>0</v>
      </c>
      <c r="L82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828" spans="1:12" x14ac:dyDescent="0.25">
      <c r="A828" t="s">
        <v>78</v>
      </c>
      <c r="B828" s="1">
        <v>122</v>
      </c>
      <c r="C828" s="1">
        <v>-47</v>
      </c>
      <c r="D828">
        <v>4</v>
      </c>
      <c r="E828" t="s">
        <v>23</v>
      </c>
      <c r="F828" t="s">
        <v>26</v>
      </c>
      <c r="G828" t="s">
        <v>14</v>
      </c>
      <c r="H828">
        <f>IF(Table_Sales[[#This Row],[profit]]&lt;0,1,0)</f>
        <v>1</v>
      </c>
      <c r="I828" t="str" cm="1">
        <f t="array" ref="I828">_xlfn.IFS(Table_Sales[[#This Row],[quantity]]&lt;=3,"1-3",Table_Sales[[#This Row],[quantity]]&lt;=7,"2-7",Table_Sales[[#This Row],[quantity]]&lt;=10,"8-10",TRUE,"11 and above")</f>
        <v>2-7</v>
      </c>
      <c r="J828" t="str" cm="1">
        <f t="array" ref="J828">_xlfn.IFS(Table_Sales[[#This Row],[amount]]&lt;1000,"Under 1000",Table_Sales[[#This Row],[amount]]&lt;3000,"1000 - 2999",Table_Sales[[#This Row],[amount]]&lt;5000,"3000 - 4999",TRUE,"5000 &amp; above")</f>
        <v>Under 1000</v>
      </c>
      <c r="K828">
        <f>IF(COUNTIFS(INDEX(Table_Sales[order_id],1):Table_Sales[[#This Row],[order_id]],Table_Sales[[#This Row],[order_id]])=1,1,0)</f>
        <v>0</v>
      </c>
      <c r="L82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829" spans="1:12" x14ac:dyDescent="0.25">
      <c r="A829" t="s">
        <v>330</v>
      </c>
      <c r="B829" s="1">
        <v>70</v>
      </c>
      <c r="C829" s="1">
        <v>26</v>
      </c>
      <c r="D829">
        <v>5</v>
      </c>
      <c r="E829" t="s">
        <v>23</v>
      </c>
      <c r="F829" t="s">
        <v>30</v>
      </c>
      <c r="G829" t="s">
        <v>10</v>
      </c>
      <c r="H829">
        <f>IF(Table_Sales[[#This Row],[profit]]&lt;0,1,0)</f>
        <v>0</v>
      </c>
      <c r="I829" t="str" cm="1">
        <f t="array" ref="I829">_xlfn.IFS(Table_Sales[[#This Row],[quantity]]&lt;=3,"1-3",Table_Sales[[#This Row],[quantity]]&lt;=7,"2-7",Table_Sales[[#This Row],[quantity]]&lt;=10,"8-10",TRUE,"11 and above")</f>
        <v>2-7</v>
      </c>
      <c r="J829" t="str" cm="1">
        <f t="array" ref="J829">_xlfn.IFS(Table_Sales[[#This Row],[amount]]&lt;1000,"Under 1000",Table_Sales[[#This Row],[amount]]&lt;3000,"1000 - 2999",Table_Sales[[#This Row],[amount]]&lt;5000,"3000 - 4999",TRUE,"5000 &amp; above")</f>
        <v>Under 1000</v>
      </c>
      <c r="K829">
        <f>IF(COUNTIFS(INDEX(Table_Sales[order_id],1):Table_Sales[[#This Row],[order_id]],Table_Sales[[#This Row],[order_id]])=1,1,0)</f>
        <v>0</v>
      </c>
      <c r="L82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830" spans="1:12" x14ac:dyDescent="0.25">
      <c r="A830" t="s">
        <v>263</v>
      </c>
      <c r="B830" s="1">
        <v>155</v>
      </c>
      <c r="C830" s="1">
        <v>5</v>
      </c>
      <c r="D830">
        <v>3</v>
      </c>
      <c r="E830" t="s">
        <v>23</v>
      </c>
      <c r="F830" t="s">
        <v>57</v>
      </c>
      <c r="G830" t="s">
        <v>14</v>
      </c>
      <c r="H830">
        <f>IF(Table_Sales[[#This Row],[profit]]&lt;0,1,0)</f>
        <v>0</v>
      </c>
      <c r="I830" t="str" cm="1">
        <f t="array" ref="I830">_xlfn.IFS(Table_Sales[[#This Row],[quantity]]&lt;=3,"1-3",Table_Sales[[#This Row],[quantity]]&lt;=7,"2-7",Table_Sales[[#This Row],[quantity]]&lt;=10,"8-10",TRUE,"11 and above")</f>
        <v>1-3</v>
      </c>
      <c r="J830" t="str" cm="1">
        <f t="array" ref="J830">_xlfn.IFS(Table_Sales[[#This Row],[amount]]&lt;1000,"Under 1000",Table_Sales[[#This Row],[amount]]&lt;3000,"1000 - 2999",Table_Sales[[#This Row],[amount]]&lt;5000,"3000 - 4999",TRUE,"5000 &amp; above")</f>
        <v>Under 1000</v>
      </c>
      <c r="K830">
        <f>IF(COUNTIFS(INDEX(Table_Sales[order_id],1):Table_Sales[[#This Row],[order_id]],Table_Sales[[#This Row],[order_id]])=1,1,0)</f>
        <v>0</v>
      </c>
      <c r="L83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831" spans="1:12" x14ac:dyDescent="0.25">
      <c r="A831" t="s">
        <v>420</v>
      </c>
      <c r="B831" s="1">
        <v>67</v>
      </c>
      <c r="C831" s="1">
        <v>-86</v>
      </c>
      <c r="D831">
        <v>9</v>
      </c>
      <c r="E831" t="s">
        <v>12</v>
      </c>
      <c r="F831" t="s">
        <v>131</v>
      </c>
      <c r="G831" t="s">
        <v>10</v>
      </c>
      <c r="H831">
        <f>IF(Table_Sales[[#This Row],[profit]]&lt;0,1,0)</f>
        <v>1</v>
      </c>
      <c r="I831" t="str" cm="1">
        <f t="array" ref="I831">_xlfn.IFS(Table_Sales[[#This Row],[quantity]]&lt;=3,"1-3",Table_Sales[[#This Row],[quantity]]&lt;=7,"2-7",Table_Sales[[#This Row],[quantity]]&lt;=10,"8-10",TRUE,"11 and above")</f>
        <v>8-10</v>
      </c>
      <c r="J831" t="str" cm="1">
        <f t="array" ref="J831">_xlfn.IFS(Table_Sales[[#This Row],[amount]]&lt;1000,"Under 1000",Table_Sales[[#This Row],[amount]]&lt;3000,"1000 - 2999",Table_Sales[[#This Row],[amount]]&lt;5000,"3000 - 4999",TRUE,"5000 &amp; above")</f>
        <v>Under 1000</v>
      </c>
      <c r="K831">
        <f>IF(COUNTIFS(INDEX(Table_Sales[order_id],1):Table_Sales[[#This Row],[order_id]],Table_Sales[[#This Row],[order_id]])=1,1,0)</f>
        <v>1</v>
      </c>
      <c r="L83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832" spans="1:12" x14ac:dyDescent="0.25">
      <c r="A832" t="s">
        <v>99</v>
      </c>
      <c r="B832" s="1">
        <v>67</v>
      </c>
      <c r="C832" s="1">
        <v>-42</v>
      </c>
      <c r="D832">
        <v>3</v>
      </c>
      <c r="E832" t="s">
        <v>23</v>
      </c>
      <c r="F832" t="s">
        <v>57</v>
      </c>
      <c r="G832" t="s">
        <v>10</v>
      </c>
      <c r="H832">
        <f>IF(Table_Sales[[#This Row],[profit]]&lt;0,1,0)</f>
        <v>1</v>
      </c>
      <c r="I832" t="str" cm="1">
        <f t="array" ref="I832">_xlfn.IFS(Table_Sales[[#This Row],[quantity]]&lt;=3,"1-3",Table_Sales[[#This Row],[quantity]]&lt;=7,"2-7",Table_Sales[[#This Row],[quantity]]&lt;=10,"8-10",TRUE,"11 and above")</f>
        <v>1-3</v>
      </c>
      <c r="J832" t="str" cm="1">
        <f t="array" ref="J832">_xlfn.IFS(Table_Sales[[#This Row],[amount]]&lt;1000,"Under 1000",Table_Sales[[#This Row],[amount]]&lt;3000,"1000 - 2999",Table_Sales[[#This Row],[amount]]&lt;5000,"3000 - 4999",TRUE,"5000 &amp; above")</f>
        <v>Under 1000</v>
      </c>
      <c r="K832">
        <f>IF(COUNTIFS(INDEX(Table_Sales[order_id],1):Table_Sales[[#This Row],[order_id]],Table_Sales[[#This Row],[order_id]])=1,1,0)</f>
        <v>0</v>
      </c>
      <c r="L83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833" spans="1:12" x14ac:dyDescent="0.25">
      <c r="A833" t="s">
        <v>64</v>
      </c>
      <c r="B833" s="1">
        <v>148</v>
      </c>
      <c r="C833" s="1">
        <v>-101</v>
      </c>
      <c r="D833">
        <v>2</v>
      </c>
      <c r="E833" t="s">
        <v>12</v>
      </c>
      <c r="F833" t="s">
        <v>16</v>
      </c>
      <c r="G833" t="s">
        <v>28</v>
      </c>
      <c r="H833">
        <f>IF(Table_Sales[[#This Row],[profit]]&lt;0,1,0)</f>
        <v>1</v>
      </c>
      <c r="I833" t="str" cm="1">
        <f t="array" ref="I833">_xlfn.IFS(Table_Sales[[#This Row],[quantity]]&lt;=3,"1-3",Table_Sales[[#This Row],[quantity]]&lt;=7,"2-7",Table_Sales[[#This Row],[quantity]]&lt;=10,"8-10",TRUE,"11 and above")</f>
        <v>1-3</v>
      </c>
      <c r="J833" t="str" cm="1">
        <f t="array" ref="J833">_xlfn.IFS(Table_Sales[[#This Row],[amount]]&lt;1000,"Under 1000",Table_Sales[[#This Row],[amount]]&lt;3000,"1000 - 2999",Table_Sales[[#This Row],[amount]]&lt;5000,"3000 - 4999",TRUE,"5000 &amp; above")</f>
        <v>Under 1000</v>
      </c>
      <c r="K833">
        <f>IF(COUNTIFS(INDEX(Table_Sales[order_id],1):Table_Sales[[#This Row],[order_id]],Table_Sales[[#This Row],[order_id]])=1,1,0)</f>
        <v>0</v>
      </c>
      <c r="L83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834" spans="1:12" x14ac:dyDescent="0.25">
      <c r="A834" t="s">
        <v>228</v>
      </c>
      <c r="B834" s="1">
        <v>122</v>
      </c>
      <c r="C834" s="1">
        <v>38</v>
      </c>
      <c r="D834">
        <v>6</v>
      </c>
      <c r="E834" t="s">
        <v>23</v>
      </c>
      <c r="F834" t="s">
        <v>81</v>
      </c>
      <c r="G834" t="s">
        <v>19</v>
      </c>
      <c r="H834">
        <f>IF(Table_Sales[[#This Row],[profit]]&lt;0,1,0)</f>
        <v>0</v>
      </c>
      <c r="I834" t="str" cm="1">
        <f t="array" ref="I834">_xlfn.IFS(Table_Sales[[#This Row],[quantity]]&lt;=3,"1-3",Table_Sales[[#This Row],[quantity]]&lt;=7,"2-7",Table_Sales[[#This Row],[quantity]]&lt;=10,"8-10",TRUE,"11 and above")</f>
        <v>2-7</v>
      </c>
      <c r="J834" t="str" cm="1">
        <f t="array" ref="J834">_xlfn.IFS(Table_Sales[[#This Row],[amount]]&lt;1000,"Under 1000",Table_Sales[[#This Row],[amount]]&lt;3000,"1000 - 2999",Table_Sales[[#This Row],[amount]]&lt;5000,"3000 - 4999",TRUE,"5000 &amp; above")</f>
        <v>Under 1000</v>
      </c>
      <c r="K834">
        <f>IF(COUNTIFS(INDEX(Table_Sales[order_id],1):Table_Sales[[#This Row],[order_id]],Table_Sales[[#This Row],[order_id]])=1,1,0)</f>
        <v>0</v>
      </c>
      <c r="L83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835" spans="1:12" x14ac:dyDescent="0.25">
      <c r="A835" t="s">
        <v>421</v>
      </c>
      <c r="B835" s="1">
        <v>16</v>
      </c>
      <c r="C835" s="1">
        <v>-5</v>
      </c>
      <c r="D835">
        <v>2</v>
      </c>
      <c r="E835" t="s">
        <v>23</v>
      </c>
      <c r="F835" t="s">
        <v>57</v>
      </c>
      <c r="G835" t="s">
        <v>28</v>
      </c>
      <c r="H835">
        <f>IF(Table_Sales[[#This Row],[profit]]&lt;0,1,0)</f>
        <v>1</v>
      </c>
      <c r="I835" t="str" cm="1">
        <f t="array" ref="I835">_xlfn.IFS(Table_Sales[[#This Row],[quantity]]&lt;=3,"1-3",Table_Sales[[#This Row],[quantity]]&lt;=7,"2-7",Table_Sales[[#This Row],[quantity]]&lt;=10,"8-10",TRUE,"11 and above")</f>
        <v>1-3</v>
      </c>
      <c r="J835" t="str" cm="1">
        <f t="array" ref="J835">_xlfn.IFS(Table_Sales[[#This Row],[amount]]&lt;1000,"Under 1000",Table_Sales[[#This Row],[amount]]&lt;3000,"1000 - 2999",Table_Sales[[#This Row],[amount]]&lt;5000,"3000 - 4999",TRUE,"5000 &amp; above")</f>
        <v>Under 1000</v>
      </c>
      <c r="K835">
        <f>IF(COUNTIFS(INDEX(Table_Sales[order_id],1):Table_Sales[[#This Row],[order_id]],Table_Sales[[#This Row],[order_id]])=1,1,0)</f>
        <v>1</v>
      </c>
      <c r="L83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836" spans="1:12" x14ac:dyDescent="0.25">
      <c r="A836" t="s">
        <v>205</v>
      </c>
      <c r="B836" s="1">
        <v>121</v>
      </c>
      <c r="C836" s="1">
        <v>-17</v>
      </c>
      <c r="D836">
        <v>3</v>
      </c>
      <c r="E836" t="s">
        <v>12</v>
      </c>
      <c r="F836" t="s">
        <v>131</v>
      </c>
      <c r="G836" t="s">
        <v>19</v>
      </c>
      <c r="H836">
        <f>IF(Table_Sales[[#This Row],[profit]]&lt;0,1,0)</f>
        <v>1</v>
      </c>
      <c r="I836" t="str" cm="1">
        <f t="array" ref="I836">_xlfn.IFS(Table_Sales[[#This Row],[quantity]]&lt;=3,"1-3",Table_Sales[[#This Row],[quantity]]&lt;=7,"2-7",Table_Sales[[#This Row],[quantity]]&lt;=10,"8-10",TRUE,"11 and above")</f>
        <v>1-3</v>
      </c>
      <c r="J836" t="str" cm="1">
        <f t="array" ref="J836">_xlfn.IFS(Table_Sales[[#This Row],[amount]]&lt;1000,"Under 1000",Table_Sales[[#This Row],[amount]]&lt;3000,"1000 - 2999",Table_Sales[[#This Row],[amount]]&lt;5000,"3000 - 4999",TRUE,"5000 &amp; above")</f>
        <v>Under 1000</v>
      </c>
      <c r="K836">
        <f>IF(COUNTIFS(INDEX(Table_Sales[order_id],1):Table_Sales[[#This Row],[order_id]],Table_Sales[[#This Row],[order_id]])=1,1,0)</f>
        <v>0</v>
      </c>
      <c r="L83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837" spans="1:12" x14ac:dyDescent="0.25">
      <c r="A837" t="s">
        <v>141</v>
      </c>
      <c r="B837" s="1">
        <v>42</v>
      </c>
      <c r="C837" s="1">
        <v>-15</v>
      </c>
      <c r="D837">
        <v>12</v>
      </c>
      <c r="E837" t="s">
        <v>23</v>
      </c>
      <c r="F837" t="s">
        <v>43</v>
      </c>
      <c r="G837" t="s">
        <v>28</v>
      </c>
      <c r="H837">
        <f>IF(Table_Sales[[#This Row],[profit]]&lt;0,1,0)</f>
        <v>1</v>
      </c>
      <c r="I837" t="str" cm="1">
        <f t="array" ref="I837">_xlfn.IFS(Table_Sales[[#This Row],[quantity]]&lt;=3,"1-3",Table_Sales[[#This Row],[quantity]]&lt;=7,"2-7",Table_Sales[[#This Row],[quantity]]&lt;=10,"8-10",TRUE,"11 and above")</f>
        <v>11 and above</v>
      </c>
      <c r="J837" t="str" cm="1">
        <f t="array" ref="J837">_xlfn.IFS(Table_Sales[[#This Row],[amount]]&lt;1000,"Under 1000",Table_Sales[[#This Row],[amount]]&lt;3000,"1000 - 2999",Table_Sales[[#This Row],[amount]]&lt;5000,"3000 - 4999",TRUE,"5000 &amp; above")</f>
        <v>Under 1000</v>
      </c>
      <c r="K837">
        <f>IF(COUNTIFS(INDEX(Table_Sales[order_id],1):Table_Sales[[#This Row],[order_id]],Table_Sales[[#This Row],[order_id]])=1,1,0)</f>
        <v>0</v>
      </c>
      <c r="L83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838" spans="1:12" x14ac:dyDescent="0.25">
      <c r="A838" t="s">
        <v>262</v>
      </c>
      <c r="B838" s="1">
        <v>65</v>
      </c>
      <c r="C838" s="1">
        <v>-4</v>
      </c>
      <c r="D838">
        <v>6</v>
      </c>
      <c r="E838" t="s">
        <v>23</v>
      </c>
      <c r="F838" t="s">
        <v>30</v>
      </c>
      <c r="G838" t="s">
        <v>10</v>
      </c>
      <c r="H838">
        <f>IF(Table_Sales[[#This Row],[profit]]&lt;0,1,0)</f>
        <v>1</v>
      </c>
      <c r="I838" t="str" cm="1">
        <f t="array" ref="I838">_xlfn.IFS(Table_Sales[[#This Row],[quantity]]&lt;=3,"1-3",Table_Sales[[#This Row],[quantity]]&lt;=7,"2-7",Table_Sales[[#This Row],[quantity]]&lt;=10,"8-10",TRUE,"11 and above")</f>
        <v>2-7</v>
      </c>
      <c r="J838" t="str" cm="1">
        <f t="array" ref="J838">_xlfn.IFS(Table_Sales[[#This Row],[amount]]&lt;1000,"Under 1000",Table_Sales[[#This Row],[amount]]&lt;3000,"1000 - 2999",Table_Sales[[#This Row],[amount]]&lt;5000,"3000 - 4999",TRUE,"5000 &amp; above")</f>
        <v>Under 1000</v>
      </c>
      <c r="K838">
        <f>IF(COUNTIFS(INDEX(Table_Sales[order_id],1):Table_Sales[[#This Row],[order_id]],Table_Sales[[#This Row],[order_id]])=1,1,0)</f>
        <v>0</v>
      </c>
      <c r="L83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839" spans="1:12" x14ac:dyDescent="0.25">
      <c r="A839" t="s">
        <v>386</v>
      </c>
      <c r="B839" s="1">
        <v>119</v>
      </c>
      <c r="C839" s="1">
        <v>-43</v>
      </c>
      <c r="D839">
        <v>7</v>
      </c>
      <c r="E839" t="s">
        <v>23</v>
      </c>
      <c r="F839" t="s">
        <v>32</v>
      </c>
      <c r="G839" t="s">
        <v>19</v>
      </c>
      <c r="H839">
        <f>IF(Table_Sales[[#This Row],[profit]]&lt;0,1,0)</f>
        <v>1</v>
      </c>
      <c r="I839" t="str" cm="1">
        <f t="array" ref="I839">_xlfn.IFS(Table_Sales[[#This Row],[quantity]]&lt;=3,"1-3",Table_Sales[[#This Row],[quantity]]&lt;=7,"2-7",Table_Sales[[#This Row],[quantity]]&lt;=10,"8-10",TRUE,"11 and above")</f>
        <v>2-7</v>
      </c>
      <c r="J839" t="str" cm="1">
        <f t="array" ref="J839">_xlfn.IFS(Table_Sales[[#This Row],[amount]]&lt;1000,"Under 1000",Table_Sales[[#This Row],[amount]]&lt;3000,"1000 - 2999",Table_Sales[[#This Row],[amount]]&lt;5000,"3000 - 4999",TRUE,"5000 &amp; above")</f>
        <v>Under 1000</v>
      </c>
      <c r="K839">
        <f>IF(COUNTIFS(INDEX(Table_Sales[order_id],1):Table_Sales[[#This Row],[order_id]],Table_Sales[[#This Row],[order_id]])=1,1,0)</f>
        <v>0</v>
      </c>
      <c r="L83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840" spans="1:12" x14ac:dyDescent="0.25">
      <c r="A840" t="s">
        <v>400</v>
      </c>
      <c r="B840" s="1">
        <v>155</v>
      </c>
      <c r="C840" s="1">
        <v>56</v>
      </c>
      <c r="D840">
        <v>3</v>
      </c>
      <c r="E840" t="s">
        <v>12</v>
      </c>
      <c r="F840" t="s">
        <v>131</v>
      </c>
      <c r="G840" t="s">
        <v>14</v>
      </c>
      <c r="H840">
        <f>IF(Table_Sales[[#This Row],[profit]]&lt;0,1,0)</f>
        <v>0</v>
      </c>
      <c r="I840" t="str" cm="1">
        <f t="array" ref="I840">_xlfn.IFS(Table_Sales[[#This Row],[quantity]]&lt;=3,"1-3",Table_Sales[[#This Row],[quantity]]&lt;=7,"2-7",Table_Sales[[#This Row],[quantity]]&lt;=10,"8-10",TRUE,"11 and above")</f>
        <v>1-3</v>
      </c>
      <c r="J840" t="str" cm="1">
        <f t="array" ref="J840">_xlfn.IFS(Table_Sales[[#This Row],[amount]]&lt;1000,"Under 1000",Table_Sales[[#This Row],[amount]]&lt;3000,"1000 - 2999",Table_Sales[[#This Row],[amount]]&lt;5000,"3000 - 4999",TRUE,"5000 &amp; above")</f>
        <v>Under 1000</v>
      </c>
      <c r="K840">
        <f>IF(COUNTIFS(INDEX(Table_Sales[order_id],1):Table_Sales[[#This Row],[order_id]],Table_Sales[[#This Row],[order_id]])=1,1,0)</f>
        <v>0</v>
      </c>
      <c r="L84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841" spans="1:12" x14ac:dyDescent="0.25">
      <c r="A841" t="s">
        <v>20</v>
      </c>
      <c r="B841" s="1">
        <v>119</v>
      </c>
      <c r="C841" s="1">
        <v>-5</v>
      </c>
      <c r="D841">
        <v>8</v>
      </c>
      <c r="E841" t="s">
        <v>23</v>
      </c>
      <c r="F841" t="s">
        <v>26</v>
      </c>
      <c r="G841" t="s">
        <v>19</v>
      </c>
      <c r="H841">
        <f>IF(Table_Sales[[#This Row],[profit]]&lt;0,1,0)</f>
        <v>1</v>
      </c>
      <c r="I841" t="str" cm="1">
        <f t="array" ref="I841">_xlfn.IFS(Table_Sales[[#This Row],[quantity]]&lt;=3,"1-3",Table_Sales[[#This Row],[quantity]]&lt;=7,"2-7",Table_Sales[[#This Row],[quantity]]&lt;=10,"8-10",TRUE,"11 and above")</f>
        <v>8-10</v>
      </c>
      <c r="J841" t="str" cm="1">
        <f t="array" ref="J841">_xlfn.IFS(Table_Sales[[#This Row],[amount]]&lt;1000,"Under 1000",Table_Sales[[#This Row],[amount]]&lt;3000,"1000 - 2999",Table_Sales[[#This Row],[amount]]&lt;5000,"3000 - 4999",TRUE,"5000 &amp; above")</f>
        <v>Under 1000</v>
      </c>
      <c r="K841">
        <f>IF(COUNTIFS(INDEX(Table_Sales[order_id],1):Table_Sales[[#This Row],[order_id]],Table_Sales[[#This Row],[order_id]])=1,1,0)</f>
        <v>0</v>
      </c>
      <c r="L84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842" spans="1:12" x14ac:dyDescent="0.25">
      <c r="A842" t="s">
        <v>422</v>
      </c>
      <c r="B842" s="1">
        <v>118</v>
      </c>
      <c r="C842" s="1">
        <v>25</v>
      </c>
      <c r="D842">
        <v>4</v>
      </c>
      <c r="E842" t="s">
        <v>23</v>
      </c>
      <c r="F842" t="s">
        <v>30</v>
      </c>
      <c r="G842" t="s">
        <v>19</v>
      </c>
      <c r="H842">
        <f>IF(Table_Sales[[#This Row],[profit]]&lt;0,1,0)</f>
        <v>0</v>
      </c>
      <c r="I842" t="str" cm="1">
        <f t="array" ref="I842">_xlfn.IFS(Table_Sales[[#This Row],[quantity]]&lt;=3,"1-3",Table_Sales[[#This Row],[quantity]]&lt;=7,"2-7",Table_Sales[[#This Row],[quantity]]&lt;=10,"8-10",TRUE,"11 and above")</f>
        <v>2-7</v>
      </c>
      <c r="J842" t="str" cm="1">
        <f t="array" ref="J842">_xlfn.IFS(Table_Sales[[#This Row],[amount]]&lt;1000,"Under 1000",Table_Sales[[#This Row],[amount]]&lt;3000,"1000 - 2999",Table_Sales[[#This Row],[amount]]&lt;5000,"3000 - 4999",TRUE,"5000 &amp; above")</f>
        <v>Under 1000</v>
      </c>
      <c r="K842">
        <f>IF(COUNTIFS(INDEX(Table_Sales[order_id],1):Table_Sales[[#This Row],[order_id]],Table_Sales[[#This Row],[order_id]])=1,1,0)</f>
        <v>1</v>
      </c>
      <c r="L84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843" spans="1:12" x14ac:dyDescent="0.25">
      <c r="A843" t="s">
        <v>132</v>
      </c>
      <c r="B843" s="1">
        <v>116</v>
      </c>
      <c r="C843" s="1">
        <v>22</v>
      </c>
      <c r="D843">
        <v>1</v>
      </c>
      <c r="E843" t="s">
        <v>8</v>
      </c>
      <c r="F843" t="s">
        <v>73</v>
      </c>
      <c r="G843" t="s">
        <v>19</v>
      </c>
      <c r="H843">
        <f>IF(Table_Sales[[#This Row],[profit]]&lt;0,1,0)</f>
        <v>0</v>
      </c>
      <c r="I843" t="str" cm="1">
        <f t="array" ref="I843">_xlfn.IFS(Table_Sales[[#This Row],[quantity]]&lt;=3,"1-3",Table_Sales[[#This Row],[quantity]]&lt;=7,"2-7",Table_Sales[[#This Row],[quantity]]&lt;=10,"8-10",TRUE,"11 and above")</f>
        <v>1-3</v>
      </c>
      <c r="J843" t="str" cm="1">
        <f t="array" ref="J843">_xlfn.IFS(Table_Sales[[#This Row],[amount]]&lt;1000,"Under 1000",Table_Sales[[#This Row],[amount]]&lt;3000,"1000 - 2999",Table_Sales[[#This Row],[amount]]&lt;5000,"3000 - 4999",TRUE,"5000 &amp; above")</f>
        <v>Under 1000</v>
      </c>
      <c r="K843">
        <f>IF(COUNTIFS(INDEX(Table_Sales[order_id],1):Table_Sales[[#This Row],[order_id]],Table_Sales[[#This Row],[order_id]])=1,1,0)</f>
        <v>0</v>
      </c>
      <c r="L84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844" spans="1:12" x14ac:dyDescent="0.25">
      <c r="A844" t="s">
        <v>46</v>
      </c>
      <c r="B844" s="1">
        <v>158</v>
      </c>
      <c r="C844" s="1">
        <v>-29</v>
      </c>
      <c r="D844">
        <v>10</v>
      </c>
      <c r="E844" t="s">
        <v>23</v>
      </c>
      <c r="F844" t="s">
        <v>30</v>
      </c>
      <c r="G844" t="s">
        <v>14</v>
      </c>
      <c r="H844">
        <f>IF(Table_Sales[[#This Row],[profit]]&lt;0,1,0)</f>
        <v>1</v>
      </c>
      <c r="I844" t="str" cm="1">
        <f t="array" ref="I844">_xlfn.IFS(Table_Sales[[#This Row],[quantity]]&lt;=3,"1-3",Table_Sales[[#This Row],[quantity]]&lt;=7,"2-7",Table_Sales[[#This Row],[quantity]]&lt;=10,"8-10",TRUE,"11 and above")</f>
        <v>8-10</v>
      </c>
      <c r="J844" t="str" cm="1">
        <f t="array" ref="J844">_xlfn.IFS(Table_Sales[[#This Row],[amount]]&lt;1000,"Under 1000",Table_Sales[[#This Row],[amount]]&lt;3000,"1000 - 2999",Table_Sales[[#This Row],[amount]]&lt;5000,"3000 - 4999",TRUE,"5000 &amp; above")</f>
        <v>Under 1000</v>
      </c>
      <c r="K844">
        <f>IF(COUNTIFS(INDEX(Table_Sales[order_id],1):Table_Sales[[#This Row],[order_id]],Table_Sales[[#This Row],[order_id]])=1,1,0)</f>
        <v>0</v>
      </c>
      <c r="L84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845" spans="1:12" x14ac:dyDescent="0.25">
      <c r="A845" t="s">
        <v>323</v>
      </c>
      <c r="B845" s="1">
        <v>158</v>
      </c>
      <c r="C845" s="1">
        <v>69</v>
      </c>
      <c r="D845">
        <v>3</v>
      </c>
      <c r="E845" t="s">
        <v>23</v>
      </c>
      <c r="F845" t="s">
        <v>57</v>
      </c>
      <c r="G845" t="s">
        <v>14</v>
      </c>
      <c r="H845">
        <f>IF(Table_Sales[[#This Row],[profit]]&lt;0,1,0)</f>
        <v>0</v>
      </c>
      <c r="I845" t="str" cm="1">
        <f t="array" ref="I845">_xlfn.IFS(Table_Sales[[#This Row],[quantity]]&lt;=3,"1-3",Table_Sales[[#This Row],[quantity]]&lt;=7,"2-7",Table_Sales[[#This Row],[quantity]]&lt;=10,"8-10",TRUE,"11 and above")</f>
        <v>1-3</v>
      </c>
      <c r="J845" t="str" cm="1">
        <f t="array" ref="J845">_xlfn.IFS(Table_Sales[[#This Row],[amount]]&lt;1000,"Under 1000",Table_Sales[[#This Row],[amount]]&lt;3000,"1000 - 2999",Table_Sales[[#This Row],[amount]]&lt;5000,"3000 - 4999",TRUE,"5000 &amp; above")</f>
        <v>Under 1000</v>
      </c>
      <c r="K845">
        <f>IF(COUNTIFS(INDEX(Table_Sales[order_id],1):Table_Sales[[#This Row],[order_id]],Table_Sales[[#This Row],[order_id]])=1,1,0)</f>
        <v>0</v>
      </c>
      <c r="L84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846" spans="1:12" x14ac:dyDescent="0.25">
      <c r="A846" t="s">
        <v>288</v>
      </c>
      <c r="B846" s="1">
        <v>65</v>
      </c>
      <c r="C846" s="1">
        <v>-52</v>
      </c>
      <c r="D846">
        <v>3</v>
      </c>
      <c r="E846" t="s">
        <v>8</v>
      </c>
      <c r="F846" t="s">
        <v>73</v>
      </c>
      <c r="G846" t="s">
        <v>10</v>
      </c>
      <c r="H846">
        <f>IF(Table_Sales[[#This Row],[profit]]&lt;0,1,0)</f>
        <v>1</v>
      </c>
      <c r="I846" t="str" cm="1">
        <f t="array" ref="I846">_xlfn.IFS(Table_Sales[[#This Row],[quantity]]&lt;=3,"1-3",Table_Sales[[#This Row],[quantity]]&lt;=7,"2-7",Table_Sales[[#This Row],[quantity]]&lt;=10,"8-10",TRUE,"11 and above")</f>
        <v>1-3</v>
      </c>
      <c r="J846" t="str" cm="1">
        <f t="array" ref="J846">_xlfn.IFS(Table_Sales[[#This Row],[amount]]&lt;1000,"Under 1000",Table_Sales[[#This Row],[amount]]&lt;3000,"1000 - 2999",Table_Sales[[#This Row],[amount]]&lt;5000,"3000 - 4999",TRUE,"5000 &amp; above")</f>
        <v>Under 1000</v>
      </c>
      <c r="K846">
        <f>IF(COUNTIFS(INDEX(Table_Sales[order_id],1):Table_Sales[[#This Row],[order_id]],Table_Sales[[#This Row],[order_id]])=1,1,0)</f>
        <v>0</v>
      </c>
      <c r="L84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847" spans="1:12" x14ac:dyDescent="0.25">
      <c r="A847" t="s">
        <v>423</v>
      </c>
      <c r="B847" s="1">
        <v>160</v>
      </c>
      <c r="C847" s="1">
        <v>-59</v>
      </c>
      <c r="D847">
        <v>2</v>
      </c>
      <c r="E847" t="s">
        <v>23</v>
      </c>
      <c r="F847" t="s">
        <v>26</v>
      </c>
      <c r="G847" t="s">
        <v>14</v>
      </c>
      <c r="H847">
        <f>IF(Table_Sales[[#This Row],[profit]]&lt;0,1,0)</f>
        <v>1</v>
      </c>
      <c r="I847" t="str" cm="1">
        <f t="array" ref="I847">_xlfn.IFS(Table_Sales[[#This Row],[quantity]]&lt;=3,"1-3",Table_Sales[[#This Row],[quantity]]&lt;=7,"2-7",Table_Sales[[#This Row],[quantity]]&lt;=10,"8-10",TRUE,"11 and above")</f>
        <v>1-3</v>
      </c>
      <c r="J847" t="str" cm="1">
        <f t="array" ref="J847">_xlfn.IFS(Table_Sales[[#This Row],[amount]]&lt;1000,"Under 1000",Table_Sales[[#This Row],[amount]]&lt;3000,"1000 - 2999",Table_Sales[[#This Row],[amount]]&lt;5000,"3000 - 4999",TRUE,"5000 &amp; above")</f>
        <v>Under 1000</v>
      </c>
      <c r="K847">
        <f>IF(COUNTIFS(INDEX(Table_Sales[order_id],1):Table_Sales[[#This Row],[order_id]],Table_Sales[[#This Row],[order_id]])=1,1,0)</f>
        <v>1</v>
      </c>
      <c r="L84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848" spans="1:12" x14ac:dyDescent="0.25">
      <c r="A848" t="s">
        <v>74</v>
      </c>
      <c r="B848" s="1">
        <v>162</v>
      </c>
      <c r="C848" s="1">
        <v>20</v>
      </c>
      <c r="D848">
        <v>3</v>
      </c>
      <c r="E848" t="s">
        <v>12</v>
      </c>
      <c r="F848" t="s">
        <v>13</v>
      </c>
      <c r="G848" t="s">
        <v>14</v>
      </c>
      <c r="H848">
        <f>IF(Table_Sales[[#This Row],[profit]]&lt;0,1,0)</f>
        <v>0</v>
      </c>
      <c r="I848" t="str" cm="1">
        <f t="array" ref="I848">_xlfn.IFS(Table_Sales[[#This Row],[quantity]]&lt;=3,"1-3",Table_Sales[[#This Row],[quantity]]&lt;=7,"2-7",Table_Sales[[#This Row],[quantity]]&lt;=10,"8-10",TRUE,"11 and above")</f>
        <v>1-3</v>
      </c>
      <c r="J848" t="str" cm="1">
        <f t="array" ref="J848">_xlfn.IFS(Table_Sales[[#This Row],[amount]]&lt;1000,"Under 1000",Table_Sales[[#This Row],[amount]]&lt;3000,"1000 - 2999",Table_Sales[[#This Row],[amount]]&lt;5000,"3000 - 4999",TRUE,"5000 &amp; above")</f>
        <v>Under 1000</v>
      </c>
      <c r="K848">
        <f>IF(COUNTIFS(INDEX(Table_Sales[order_id],1):Table_Sales[[#This Row],[order_id]],Table_Sales[[#This Row],[order_id]])=1,1,0)</f>
        <v>0</v>
      </c>
      <c r="L84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849" spans="1:12" x14ac:dyDescent="0.25">
      <c r="A849" t="s">
        <v>184</v>
      </c>
      <c r="B849" s="1">
        <v>63</v>
      </c>
      <c r="C849" s="1">
        <v>1</v>
      </c>
      <c r="D849">
        <v>4</v>
      </c>
      <c r="E849" t="s">
        <v>23</v>
      </c>
      <c r="F849" t="s">
        <v>81</v>
      </c>
      <c r="G849" t="s">
        <v>10</v>
      </c>
      <c r="H849">
        <f>IF(Table_Sales[[#This Row],[profit]]&lt;0,1,0)</f>
        <v>0</v>
      </c>
      <c r="I849" t="str" cm="1">
        <f t="array" ref="I849">_xlfn.IFS(Table_Sales[[#This Row],[quantity]]&lt;=3,"1-3",Table_Sales[[#This Row],[quantity]]&lt;=7,"2-7",Table_Sales[[#This Row],[quantity]]&lt;=10,"8-10",TRUE,"11 and above")</f>
        <v>2-7</v>
      </c>
      <c r="J849" t="str" cm="1">
        <f t="array" ref="J849">_xlfn.IFS(Table_Sales[[#This Row],[amount]]&lt;1000,"Under 1000",Table_Sales[[#This Row],[amount]]&lt;3000,"1000 - 2999",Table_Sales[[#This Row],[amount]]&lt;5000,"3000 - 4999",TRUE,"5000 &amp; above")</f>
        <v>Under 1000</v>
      </c>
      <c r="K849">
        <f>IF(COUNTIFS(INDEX(Table_Sales[order_id],1):Table_Sales[[#This Row],[order_id]],Table_Sales[[#This Row],[order_id]])=1,1,0)</f>
        <v>0</v>
      </c>
      <c r="L84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850" spans="1:12" x14ac:dyDescent="0.25">
      <c r="A850" t="s">
        <v>424</v>
      </c>
      <c r="B850" s="1">
        <v>64</v>
      </c>
      <c r="C850" s="1">
        <v>27</v>
      </c>
      <c r="D850">
        <v>5</v>
      </c>
      <c r="E850" t="s">
        <v>23</v>
      </c>
      <c r="F850" t="s">
        <v>30</v>
      </c>
      <c r="G850" t="s">
        <v>28</v>
      </c>
      <c r="H850">
        <f>IF(Table_Sales[[#This Row],[profit]]&lt;0,1,0)</f>
        <v>0</v>
      </c>
      <c r="I850" t="str" cm="1">
        <f t="array" ref="I850">_xlfn.IFS(Table_Sales[[#This Row],[quantity]]&lt;=3,"1-3",Table_Sales[[#This Row],[quantity]]&lt;=7,"2-7",Table_Sales[[#This Row],[quantity]]&lt;=10,"8-10",TRUE,"11 and above")</f>
        <v>2-7</v>
      </c>
      <c r="J850" t="str" cm="1">
        <f t="array" ref="J850">_xlfn.IFS(Table_Sales[[#This Row],[amount]]&lt;1000,"Under 1000",Table_Sales[[#This Row],[amount]]&lt;3000,"1000 - 2999",Table_Sales[[#This Row],[amount]]&lt;5000,"3000 - 4999",TRUE,"5000 &amp; above")</f>
        <v>Under 1000</v>
      </c>
      <c r="K850">
        <f>IF(COUNTIFS(INDEX(Table_Sales[order_id],1):Table_Sales[[#This Row],[order_id]],Table_Sales[[#This Row],[order_id]])=1,1,0)</f>
        <v>1</v>
      </c>
      <c r="L85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851" spans="1:12" x14ac:dyDescent="0.25">
      <c r="A851" t="s">
        <v>425</v>
      </c>
      <c r="B851" s="1">
        <v>166</v>
      </c>
      <c r="C851" s="1">
        <v>-113</v>
      </c>
      <c r="D851">
        <v>4</v>
      </c>
      <c r="E851" t="s">
        <v>8</v>
      </c>
      <c r="F851" t="s">
        <v>73</v>
      </c>
      <c r="G851" t="s">
        <v>14</v>
      </c>
      <c r="H851">
        <f>IF(Table_Sales[[#This Row],[profit]]&lt;0,1,0)</f>
        <v>1</v>
      </c>
      <c r="I851" t="str" cm="1">
        <f t="array" ref="I851">_xlfn.IFS(Table_Sales[[#This Row],[quantity]]&lt;=3,"1-3",Table_Sales[[#This Row],[quantity]]&lt;=7,"2-7",Table_Sales[[#This Row],[quantity]]&lt;=10,"8-10",TRUE,"11 and above")</f>
        <v>2-7</v>
      </c>
      <c r="J851" t="str" cm="1">
        <f t="array" ref="J851">_xlfn.IFS(Table_Sales[[#This Row],[amount]]&lt;1000,"Under 1000",Table_Sales[[#This Row],[amount]]&lt;3000,"1000 - 2999",Table_Sales[[#This Row],[amount]]&lt;5000,"3000 - 4999",TRUE,"5000 &amp; above")</f>
        <v>Under 1000</v>
      </c>
      <c r="K851">
        <f>IF(COUNTIFS(INDEX(Table_Sales[order_id],1):Table_Sales[[#This Row],[order_id]],Table_Sales[[#This Row],[order_id]])=1,1,0)</f>
        <v>1</v>
      </c>
      <c r="L85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852" spans="1:12" x14ac:dyDescent="0.25">
      <c r="A852" t="s">
        <v>426</v>
      </c>
      <c r="B852" s="1">
        <v>167</v>
      </c>
      <c r="C852" s="1">
        <v>43</v>
      </c>
      <c r="D852">
        <v>7</v>
      </c>
      <c r="E852" t="s">
        <v>23</v>
      </c>
      <c r="F852" t="s">
        <v>81</v>
      </c>
      <c r="G852" t="s">
        <v>14</v>
      </c>
      <c r="H852">
        <f>IF(Table_Sales[[#This Row],[profit]]&lt;0,1,0)</f>
        <v>0</v>
      </c>
      <c r="I852" t="str" cm="1">
        <f t="array" ref="I852">_xlfn.IFS(Table_Sales[[#This Row],[quantity]]&lt;=3,"1-3",Table_Sales[[#This Row],[quantity]]&lt;=7,"2-7",Table_Sales[[#This Row],[quantity]]&lt;=10,"8-10",TRUE,"11 and above")</f>
        <v>2-7</v>
      </c>
      <c r="J852" t="str" cm="1">
        <f t="array" ref="J852">_xlfn.IFS(Table_Sales[[#This Row],[amount]]&lt;1000,"Under 1000",Table_Sales[[#This Row],[amount]]&lt;3000,"1000 - 2999",Table_Sales[[#This Row],[amount]]&lt;5000,"3000 - 4999",TRUE,"5000 &amp; above")</f>
        <v>Under 1000</v>
      </c>
      <c r="K852">
        <f>IF(COUNTIFS(INDEX(Table_Sales[order_id],1):Table_Sales[[#This Row],[order_id]],Table_Sales[[#This Row],[order_id]])=1,1,0)</f>
        <v>1</v>
      </c>
      <c r="L85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853" spans="1:12" x14ac:dyDescent="0.25">
      <c r="A853" t="s">
        <v>427</v>
      </c>
      <c r="B853" s="1">
        <v>123</v>
      </c>
      <c r="C853" s="1">
        <v>17</v>
      </c>
      <c r="D853">
        <v>3</v>
      </c>
      <c r="E853" t="s">
        <v>12</v>
      </c>
      <c r="F853" t="s">
        <v>131</v>
      </c>
      <c r="G853" t="s">
        <v>10</v>
      </c>
      <c r="H853">
        <f>IF(Table_Sales[[#This Row],[profit]]&lt;0,1,0)</f>
        <v>0</v>
      </c>
      <c r="I853" t="str" cm="1">
        <f t="array" ref="I853">_xlfn.IFS(Table_Sales[[#This Row],[quantity]]&lt;=3,"1-3",Table_Sales[[#This Row],[quantity]]&lt;=7,"2-7",Table_Sales[[#This Row],[quantity]]&lt;=10,"8-10",TRUE,"11 and above")</f>
        <v>1-3</v>
      </c>
      <c r="J853" t="str" cm="1">
        <f t="array" ref="J853">_xlfn.IFS(Table_Sales[[#This Row],[amount]]&lt;1000,"Under 1000",Table_Sales[[#This Row],[amount]]&lt;3000,"1000 - 2999",Table_Sales[[#This Row],[amount]]&lt;5000,"3000 - 4999",TRUE,"5000 &amp; above")</f>
        <v>Under 1000</v>
      </c>
      <c r="K853">
        <f>IF(COUNTIFS(INDEX(Table_Sales[order_id],1):Table_Sales[[#This Row],[order_id]],Table_Sales[[#This Row],[order_id]])=1,1,0)</f>
        <v>1</v>
      </c>
      <c r="L85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854" spans="1:12" x14ac:dyDescent="0.25">
      <c r="A854" t="s">
        <v>125</v>
      </c>
      <c r="B854" s="1">
        <v>63</v>
      </c>
      <c r="C854" s="1">
        <v>14</v>
      </c>
      <c r="D854">
        <v>2</v>
      </c>
      <c r="E854" t="s">
        <v>23</v>
      </c>
      <c r="F854" t="s">
        <v>142</v>
      </c>
      <c r="G854" t="s">
        <v>10</v>
      </c>
      <c r="H854">
        <f>IF(Table_Sales[[#This Row],[profit]]&lt;0,1,0)</f>
        <v>0</v>
      </c>
      <c r="I854" t="str" cm="1">
        <f t="array" ref="I854">_xlfn.IFS(Table_Sales[[#This Row],[quantity]]&lt;=3,"1-3",Table_Sales[[#This Row],[quantity]]&lt;=7,"2-7",Table_Sales[[#This Row],[quantity]]&lt;=10,"8-10",TRUE,"11 and above")</f>
        <v>1-3</v>
      </c>
      <c r="J854" t="str" cm="1">
        <f t="array" ref="J854">_xlfn.IFS(Table_Sales[[#This Row],[amount]]&lt;1000,"Under 1000",Table_Sales[[#This Row],[amount]]&lt;3000,"1000 - 2999",Table_Sales[[#This Row],[amount]]&lt;5000,"3000 - 4999",TRUE,"5000 &amp; above")</f>
        <v>Under 1000</v>
      </c>
      <c r="K854">
        <f>IF(COUNTIFS(INDEX(Table_Sales[order_id],1):Table_Sales[[#This Row],[order_id]],Table_Sales[[#This Row],[order_id]])=1,1,0)</f>
        <v>0</v>
      </c>
      <c r="L85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855" spans="1:12" x14ac:dyDescent="0.25">
      <c r="A855" t="s">
        <v>328</v>
      </c>
      <c r="B855" s="1">
        <v>891</v>
      </c>
      <c r="C855" s="1">
        <v>0</v>
      </c>
      <c r="D855">
        <v>5</v>
      </c>
      <c r="E855" t="s">
        <v>23</v>
      </c>
      <c r="F855" t="s">
        <v>26</v>
      </c>
      <c r="G855" t="s">
        <v>10</v>
      </c>
      <c r="H855">
        <f>IF(Table_Sales[[#This Row],[profit]]&lt;0,1,0)</f>
        <v>0</v>
      </c>
      <c r="I855" t="str" cm="1">
        <f t="array" ref="I855">_xlfn.IFS(Table_Sales[[#This Row],[quantity]]&lt;=3,"1-3",Table_Sales[[#This Row],[quantity]]&lt;=7,"2-7",Table_Sales[[#This Row],[quantity]]&lt;=10,"8-10",TRUE,"11 and above")</f>
        <v>2-7</v>
      </c>
      <c r="J855" t="str" cm="1">
        <f t="array" ref="J855">_xlfn.IFS(Table_Sales[[#This Row],[amount]]&lt;1000,"Under 1000",Table_Sales[[#This Row],[amount]]&lt;3000,"1000 - 2999",Table_Sales[[#This Row],[amount]]&lt;5000,"3000 - 4999",TRUE,"5000 &amp; above")</f>
        <v>Under 1000</v>
      </c>
      <c r="K855">
        <f>IF(COUNTIFS(INDEX(Table_Sales[order_id],1):Table_Sales[[#This Row],[order_id]],Table_Sales[[#This Row],[order_id]])=1,1,0)</f>
        <v>0</v>
      </c>
      <c r="L85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856" spans="1:12" x14ac:dyDescent="0.25">
      <c r="A856" t="s">
        <v>198</v>
      </c>
      <c r="B856" s="1">
        <v>75</v>
      </c>
      <c r="C856" s="1">
        <v>28</v>
      </c>
      <c r="D856">
        <v>9</v>
      </c>
      <c r="E856" t="s">
        <v>23</v>
      </c>
      <c r="F856" t="s">
        <v>30</v>
      </c>
      <c r="G856" t="s">
        <v>28</v>
      </c>
      <c r="H856">
        <f>IF(Table_Sales[[#This Row],[profit]]&lt;0,1,0)</f>
        <v>0</v>
      </c>
      <c r="I856" t="str" cm="1">
        <f t="array" ref="I856">_xlfn.IFS(Table_Sales[[#This Row],[quantity]]&lt;=3,"1-3",Table_Sales[[#This Row],[quantity]]&lt;=7,"2-7",Table_Sales[[#This Row],[quantity]]&lt;=10,"8-10",TRUE,"11 and above")</f>
        <v>8-10</v>
      </c>
      <c r="J856" t="str" cm="1">
        <f t="array" ref="J856">_xlfn.IFS(Table_Sales[[#This Row],[amount]]&lt;1000,"Under 1000",Table_Sales[[#This Row],[amount]]&lt;3000,"1000 - 2999",Table_Sales[[#This Row],[amount]]&lt;5000,"3000 - 4999",TRUE,"5000 &amp; above")</f>
        <v>Under 1000</v>
      </c>
      <c r="K856">
        <f>IF(COUNTIFS(INDEX(Table_Sales[order_id],1):Table_Sales[[#This Row],[order_id]],Table_Sales[[#This Row],[order_id]])=1,1,0)</f>
        <v>0</v>
      </c>
      <c r="L85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857" spans="1:12" x14ac:dyDescent="0.25">
      <c r="A857" t="s">
        <v>271</v>
      </c>
      <c r="B857" s="1">
        <v>62</v>
      </c>
      <c r="C857" s="1">
        <v>6</v>
      </c>
      <c r="D857">
        <v>5</v>
      </c>
      <c r="E857" t="s">
        <v>23</v>
      </c>
      <c r="F857" t="s">
        <v>30</v>
      </c>
      <c r="G857" t="s">
        <v>10</v>
      </c>
      <c r="H857">
        <f>IF(Table_Sales[[#This Row],[profit]]&lt;0,1,0)</f>
        <v>0</v>
      </c>
      <c r="I857" t="str" cm="1">
        <f t="array" ref="I857">_xlfn.IFS(Table_Sales[[#This Row],[quantity]]&lt;=3,"1-3",Table_Sales[[#This Row],[quantity]]&lt;=7,"2-7",Table_Sales[[#This Row],[quantity]]&lt;=10,"8-10",TRUE,"11 and above")</f>
        <v>2-7</v>
      </c>
      <c r="J857" t="str" cm="1">
        <f t="array" ref="J857">_xlfn.IFS(Table_Sales[[#This Row],[amount]]&lt;1000,"Under 1000",Table_Sales[[#This Row],[amount]]&lt;3000,"1000 - 2999",Table_Sales[[#This Row],[amount]]&lt;5000,"3000 - 4999",TRUE,"5000 &amp; above")</f>
        <v>Under 1000</v>
      </c>
      <c r="K857">
        <f>IF(COUNTIFS(INDEX(Table_Sales[order_id],1):Table_Sales[[#This Row],[order_id]],Table_Sales[[#This Row],[order_id]])=1,1,0)</f>
        <v>0</v>
      </c>
      <c r="L85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858" spans="1:12" x14ac:dyDescent="0.25">
      <c r="A858" t="s">
        <v>340</v>
      </c>
      <c r="B858" s="1">
        <v>29</v>
      </c>
      <c r="C858" s="1">
        <v>-18</v>
      </c>
      <c r="D858">
        <v>7</v>
      </c>
      <c r="E858" t="s">
        <v>23</v>
      </c>
      <c r="F858" t="s">
        <v>43</v>
      </c>
      <c r="G858" t="s">
        <v>28</v>
      </c>
      <c r="H858">
        <f>IF(Table_Sales[[#This Row],[profit]]&lt;0,1,0)</f>
        <v>1</v>
      </c>
      <c r="I858" t="str" cm="1">
        <f t="array" ref="I858">_xlfn.IFS(Table_Sales[[#This Row],[quantity]]&lt;=3,"1-3",Table_Sales[[#This Row],[quantity]]&lt;=7,"2-7",Table_Sales[[#This Row],[quantity]]&lt;=10,"8-10",TRUE,"11 and above")</f>
        <v>2-7</v>
      </c>
      <c r="J858" t="str" cm="1">
        <f t="array" ref="J858">_xlfn.IFS(Table_Sales[[#This Row],[amount]]&lt;1000,"Under 1000",Table_Sales[[#This Row],[amount]]&lt;3000,"1000 - 2999",Table_Sales[[#This Row],[amount]]&lt;5000,"3000 - 4999",TRUE,"5000 &amp; above")</f>
        <v>Under 1000</v>
      </c>
      <c r="K858">
        <f>IF(COUNTIFS(INDEX(Table_Sales[order_id],1):Table_Sales[[#This Row],[order_id]],Table_Sales[[#This Row],[order_id]])=1,1,0)</f>
        <v>0</v>
      </c>
      <c r="L85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859" spans="1:12" x14ac:dyDescent="0.25">
      <c r="A859" t="s">
        <v>428</v>
      </c>
      <c r="B859" s="1">
        <v>168</v>
      </c>
      <c r="C859" s="1">
        <v>18</v>
      </c>
      <c r="D859">
        <v>6</v>
      </c>
      <c r="E859" t="s">
        <v>23</v>
      </c>
      <c r="F859" t="s">
        <v>57</v>
      </c>
      <c r="G859" t="s">
        <v>82</v>
      </c>
      <c r="H859">
        <f>IF(Table_Sales[[#This Row],[profit]]&lt;0,1,0)</f>
        <v>0</v>
      </c>
      <c r="I859" t="str" cm="1">
        <f t="array" ref="I859">_xlfn.IFS(Table_Sales[[#This Row],[quantity]]&lt;=3,"1-3",Table_Sales[[#This Row],[quantity]]&lt;=7,"2-7",Table_Sales[[#This Row],[quantity]]&lt;=10,"8-10",TRUE,"11 and above")</f>
        <v>2-7</v>
      </c>
      <c r="J859" t="str" cm="1">
        <f t="array" ref="J859">_xlfn.IFS(Table_Sales[[#This Row],[amount]]&lt;1000,"Under 1000",Table_Sales[[#This Row],[amount]]&lt;3000,"1000 - 2999",Table_Sales[[#This Row],[amount]]&lt;5000,"3000 - 4999",TRUE,"5000 &amp; above")</f>
        <v>Under 1000</v>
      </c>
      <c r="K859">
        <f>IF(COUNTIFS(INDEX(Table_Sales[order_id],1):Table_Sales[[#This Row],[order_id]],Table_Sales[[#This Row],[order_id]])=1,1,0)</f>
        <v>1</v>
      </c>
      <c r="L85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860" spans="1:12" x14ac:dyDescent="0.25">
      <c r="A860" t="s">
        <v>211</v>
      </c>
      <c r="B860" s="1">
        <v>70</v>
      </c>
      <c r="C860" s="1">
        <v>24</v>
      </c>
      <c r="D860">
        <v>3</v>
      </c>
      <c r="E860" t="s">
        <v>23</v>
      </c>
      <c r="F860" t="s">
        <v>57</v>
      </c>
      <c r="G860" t="s">
        <v>28</v>
      </c>
      <c r="H860">
        <f>IF(Table_Sales[[#This Row],[profit]]&lt;0,1,0)</f>
        <v>0</v>
      </c>
      <c r="I860" t="str" cm="1">
        <f t="array" ref="I860">_xlfn.IFS(Table_Sales[[#This Row],[quantity]]&lt;=3,"1-3",Table_Sales[[#This Row],[quantity]]&lt;=7,"2-7",Table_Sales[[#This Row],[quantity]]&lt;=10,"8-10",TRUE,"11 and above")</f>
        <v>1-3</v>
      </c>
      <c r="J860" t="str" cm="1">
        <f t="array" ref="J860">_xlfn.IFS(Table_Sales[[#This Row],[amount]]&lt;1000,"Under 1000",Table_Sales[[#This Row],[amount]]&lt;3000,"1000 - 2999",Table_Sales[[#This Row],[amount]]&lt;5000,"3000 - 4999",TRUE,"5000 &amp; above")</f>
        <v>Under 1000</v>
      </c>
      <c r="K860">
        <f>IF(COUNTIFS(INDEX(Table_Sales[order_id],1):Table_Sales[[#This Row],[order_id]],Table_Sales[[#This Row],[order_id]])=1,1,0)</f>
        <v>0</v>
      </c>
      <c r="L86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861" spans="1:12" x14ac:dyDescent="0.25">
      <c r="A861" t="s">
        <v>230</v>
      </c>
      <c r="B861" s="1">
        <v>169</v>
      </c>
      <c r="C861" s="1">
        <v>55</v>
      </c>
      <c r="D861">
        <v>4</v>
      </c>
      <c r="E861" t="s">
        <v>23</v>
      </c>
      <c r="F861" t="s">
        <v>26</v>
      </c>
      <c r="G861" t="s">
        <v>82</v>
      </c>
      <c r="H861">
        <f>IF(Table_Sales[[#This Row],[profit]]&lt;0,1,0)</f>
        <v>0</v>
      </c>
      <c r="I861" t="str" cm="1">
        <f t="array" ref="I861">_xlfn.IFS(Table_Sales[[#This Row],[quantity]]&lt;=3,"1-3",Table_Sales[[#This Row],[quantity]]&lt;=7,"2-7",Table_Sales[[#This Row],[quantity]]&lt;=10,"8-10",TRUE,"11 and above")</f>
        <v>2-7</v>
      </c>
      <c r="J861" t="str" cm="1">
        <f t="array" ref="J861">_xlfn.IFS(Table_Sales[[#This Row],[amount]]&lt;1000,"Under 1000",Table_Sales[[#This Row],[amount]]&lt;3000,"1000 - 2999",Table_Sales[[#This Row],[amount]]&lt;5000,"3000 - 4999",TRUE,"5000 &amp; above")</f>
        <v>Under 1000</v>
      </c>
      <c r="K861">
        <f>IF(COUNTIFS(INDEX(Table_Sales[order_id],1):Table_Sales[[#This Row],[order_id]],Table_Sales[[#This Row],[order_id]])=1,1,0)</f>
        <v>0</v>
      </c>
      <c r="L86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862" spans="1:12" x14ac:dyDescent="0.25">
      <c r="A862" t="s">
        <v>152</v>
      </c>
      <c r="B862" s="1">
        <v>32</v>
      </c>
      <c r="C862" s="1">
        <v>-8</v>
      </c>
      <c r="D862">
        <v>2</v>
      </c>
      <c r="E862" t="s">
        <v>23</v>
      </c>
      <c r="F862" t="s">
        <v>57</v>
      </c>
      <c r="G862" t="s">
        <v>10</v>
      </c>
      <c r="H862">
        <f>IF(Table_Sales[[#This Row],[profit]]&lt;0,1,0)</f>
        <v>1</v>
      </c>
      <c r="I862" t="str" cm="1">
        <f t="array" ref="I862">_xlfn.IFS(Table_Sales[[#This Row],[quantity]]&lt;=3,"1-3",Table_Sales[[#This Row],[quantity]]&lt;=7,"2-7",Table_Sales[[#This Row],[quantity]]&lt;=10,"8-10",TRUE,"11 and above")</f>
        <v>1-3</v>
      </c>
      <c r="J862" t="str" cm="1">
        <f t="array" ref="J862">_xlfn.IFS(Table_Sales[[#This Row],[amount]]&lt;1000,"Under 1000",Table_Sales[[#This Row],[amount]]&lt;3000,"1000 - 2999",Table_Sales[[#This Row],[amount]]&lt;5000,"3000 - 4999",TRUE,"5000 &amp; above")</f>
        <v>Under 1000</v>
      </c>
      <c r="K862">
        <f>IF(COUNTIFS(INDEX(Table_Sales[order_id],1):Table_Sales[[#This Row],[order_id]],Table_Sales[[#This Row],[order_id]])=1,1,0)</f>
        <v>0</v>
      </c>
      <c r="L86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863" spans="1:12" x14ac:dyDescent="0.25">
      <c r="A863" t="s">
        <v>119</v>
      </c>
      <c r="B863" s="1">
        <v>44</v>
      </c>
      <c r="C863" s="1">
        <v>-8</v>
      </c>
      <c r="D863">
        <v>3</v>
      </c>
      <c r="E863" t="s">
        <v>23</v>
      </c>
      <c r="F863" t="s">
        <v>57</v>
      </c>
      <c r="G863" t="s">
        <v>28</v>
      </c>
      <c r="H863">
        <f>IF(Table_Sales[[#This Row],[profit]]&lt;0,1,0)</f>
        <v>1</v>
      </c>
      <c r="I863" t="str" cm="1">
        <f t="array" ref="I863">_xlfn.IFS(Table_Sales[[#This Row],[quantity]]&lt;=3,"1-3",Table_Sales[[#This Row],[quantity]]&lt;=7,"2-7",Table_Sales[[#This Row],[quantity]]&lt;=10,"8-10",TRUE,"11 and above")</f>
        <v>1-3</v>
      </c>
      <c r="J863" t="str" cm="1">
        <f t="array" ref="J863">_xlfn.IFS(Table_Sales[[#This Row],[amount]]&lt;1000,"Under 1000",Table_Sales[[#This Row],[amount]]&lt;3000,"1000 - 2999",Table_Sales[[#This Row],[amount]]&lt;5000,"3000 - 4999",TRUE,"5000 &amp; above")</f>
        <v>Under 1000</v>
      </c>
      <c r="K863">
        <f>IF(COUNTIFS(INDEX(Table_Sales[order_id],1):Table_Sales[[#This Row],[order_id]],Table_Sales[[#This Row],[order_id]])=1,1,0)</f>
        <v>0</v>
      </c>
      <c r="L86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864" spans="1:12" x14ac:dyDescent="0.25">
      <c r="A864" t="s">
        <v>107</v>
      </c>
      <c r="B864" s="1">
        <v>116</v>
      </c>
      <c r="C864" s="1">
        <v>-56</v>
      </c>
      <c r="D864">
        <v>5</v>
      </c>
      <c r="E864" t="s">
        <v>23</v>
      </c>
      <c r="F864" t="s">
        <v>57</v>
      </c>
      <c r="G864" t="s">
        <v>19</v>
      </c>
      <c r="H864">
        <f>IF(Table_Sales[[#This Row],[profit]]&lt;0,1,0)</f>
        <v>1</v>
      </c>
      <c r="I864" t="str" cm="1">
        <f t="array" ref="I864">_xlfn.IFS(Table_Sales[[#This Row],[quantity]]&lt;=3,"1-3",Table_Sales[[#This Row],[quantity]]&lt;=7,"2-7",Table_Sales[[#This Row],[quantity]]&lt;=10,"8-10",TRUE,"11 and above")</f>
        <v>2-7</v>
      </c>
      <c r="J864" t="str" cm="1">
        <f t="array" ref="J864">_xlfn.IFS(Table_Sales[[#This Row],[amount]]&lt;1000,"Under 1000",Table_Sales[[#This Row],[amount]]&lt;3000,"1000 - 2999",Table_Sales[[#This Row],[amount]]&lt;5000,"3000 - 4999",TRUE,"5000 &amp; above")</f>
        <v>Under 1000</v>
      </c>
      <c r="K864">
        <f>IF(COUNTIFS(INDEX(Table_Sales[order_id],1):Table_Sales[[#This Row],[order_id]],Table_Sales[[#This Row],[order_id]])=1,1,0)</f>
        <v>0</v>
      </c>
      <c r="L86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865" spans="1:12" x14ac:dyDescent="0.25">
      <c r="A865" t="s">
        <v>429</v>
      </c>
      <c r="B865" s="1">
        <v>156</v>
      </c>
      <c r="C865" s="1">
        <v>21</v>
      </c>
      <c r="D865">
        <v>3</v>
      </c>
      <c r="E865" t="s">
        <v>12</v>
      </c>
      <c r="F865" t="s">
        <v>13</v>
      </c>
      <c r="G865" t="s">
        <v>10</v>
      </c>
      <c r="H865">
        <f>IF(Table_Sales[[#This Row],[profit]]&lt;0,1,0)</f>
        <v>0</v>
      </c>
      <c r="I865" t="str" cm="1">
        <f t="array" ref="I865">_xlfn.IFS(Table_Sales[[#This Row],[quantity]]&lt;=3,"1-3",Table_Sales[[#This Row],[quantity]]&lt;=7,"2-7",Table_Sales[[#This Row],[quantity]]&lt;=10,"8-10",TRUE,"11 and above")</f>
        <v>1-3</v>
      </c>
      <c r="J865" t="str" cm="1">
        <f t="array" ref="J865">_xlfn.IFS(Table_Sales[[#This Row],[amount]]&lt;1000,"Under 1000",Table_Sales[[#This Row],[amount]]&lt;3000,"1000 - 2999",Table_Sales[[#This Row],[amount]]&lt;5000,"3000 - 4999",TRUE,"5000 &amp; above")</f>
        <v>Under 1000</v>
      </c>
      <c r="K865">
        <f>IF(COUNTIFS(INDEX(Table_Sales[order_id],1):Table_Sales[[#This Row],[order_id]],Table_Sales[[#This Row],[order_id]])=1,1,0)</f>
        <v>1</v>
      </c>
      <c r="L86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866" spans="1:12" x14ac:dyDescent="0.25">
      <c r="A866" t="s">
        <v>173</v>
      </c>
      <c r="B866" s="1">
        <v>62</v>
      </c>
      <c r="C866" s="1">
        <v>6</v>
      </c>
      <c r="D866">
        <v>6</v>
      </c>
      <c r="E866" t="s">
        <v>23</v>
      </c>
      <c r="F866" t="s">
        <v>43</v>
      </c>
      <c r="G866" t="s">
        <v>10</v>
      </c>
      <c r="H866">
        <f>IF(Table_Sales[[#This Row],[profit]]&lt;0,1,0)</f>
        <v>0</v>
      </c>
      <c r="I866" t="str" cm="1">
        <f t="array" ref="I866">_xlfn.IFS(Table_Sales[[#This Row],[quantity]]&lt;=3,"1-3",Table_Sales[[#This Row],[quantity]]&lt;=7,"2-7",Table_Sales[[#This Row],[quantity]]&lt;=10,"8-10",TRUE,"11 and above")</f>
        <v>2-7</v>
      </c>
      <c r="J866" t="str" cm="1">
        <f t="array" ref="J866">_xlfn.IFS(Table_Sales[[#This Row],[amount]]&lt;1000,"Under 1000",Table_Sales[[#This Row],[amount]]&lt;3000,"1000 - 2999",Table_Sales[[#This Row],[amount]]&lt;5000,"3000 - 4999",TRUE,"5000 &amp; above")</f>
        <v>Under 1000</v>
      </c>
      <c r="K866">
        <f>IF(COUNTIFS(INDEX(Table_Sales[order_id],1):Table_Sales[[#This Row],[order_id]],Table_Sales[[#This Row],[order_id]])=1,1,0)</f>
        <v>0</v>
      </c>
      <c r="L86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867" spans="1:12" x14ac:dyDescent="0.25">
      <c r="A867" t="s">
        <v>50</v>
      </c>
      <c r="B867" s="1">
        <v>54</v>
      </c>
      <c r="C867" s="1">
        <v>1</v>
      </c>
      <c r="D867">
        <v>2</v>
      </c>
      <c r="E867" t="s">
        <v>23</v>
      </c>
      <c r="F867" t="s">
        <v>26</v>
      </c>
      <c r="G867" t="s">
        <v>28</v>
      </c>
      <c r="H867">
        <f>IF(Table_Sales[[#This Row],[profit]]&lt;0,1,0)</f>
        <v>0</v>
      </c>
      <c r="I867" t="str" cm="1">
        <f t="array" ref="I867">_xlfn.IFS(Table_Sales[[#This Row],[quantity]]&lt;=3,"1-3",Table_Sales[[#This Row],[quantity]]&lt;=7,"2-7",Table_Sales[[#This Row],[quantity]]&lt;=10,"8-10",TRUE,"11 and above")</f>
        <v>1-3</v>
      </c>
      <c r="J867" t="str" cm="1">
        <f t="array" ref="J867">_xlfn.IFS(Table_Sales[[#This Row],[amount]]&lt;1000,"Under 1000",Table_Sales[[#This Row],[amount]]&lt;3000,"1000 - 2999",Table_Sales[[#This Row],[amount]]&lt;5000,"3000 - 4999",TRUE,"5000 &amp; above")</f>
        <v>Under 1000</v>
      </c>
      <c r="K867">
        <f>IF(COUNTIFS(INDEX(Table_Sales[order_id],1):Table_Sales[[#This Row],[order_id]],Table_Sales[[#This Row],[order_id]])=1,1,0)</f>
        <v>0</v>
      </c>
      <c r="L86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868" spans="1:12" x14ac:dyDescent="0.25">
      <c r="A868" t="s">
        <v>179</v>
      </c>
      <c r="B868" s="1">
        <v>111</v>
      </c>
      <c r="C868" s="1">
        <v>11</v>
      </c>
      <c r="D868">
        <v>9</v>
      </c>
      <c r="E868" t="s">
        <v>23</v>
      </c>
      <c r="F868" t="s">
        <v>30</v>
      </c>
      <c r="G868" t="s">
        <v>19</v>
      </c>
      <c r="H868">
        <f>IF(Table_Sales[[#This Row],[profit]]&lt;0,1,0)</f>
        <v>0</v>
      </c>
      <c r="I868" t="str" cm="1">
        <f t="array" ref="I868">_xlfn.IFS(Table_Sales[[#This Row],[quantity]]&lt;=3,"1-3",Table_Sales[[#This Row],[quantity]]&lt;=7,"2-7",Table_Sales[[#This Row],[quantity]]&lt;=10,"8-10",TRUE,"11 and above")</f>
        <v>8-10</v>
      </c>
      <c r="J868" t="str" cm="1">
        <f t="array" ref="J868">_xlfn.IFS(Table_Sales[[#This Row],[amount]]&lt;1000,"Under 1000",Table_Sales[[#This Row],[amount]]&lt;3000,"1000 - 2999",Table_Sales[[#This Row],[amount]]&lt;5000,"3000 - 4999",TRUE,"5000 &amp; above")</f>
        <v>Under 1000</v>
      </c>
      <c r="K868">
        <f>IF(COUNTIFS(INDEX(Table_Sales[order_id],1):Table_Sales[[#This Row],[order_id]],Table_Sales[[#This Row],[order_id]])=1,1,0)</f>
        <v>0</v>
      </c>
      <c r="L86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869" spans="1:12" x14ac:dyDescent="0.25">
      <c r="A869" t="s">
        <v>430</v>
      </c>
      <c r="B869" s="1">
        <v>158</v>
      </c>
      <c r="C869" s="1">
        <v>-63</v>
      </c>
      <c r="D869">
        <v>4</v>
      </c>
      <c r="E869" t="s">
        <v>12</v>
      </c>
      <c r="F869" t="s">
        <v>13</v>
      </c>
      <c r="G869" t="s">
        <v>28</v>
      </c>
      <c r="H869">
        <f>IF(Table_Sales[[#This Row],[profit]]&lt;0,1,0)</f>
        <v>1</v>
      </c>
      <c r="I869" t="str" cm="1">
        <f t="array" ref="I869">_xlfn.IFS(Table_Sales[[#This Row],[quantity]]&lt;=3,"1-3",Table_Sales[[#This Row],[quantity]]&lt;=7,"2-7",Table_Sales[[#This Row],[quantity]]&lt;=10,"8-10",TRUE,"11 and above")</f>
        <v>2-7</v>
      </c>
      <c r="J869" t="str" cm="1">
        <f t="array" ref="J869">_xlfn.IFS(Table_Sales[[#This Row],[amount]]&lt;1000,"Under 1000",Table_Sales[[#This Row],[amount]]&lt;3000,"1000 - 2999",Table_Sales[[#This Row],[amount]]&lt;5000,"3000 - 4999",TRUE,"5000 &amp; above")</f>
        <v>Under 1000</v>
      </c>
      <c r="K869">
        <f>IF(COUNTIFS(INDEX(Table_Sales[order_id],1):Table_Sales[[#This Row],[order_id]],Table_Sales[[#This Row],[order_id]])=1,1,0)</f>
        <v>1</v>
      </c>
      <c r="L86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870" spans="1:12" x14ac:dyDescent="0.25">
      <c r="A870" t="s">
        <v>215</v>
      </c>
      <c r="B870" s="1">
        <v>7</v>
      </c>
      <c r="C870" s="1">
        <v>-3</v>
      </c>
      <c r="D870">
        <v>2</v>
      </c>
      <c r="E870" t="s">
        <v>23</v>
      </c>
      <c r="F870" t="s">
        <v>43</v>
      </c>
      <c r="G870" t="s">
        <v>28</v>
      </c>
      <c r="H870">
        <f>IF(Table_Sales[[#This Row],[profit]]&lt;0,1,0)</f>
        <v>1</v>
      </c>
      <c r="I870" t="str" cm="1">
        <f t="array" ref="I870">_xlfn.IFS(Table_Sales[[#This Row],[quantity]]&lt;=3,"1-3",Table_Sales[[#This Row],[quantity]]&lt;=7,"2-7",Table_Sales[[#This Row],[quantity]]&lt;=10,"8-10",TRUE,"11 and above")</f>
        <v>1-3</v>
      </c>
      <c r="J870" t="str" cm="1">
        <f t="array" ref="J870">_xlfn.IFS(Table_Sales[[#This Row],[amount]]&lt;1000,"Under 1000",Table_Sales[[#This Row],[amount]]&lt;3000,"1000 - 2999",Table_Sales[[#This Row],[amount]]&lt;5000,"3000 - 4999",TRUE,"5000 &amp; above")</f>
        <v>Under 1000</v>
      </c>
      <c r="K870">
        <f>IF(COUNTIFS(INDEX(Table_Sales[order_id],1):Table_Sales[[#This Row],[order_id]],Table_Sales[[#This Row],[order_id]])=1,1,0)</f>
        <v>0</v>
      </c>
      <c r="L87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871" spans="1:12" x14ac:dyDescent="0.25">
      <c r="A871" t="s">
        <v>378</v>
      </c>
      <c r="B871" s="1">
        <v>61</v>
      </c>
      <c r="C871" s="1">
        <v>28</v>
      </c>
      <c r="D871">
        <v>2</v>
      </c>
      <c r="E871" t="s">
        <v>23</v>
      </c>
      <c r="F871" t="s">
        <v>30</v>
      </c>
      <c r="G871" t="s">
        <v>28</v>
      </c>
      <c r="H871">
        <f>IF(Table_Sales[[#This Row],[profit]]&lt;0,1,0)</f>
        <v>0</v>
      </c>
      <c r="I871" t="str" cm="1">
        <f t="array" ref="I871">_xlfn.IFS(Table_Sales[[#This Row],[quantity]]&lt;=3,"1-3",Table_Sales[[#This Row],[quantity]]&lt;=7,"2-7",Table_Sales[[#This Row],[quantity]]&lt;=10,"8-10",TRUE,"11 and above")</f>
        <v>1-3</v>
      </c>
      <c r="J871" t="str" cm="1">
        <f t="array" ref="J871">_xlfn.IFS(Table_Sales[[#This Row],[amount]]&lt;1000,"Under 1000",Table_Sales[[#This Row],[amount]]&lt;3000,"1000 - 2999",Table_Sales[[#This Row],[amount]]&lt;5000,"3000 - 4999",TRUE,"5000 &amp; above")</f>
        <v>Under 1000</v>
      </c>
      <c r="K871">
        <f>IF(COUNTIFS(INDEX(Table_Sales[order_id],1):Table_Sales[[#This Row],[order_id]],Table_Sales[[#This Row],[order_id]])=1,1,0)</f>
        <v>0</v>
      </c>
      <c r="L87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872" spans="1:12" x14ac:dyDescent="0.25">
      <c r="A872" t="s">
        <v>208</v>
      </c>
      <c r="B872" s="1">
        <v>61</v>
      </c>
      <c r="C872" s="1">
        <v>-50</v>
      </c>
      <c r="D872">
        <v>4</v>
      </c>
      <c r="E872" t="s">
        <v>23</v>
      </c>
      <c r="F872" t="s">
        <v>30</v>
      </c>
      <c r="G872" t="s">
        <v>10</v>
      </c>
      <c r="H872">
        <f>IF(Table_Sales[[#This Row],[profit]]&lt;0,1,0)</f>
        <v>1</v>
      </c>
      <c r="I872" t="str" cm="1">
        <f t="array" ref="I872">_xlfn.IFS(Table_Sales[[#This Row],[quantity]]&lt;=3,"1-3",Table_Sales[[#This Row],[quantity]]&lt;=7,"2-7",Table_Sales[[#This Row],[quantity]]&lt;=10,"8-10",TRUE,"11 and above")</f>
        <v>2-7</v>
      </c>
      <c r="J872" t="str" cm="1">
        <f t="array" ref="J872">_xlfn.IFS(Table_Sales[[#This Row],[amount]]&lt;1000,"Under 1000",Table_Sales[[#This Row],[amount]]&lt;3000,"1000 - 2999",Table_Sales[[#This Row],[amount]]&lt;5000,"3000 - 4999",TRUE,"5000 &amp; above")</f>
        <v>Under 1000</v>
      </c>
      <c r="K872">
        <f>IF(COUNTIFS(INDEX(Table_Sales[order_id],1):Table_Sales[[#This Row],[order_id]],Table_Sales[[#This Row],[order_id]])=1,1,0)</f>
        <v>0</v>
      </c>
      <c r="L87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873" spans="1:12" x14ac:dyDescent="0.25">
      <c r="A873" t="s">
        <v>306</v>
      </c>
      <c r="B873" s="1">
        <v>154</v>
      </c>
      <c r="C873" s="1">
        <v>26</v>
      </c>
      <c r="D873">
        <v>4</v>
      </c>
      <c r="E873" t="s">
        <v>8</v>
      </c>
      <c r="F873" t="s">
        <v>73</v>
      </c>
      <c r="G873" t="s">
        <v>10</v>
      </c>
      <c r="H873">
        <f>IF(Table_Sales[[#This Row],[profit]]&lt;0,1,0)</f>
        <v>0</v>
      </c>
      <c r="I873" t="str" cm="1">
        <f t="array" ref="I873">_xlfn.IFS(Table_Sales[[#This Row],[quantity]]&lt;=3,"1-3",Table_Sales[[#This Row],[quantity]]&lt;=7,"2-7",Table_Sales[[#This Row],[quantity]]&lt;=10,"8-10",TRUE,"11 and above")</f>
        <v>2-7</v>
      </c>
      <c r="J873" t="str" cm="1">
        <f t="array" ref="J873">_xlfn.IFS(Table_Sales[[#This Row],[amount]]&lt;1000,"Under 1000",Table_Sales[[#This Row],[amount]]&lt;3000,"1000 - 2999",Table_Sales[[#This Row],[amount]]&lt;5000,"3000 - 4999",TRUE,"5000 &amp; above")</f>
        <v>Under 1000</v>
      </c>
      <c r="K873">
        <f>IF(COUNTIFS(INDEX(Table_Sales[order_id],1):Table_Sales[[#This Row],[order_id]],Table_Sales[[#This Row],[order_id]])=1,1,0)</f>
        <v>0</v>
      </c>
      <c r="L87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874" spans="1:12" x14ac:dyDescent="0.25">
      <c r="A874" t="s">
        <v>31</v>
      </c>
      <c r="B874" s="1">
        <v>62</v>
      </c>
      <c r="C874" s="1">
        <v>1</v>
      </c>
      <c r="D874">
        <v>3</v>
      </c>
      <c r="E874" t="s">
        <v>23</v>
      </c>
      <c r="F874" t="s">
        <v>26</v>
      </c>
      <c r="G874" t="s">
        <v>10</v>
      </c>
      <c r="H874">
        <f>IF(Table_Sales[[#This Row],[profit]]&lt;0,1,0)</f>
        <v>0</v>
      </c>
      <c r="I874" t="str" cm="1">
        <f t="array" ref="I874">_xlfn.IFS(Table_Sales[[#This Row],[quantity]]&lt;=3,"1-3",Table_Sales[[#This Row],[quantity]]&lt;=7,"2-7",Table_Sales[[#This Row],[quantity]]&lt;=10,"8-10",TRUE,"11 and above")</f>
        <v>1-3</v>
      </c>
      <c r="J874" t="str" cm="1">
        <f t="array" ref="J874">_xlfn.IFS(Table_Sales[[#This Row],[amount]]&lt;1000,"Under 1000",Table_Sales[[#This Row],[amount]]&lt;3000,"1000 - 2999",Table_Sales[[#This Row],[amount]]&lt;5000,"3000 - 4999",TRUE,"5000 &amp; above")</f>
        <v>Under 1000</v>
      </c>
      <c r="K874">
        <f>IF(COUNTIFS(INDEX(Table_Sales[order_id],1):Table_Sales[[#This Row],[order_id]],Table_Sales[[#This Row],[order_id]])=1,1,0)</f>
        <v>0</v>
      </c>
      <c r="L87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875" spans="1:12" x14ac:dyDescent="0.25">
      <c r="A875" t="s">
        <v>431</v>
      </c>
      <c r="B875" s="1">
        <v>169</v>
      </c>
      <c r="C875" s="1">
        <v>38</v>
      </c>
      <c r="D875">
        <v>3</v>
      </c>
      <c r="E875" t="s">
        <v>23</v>
      </c>
      <c r="F875" t="s">
        <v>26</v>
      </c>
      <c r="G875" t="s">
        <v>82</v>
      </c>
      <c r="H875">
        <f>IF(Table_Sales[[#This Row],[profit]]&lt;0,1,0)</f>
        <v>0</v>
      </c>
      <c r="I875" t="str" cm="1">
        <f t="array" ref="I875">_xlfn.IFS(Table_Sales[[#This Row],[quantity]]&lt;=3,"1-3",Table_Sales[[#This Row],[quantity]]&lt;=7,"2-7",Table_Sales[[#This Row],[quantity]]&lt;=10,"8-10",TRUE,"11 and above")</f>
        <v>1-3</v>
      </c>
      <c r="J875" t="str" cm="1">
        <f t="array" ref="J875">_xlfn.IFS(Table_Sales[[#This Row],[amount]]&lt;1000,"Under 1000",Table_Sales[[#This Row],[amount]]&lt;3000,"1000 - 2999",Table_Sales[[#This Row],[amount]]&lt;5000,"3000 - 4999",TRUE,"5000 &amp; above")</f>
        <v>Under 1000</v>
      </c>
      <c r="K875">
        <f>IF(COUNTIFS(INDEX(Table_Sales[order_id],1):Table_Sales[[#This Row],[order_id]],Table_Sales[[#This Row],[order_id]])=1,1,0)</f>
        <v>1</v>
      </c>
      <c r="L87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876" spans="1:12" x14ac:dyDescent="0.25">
      <c r="A876" t="s">
        <v>408</v>
      </c>
      <c r="B876" s="1">
        <v>61</v>
      </c>
      <c r="C876" s="1">
        <v>18</v>
      </c>
      <c r="D876">
        <v>2</v>
      </c>
      <c r="E876" t="s">
        <v>8</v>
      </c>
      <c r="F876" t="s">
        <v>73</v>
      </c>
      <c r="G876" t="s">
        <v>10</v>
      </c>
      <c r="H876">
        <f>IF(Table_Sales[[#This Row],[profit]]&lt;0,1,0)</f>
        <v>0</v>
      </c>
      <c r="I876" t="str" cm="1">
        <f t="array" ref="I876">_xlfn.IFS(Table_Sales[[#This Row],[quantity]]&lt;=3,"1-3",Table_Sales[[#This Row],[quantity]]&lt;=7,"2-7",Table_Sales[[#This Row],[quantity]]&lt;=10,"8-10",TRUE,"11 and above")</f>
        <v>1-3</v>
      </c>
      <c r="J876" t="str" cm="1">
        <f t="array" ref="J876">_xlfn.IFS(Table_Sales[[#This Row],[amount]]&lt;1000,"Under 1000",Table_Sales[[#This Row],[amount]]&lt;3000,"1000 - 2999",Table_Sales[[#This Row],[amount]]&lt;5000,"3000 - 4999",TRUE,"5000 &amp; above")</f>
        <v>Under 1000</v>
      </c>
      <c r="K876">
        <f>IF(COUNTIFS(INDEX(Table_Sales[order_id],1):Table_Sales[[#This Row],[order_id]],Table_Sales[[#This Row],[order_id]])=1,1,0)</f>
        <v>0</v>
      </c>
      <c r="L87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877" spans="1:12" x14ac:dyDescent="0.25">
      <c r="A877" t="s">
        <v>123</v>
      </c>
      <c r="B877" s="1">
        <v>61</v>
      </c>
      <c r="C877" s="1">
        <v>-23</v>
      </c>
      <c r="D877">
        <v>2</v>
      </c>
      <c r="E877" t="s">
        <v>23</v>
      </c>
      <c r="F877" t="s">
        <v>26</v>
      </c>
      <c r="G877" t="s">
        <v>10</v>
      </c>
      <c r="H877">
        <f>IF(Table_Sales[[#This Row],[profit]]&lt;0,1,0)</f>
        <v>1</v>
      </c>
      <c r="I877" t="str" cm="1">
        <f t="array" ref="I877">_xlfn.IFS(Table_Sales[[#This Row],[quantity]]&lt;=3,"1-3",Table_Sales[[#This Row],[quantity]]&lt;=7,"2-7",Table_Sales[[#This Row],[quantity]]&lt;=10,"8-10",TRUE,"11 and above")</f>
        <v>1-3</v>
      </c>
      <c r="J877" t="str" cm="1">
        <f t="array" ref="J877">_xlfn.IFS(Table_Sales[[#This Row],[amount]]&lt;1000,"Under 1000",Table_Sales[[#This Row],[amount]]&lt;3000,"1000 - 2999",Table_Sales[[#This Row],[amount]]&lt;5000,"3000 - 4999",TRUE,"5000 &amp; above")</f>
        <v>Under 1000</v>
      </c>
      <c r="K877">
        <f>IF(COUNTIFS(INDEX(Table_Sales[order_id],1):Table_Sales[[#This Row],[order_id]],Table_Sales[[#This Row],[order_id]])=1,1,0)</f>
        <v>0</v>
      </c>
      <c r="L87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878" spans="1:12" x14ac:dyDescent="0.25">
      <c r="A878" t="s">
        <v>432</v>
      </c>
      <c r="B878" s="1">
        <v>171</v>
      </c>
      <c r="C878" s="1">
        <v>14</v>
      </c>
      <c r="D878">
        <v>9</v>
      </c>
      <c r="E878" t="s">
        <v>23</v>
      </c>
      <c r="F878" t="s">
        <v>142</v>
      </c>
      <c r="G878" t="s">
        <v>82</v>
      </c>
      <c r="H878">
        <f>IF(Table_Sales[[#This Row],[profit]]&lt;0,1,0)</f>
        <v>0</v>
      </c>
      <c r="I878" t="str" cm="1">
        <f t="array" ref="I878">_xlfn.IFS(Table_Sales[[#This Row],[quantity]]&lt;=3,"1-3",Table_Sales[[#This Row],[quantity]]&lt;=7,"2-7",Table_Sales[[#This Row],[quantity]]&lt;=10,"8-10",TRUE,"11 and above")</f>
        <v>8-10</v>
      </c>
      <c r="J878" t="str" cm="1">
        <f t="array" ref="J878">_xlfn.IFS(Table_Sales[[#This Row],[amount]]&lt;1000,"Under 1000",Table_Sales[[#This Row],[amount]]&lt;3000,"1000 - 2999",Table_Sales[[#This Row],[amount]]&lt;5000,"3000 - 4999",TRUE,"5000 &amp; above")</f>
        <v>Under 1000</v>
      </c>
      <c r="K878">
        <f>IF(COUNTIFS(INDEX(Table_Sales[order_id],1):Table_Sales[[#This Row],[order_id]],Table_Sales[[#This Row],[order_id]])=1,1,0)</f>
        <v>1</v>
      </c>
      <c r="L87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879" spans="1:12" x14ac:dyDescent="0.25">
      <c r="A879" t="s">
        <v>276</v>
      </c>
      <c r="B879" s="1">
        <v>60</v>
      </c>
      <c r="C879" s="1">
        <v>-49</v>
      </c>
      <c r="D879">
        <v>8</v>
      </c>
      <c r="E879" t="s">
        <v>23</v>
      </c>
      <c r="F879" t="s">
        <v>30</v>
      </c>
      <c r="G879" t="s">
        <v>10</v>
      </c>
      <c r="H879">
        <f>IF(Table_Sales[[#This Row],[profit]]&lt;0,1,0)</f>
        <v>1</v>
      </c>
      <c r="I879" t="str" cm="1">
        <f t="array" ref="I879">_xlfn.IFS(Table_Sales[[#This Row],[quantity]]&lt;=3,"1-3",Table_Sales[[#This Row],[quantity]]&lt;=7,"2-7",Table_Sales[[#This Row],[quantity]]&lt;=10,"8-10",TRUE,"11 and above")</f>
        <v>8-10</v>
      </c>
      <c r="J879" t="str" cm="1">
        <f t="array" ref="J879">_xlfn.IFS(Table_Sales[[#This Row],[amount]]&lt;1000,"Under 1000",Table_Sales[[#This Row],[amount]]&lt;3000,"1000 - 2999",Table_Sales[[#This Row],[amount]]&lt;5000,"3000 - 4999",TRUE,"5000 &amp; above")</f>
        <v>Under 1000</v>
      </c>
      <c r="K879">
        <f>IF(COUNTIFS(INDEX(Table_Sales[order_id],1):Table_Sales[[#This Row],[order_id]],Table_Sales[[#This Row],[order_id]])=1,1,0)</f>
        <v>0</v>
      </c>
      <c r="L87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880" spans="1:12" x14ac:dyDescent="0.25">
      <c r="A880" t="s">
        <v>388</v>
      </c>
      <c r="B880" s="1">
        <v>25</v>
      </c>
      <c r="C880" s="1">
        <v>-11</v>
      </c>
      <c r="D880">
        <v>1</v>
      </c>
      <c r="E880" t="s">
        <v>23</v>
      </c>
      <c r="F880" t="s">
        <v>57</v>
      </c>
      <c r="G880" t="s">
        <v>28</v>
      </c>
      <c r="H880">
        <f>IF(Table_Sales[[#This Row],[profit]]&lt;0,1,0)</f>
        <v>1</v>
      </c>
      <c r="I880" t="str" cm="1">
        <f t="array" ref="I880">_xlfn.IFS(Table_Sales[[#This Row],[quantity]]&lt;=3,"1-3",Table_Sales[[#This Row],[quantity]]&lt;=7,"2-7",Table_Sales[[#This Row],[quantity]]&lt;=10,"8-10",TRUE,"11 and above")</f>
        <v>1-3</v>
      </c>
      <c r="J880" t="str" cm="1">
        <f t="array" ref="J880">_xlfn.IFS(Table_Sales[[#This Row],[amount]]&lt;1000,"Under 1000",Table_Sales[[#This Row],[amount]]&lt;3000,"1000 - 2999",Table_Sales[[#This Row],[amount]]&lt;5000,"3000 - 4999",TRUE,"5000 &amp; above")</f>
        <v>Under 1000</v>
      </c>
      <c r="K880">
        <f>IF(COUNTIFS(INDEX(Table_Sales[order_id],1):Table_Sales[[#This Row],[order_id]],Table_Sales[[#This Row],[order_id]])=1,1,0)</f>
        <v>0</v>
      </c>
      <c r="L88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881" spans="1:12" x14ac:dyDescent="0.25">
      <c r="A881" t="s">
        <v>188</v>
      </c>
      <c r="B881" s="1">
        <v>163</v>
      </c>
      <c r="C881" s="1">
        <v>26</v>
      </c>
      <c r="D881">
        <v>4</v>
      </c>
      <c r="E881" t="s">
        <v>23</v>
      </c>
      <c r="F881" t="s">
        <v>142</v>
      </c>
      <c r="G881" t="s">
        <v>10</v>
      </c>
      <c r="H881">
        <f>IF(Table_Sales[[#This Row],[profit]]&lt;0,1,0)</f>
        <v>0</v>
      </c>
      <c r="I881" t="str" cm="1">
        <f t="array" ref="I881">_xlfn.IFS(Table_Sales[[#This Row],[quantity]]&lt;=3,"1-3",Table_Sales[[#This Row],[quantity]]&lt;=7,"2-7",Table_Sales[[#This Row],[quantity]]&lt;=10,"8-10",TRUE,"11 and above")</f>
        <v>2-7</v>
      </c>
      <c r="J881" t="str" cm="1">
        <f t="array" ref="J881">_xlfn.IFS(Table_Sales[[#This Row],[amount]]&lt;1000,"Under 1000",Table_Sales[[#This Row],[amount]]&lt;3000,"1000 - 2999",Table_Sales[[#This Row],[amount]]&lt;5000,"3000 - 4999",TRUE,"5000 &amp; above")</f>
        <v>Under 1000</v>
      </c>
      <c r="K881">
        <f>IF(COUNTIFS(INDEX(Table_Sales[order_id],1):Table_Sales[[#This Row],[order_id]],Table_Sales[[#This Row],[order_id]])=1,1,0)</f>
        <v>0</v>
      </c>
      <c r="L88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882" spans="1:12" x14ac:dyDescent="0.25">
      <c r="A882" t="s">
        <v>164</v>
      </c>
      <c r="B882" s="1">
        <v>173</v>
      </c>
      <c r="C882" s="1">
        <v>86</v>
      </c>
      <c r="D882">
        <v>1</v>
      </c>
      <c r="E882" t="s">
        <v>8</v>
      </c>
      <c r="F882" t="s">
        <v>18</v>
      </c>
      <c r="G882" t="s">
        <v>82</v>
      </c>
      <c r="H882">
        <f>IF(Table_Sales[[#This Row],[profit]]&lt;0,1,0)</f>
        <v>0</v>
      </c>
      <c r="I882" t="str" cm="1">
        <f t="array" ref="I882">_xlfn.IFS(Table_Sales[[#This Row],[quantity]]&lt;=3,"1-3",Table_Sales[[#This Row],[quantity]]&lt;=7,"2-7",Table_Sales[[#This Row],[quantity]]&lt;=10,"8-10",TRUE,"11 and above")</f>
        <v>1-3</v>
      </c>
      <c r="J882" t="str" cm="1">
        <f t="array" ref="J882">_xlfn.IFS(Table_Sales[[#This Row],[amount]]&lt;1000,"Under 1000",Table_Sales[[#This Row],[amount]]&lt;3000,"1000 - 2999",Table_Sales[[#This Row],[amount]]&lt;5000,"3000 - 4999",TRUE,"5000 &amp; above")</f>
        <v>Under 1000</v>
      </c>
      <c r="K882">
        <f>IF(COUNTIFS(INDEX(Table_Sales[order_id],1):Table_Sales[[#This Row],[order_id]],Table_Sales[[#This Row],[order_id]])=1,1,0)</f>
        <v>0</v>
      </c>
      <c r="L88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883" spans="1:12" x14ac:dyDescent="0.25">
      <c r="A883" t="s">
        <v>67</v>
      </c>
      <c r="B883" s="1">
        <v>257</v>
      </c>
      <c r="C883" s="1">
        <v>-3</v>
      </c>
      <c r="D883">
        <v>2</v>
      </c>
      <c r="E883" t="s">
        <v>12</v>
      </c>
      <c r="F883" t="s">
        <v>16</v>
      </c>
      <c r="G883" t="s">
        <v>28</v>
      </c>
      <c r="H883">
        <f>IF(Table_Sales[[#This Row],[profit]]&lt;0,1,0)</f>
        <v>1</v>
      </c>
      <c r="I883" t="str" cm="1">
        <f t="array" ref="I883">_xlfn.IFS(Table_Sales[[#This Row],[quantity]]&lt;=3,"1-3",Table_Sales[[#This Row],[quantity]]&lt;=7,"2-7",Table_Sales[[#This Row],[quantity]]&lt;=10,"8-10",TRUE,"11 and above")</f>
        <v>1-3</v>
      </c>
      <c r="J883" t="str" cm="1">
        <f t="array" ref="J883">_xlfn.IFS(Table_Sales[[#This Row],[amount]]&lt;1000,"Under 1000",Table_Sales[[#This Row],[amount]]&lt;3000,"1000 - 2999",Table_Sales[[#This Row],[amount]]&lt;5000,"3000 - 4999",TRUE,"5000 &amp; above")</f>
        <v>Under 1000</v>
      </c>
      <c r="K883">
        <f>IF(COUNTIFS(INDEX(Table_Sales[order_id],1):Table_Sales[[#This Row],[order_id]],Table_Sales[[#This Row],[order_id]])=1,1,0)</f>
        <v>0</v>
      </c>
      <c r="L88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884" spans="1:12" x14ac:dyDescent="0.25">
      <c r="A884" t="s">
        <v>433</v>
      </c>
      <c r="B884" s="1">
        <v>108</v>
      </c>
      <c r="C884" s="1">
        <v>37</v>
      </c>
      <c r="D884">
        <v>2</v>
      </c>
      <c r="E884" t="s">
        <v>23</v>
      </c>
      <c r="F884" t="s">
        <v>57</v>
      </c>
      <c r="G884" t="s">
        <v>19</v>
      </c>
      <c r="H884">
        <f>IF(Table_Sales[[#This Row],[profit]]&lt;0,1,0)</f>
        <v>0</v>
      </c>
      <c r="I884" t="str" cm="1">
        <f t="array" ref="I884">_xlfn.IFS(Table_Sales[[#This Row],[quantity]]&lt;=3,"1-3",Table_Sales[[#This Row],[quantity]]&lt;=7,"2-7",Table_Sales[[#This Row],[quantity]]&lt;=10,"8-10",TRUE,"11 and above")</f>
        <v>1-3</v>
      </c>
      <c r="J884" t="str" cm="1">
        <f t="array" ref="J884">_xlfn.IFS(Table_Sales[[#This Row],[amount]]&lt;1000,"Under 1000",Table_Sales[[#This Row],[amount]]&lt;3000,"1000 - 2999",Table_Sales[[#This Row],[amount]]&lt;5000,"3000 - 4999",TRUE,"5000 &amp; above")</f>
        <v>Under 1000</v>
      </c>
      <c r="K884">
        <f>IF(COUNTIFS(INDEX(Table_Sales[order_id],1):Table_Sales[[#This Row],[order_id]],Table_Sales[[#This Row],[order_id]])=1,1,0)</f>
        <v>1</v>
      </c>
      <c r="L88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885" spans="1:12" x14ac:dyDescent="0.25">
      <c r="A885" t="s">
        <v>434</v>
      </c>
      <c r="B885" s="1">
        <v>177</v>
      </c>
      <c r="C885" s="1">
        <v>41</v>
      </c>
      <c r="D885">
        <v>4</v>
      </c>
      <c r="E885" t="s">
        <v>23</v>
      </c>
      <c r="F885" t="s">
        <v>142</v>
      </c>
      <c r="G885" t="s">
        <v>82</v>
      </c>
      <c r="H885">
        <f>IF(Table_Sales[[#This Row],[profit]]&lt;0,1,0)</f>
        <v>0</v>
      </c>
      <c r="I885" t="str" cm="1">
        <f t="array" ref="I885">_xlfn.IFS(Table_Sales[[#This Row],[quantity]]&lt;=3,"1-3",Table_Sales[[#This Row],[quantity]]&lt;=7,"2-7",Table_Sales[[#This Row],[quantity]]&lt;=10,"8-10",TRUE,"11 and above")</f>
        <v>2-7</v>
      </c>
      <c r="J885" t="str" cm="1">
        <f t="array" ref="J885">_xlfn.IFS(Table_Sales[[#This Row],[amount]]&lt;1000,"Under 1000",Table_Sales[[#This Row],[amount]]&lt;3000,"1000 - 2999",Table_Sales[[#This Row],[amount]]&lt;5000,"3000 - 4999",TRUE,"5000 &amp; above")</f>
        <v>Under 1000</v>
      </c>
      <c r="K885">
        <f>IF(COUNTIFS(INDEX(Table_Sales[order_id],1):Table_Sales[[#This Row],[order_id]],Table_Sales[[#This Row],[order_id]])=1,1,0)</f>
        <v>1</v>
      </c>
      <c r="L88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886" spans="1:12" x14ac:dyDescent="0.25">
      <c r="A886" t="s">
        <v>104</v>
      </c>
      <c r="B886" s="1">
        <v>106</v>
      </c>
      <c r="C886" s="1">
        <v>15</v>
      </c>
      <c r="D886">
        <v>7</v>
      </c>
      <c r="E886" t="s">
        <v>23</v>
      </c>
      <c r="F886" t="s">
        <v>30</v>
      </c>
      <c r="G886" t="s">
        <v>19</v>
      </c>
      <c r="H886">
        <f>IF(Table_Sales[[#This Row],[profit]]&lt;0,1,0)</f>
        <v>0</v>
      </c>
      <c r="I886" t="str" cm="1">
        <f t="array" ref="I886">_xlfn.IFS(Table_Sales[[#This Row],[quantity]]&lt;=3,"1-3",Table_Sales[[#This Row],[quantity]]&lt;=7,"2-7",Table_Sales[[#This Row],[quantity]]&lt;=10,"8-10",TRUE,"11 and above")</f>
        <v>2-7</v>
      </c>
      <c r="J886" t="str" cm="1">
        <f t="array" ref="J886">_xlfn.IFS(Table_Sales[[#This Row],[amount]]&lt;1000,"Under 1000",Table_Sales[[#This Row],[amount]]&lt;3000,"1000 - 2999",Table_Sales[[#This Row],[amount]]&lt;5000,"3000 - 4999",TRUE,"5000 &amp; above")</f>
        <v>Under 1000</v>
      </c>
      <c r="K886">
        <f>IF(COUNTIFS(INDEX(Table_Sales[order_id],1):Table_Sales[[#This Row],[order_id]],Table_Sales[[#This Row],[order_id]])=1,1,0)</f>
        <v>0</v>
      </c>
      <c r="L88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887" spans="1:12" x14ac:dyDescent="0.25">
      <c r="A887" t="s">
        <v>54</v>
      </c>
      <c r="B887" s="1">
        <v>41</v>
      </c>
      <c r="C887" s="1">
        <v>-14</v>
      </c>
      <c r="D887">
        <v>5</v>
      </c>
      <c r="E887" t="s">
        <v>23</v>
      </c>
      <c r="F887" t="s">
        <v>63</v>
      </c>
      <c r="G887" t="s">
        <v>28</v>
      </c>
      <c r="H887">
        <f>IF(Table_Sales[[#This Row],[profit]]&lt;0,1,0)</f>
        <v>1</v>
      </c>
      <c r="I887" t="str" cm="1">
        <f t="array" ref="I887">_xlfn.IFS(Table_Sales[[#This Row],[quantity]]&lt;=3,"1-3",Table_Sales[[#This Row],[quantity]]&lt;=7,"2-7",Table_Sales[[#This Row],[quantity]]&lt;=10,"8-10",TRUE,"11 and above")</f>
        <v>2-7</v>
      </c>
      <c r="J887" t="str" cm="1">
        <f t="array" ref="J887">_xlfn.IFS(Table_Sales[[#This Row],[amount]]&lt;1000,"Under 1000",Table_Sales[[#This Row],[amount]]&lt;3000,"1000 - 2999",Table_Sales[[#This Row],[amount]]&lt;5000,"3000 - 4999",TRUE,"5000 &amp; above")</f>
        <v>Under 1000</v>
      </c>
      <c r="K887">
        <f>IF(COUNTIFS(INDEX(Table_Sales[order_id],1):Table_Sales[[#This Row],[order_id]],Table_Sales[[#This Row],[order_id]])=1,1,0)</f>
        <v>0</v>
      </c>
      <c r="L88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888" spans="1:12" x14ac:dyDescent="0.25">
      <c r="A888" t="s">
        <v>117</v>
      </c>
      <c r="B888" s="1">
        <v>168</v>
      </c>
      <c r="C888" s="1">
        <v>-10</v>
      </c>
      <c r="D888">
        <v>3</v>
      </c>
      <c r="E888" t="s">
        <v>8</v>
      </c>
      <c r="F888" t="s">
        <v>73</v>
      </c>
      <c r="G888" t="s">
        <v>28</v>
      </c>
      <c r="H888">
        <f>IF(Table_Sales[[#This Row],[profit]]&lt;0,1,0)</f>
        <v>1</v>
      </c>
      <c r="I888" t="str" cm="1">
        <f t="array" ref="I888">_xlfn.IFS(Table_Sales[[#This Row],[quantity]]&lt;=3,"1-3",Table_Sales[[#This Row],[quantity]]&lt;=7,"2-7",Table_Sales[[#This Row],[quantity]]&lt;=10,"8-10",TRUE,"11 and above")</f>
        <v>1-3</v>
      </c>
      <c r="J888" t="str" cm="1">
        <f t="array" ref="J888">_xlfn.IFS(Table_Sales[[#This Row],[amount]]&lt;1000,"Under 1000",Table_Sales[[#This Row],[amount]]&lt;3000,"1000 - 2999",Table_Sales[[#This Row],[amount]]&lt;5000,"3000 - 4999",TRUE,"5000 &amp; above")</f>
        <v>Under 1000</v>
      </c>
      <c r="K888">
        <f>IF(COUNTIFS(INDEX(Table_Sales[order_id],1):Table_Sales[[#This Row],[order_id]],Table_Sales[[#This Row],[order_id]])=1,1,0)</f>
        <v>0</v>
      </c>
      <c r="L88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889" spans="1:12" x14ac:dyDescent="0.25">
      <c r="A889" t="s">
        <v>139</v>
      </c>
      <c r="B889" s="1">
        <v>60</v>
      </c>
      <c r="C889" s="1">
        <v>21</v>
      </c>
      <c r="D889">
        <v>4</v>
      </c>
      <c r="E889" t="s">
        <v>23</v>
      </c>
      <c r="F889" t="s">
        <v>57</v>
      </c>
      <c r="G889" t="s">
        <v>10</v>
      </c>
      <c r="H889">
        <f>IF(Table_Sales[[#This Row],[profit]]&lt;0,1,0)</f>
        <v>0</v>
      </c>
      <c r="I889" t="str" cm="1">
        <f t="array" ref="I889">_xlfn.IFS(Table_Sales[[#This Row],[quantity]]&lt;=3,"1-3",Table_Sales[[#This Row],[quantity]]&lt;=7,"2-7",Table_Sales[[#This Row],[quantity]]&lt;=10,"8-10",TRUE,"11 and above")</f>
        <v>2-7</v>
      </c>
      <c r="J889" t="str" cm="1">
        <f t="array" ref="J889">_xlfn.IFS(Table_Sales[[#This Row],[amount]]&lt;1000,"Under 1000",Table_Sales[[#This Row],[amount]]&lt;3000,"1000 - 2999",Table_Sales[[#This Row],[amount]]&lt;5000,"3000 - 4999",TRUE,"5000 &amp; above")</f>
        <v>Under 1000</v>
      </c>
      <c r="K889">
        <f>IF(COUNTIFS(INDEX(Table_Sales[order_id],1):Table_Sales[[#This Row],[order_id]],Table_Sales[[#This Row],[order_id]])=1,1,0)</f>
        <v>0</v>
      </c>
      <c r="L88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890" spans="1:12" x14ac:dyDescent="0.25">
      <c r="A890" t="s">
        <v>435</v>
      </c>
      <c r="B890" s="1">
        <v>31</v>
      </c>
      <c r="C890" s="1">
        <v>-11</v>
      </c>
      <c r="D890">
        <v>4</v>
      </c>
      <c r="E890" t="s">
        <v>23</v>
      </c>
      <c r="F890" t="s">
        <v>57</v>
      </c>
      <c r="G890" t="s">
        <v>10</v>
      </c>
      <c r="H890">
        <f>IF(Table_Sales[[#This Row],[profit]]&lt;0,1,0)</f>
        <v>1</v>
      </c>
      <c r="I890" t="str" cm="1">
        <f t="array" ref="I890">_xlfn.IFS(Table_Sales[[#This Row],[quantity]]&lt;=3,"1-3",Table_Sales[[#This Row],[quantity]]&lt;=7,"2-7",Table_Sales[[#This Row],[quantity]]&lt;=10,"8-10",TRUE,"11 and above")</f>
        <v>2-7</v>
      </c>
      <c r="J890" t="str" cm="1">
        <f t="array" ref="J890">_xlfn.IFS(Table_Sales[[#This Row],[amount]]&lt;1000,"Under 1000",Table_Sales[[#This Row],[amount]]&lt;3000,"1000 - 2999",Table_Sales[[#This Row],[amount]]&lt;5000,"3000 - 4999",TRUE,"5000 &amp; above")</f>
        <v>Under 1000</v>
      </c>
      <c r="K890">
        <f>IF(COUNTIFS(INDEX(Table_Sales[order_id],1):Table_Sales[[#This Row],[order_id]],Table_Sales[[#This Row],[order_id]])=1,1,0)</f>
        <v>1</v>
      </c>
      <c r="L89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891" spans="1:12" x14ac:dyDescent="0.25">
      <c r="A891" t="s">
        <v>228</v>
      </c>
      <c r="B891" s="1">
        <v>179</v>
      </c>
      <c r="C891" s="1">
        <v>0</v>
      </c>
      <c r="D891">
        <v>2</v>
      </c>
      <c r="E891" t="s">
        <v>23</v>
      </c>
      <c r="F891" t="s">
        <v>26</v>
      </c>
      <c r="G891" t="s">
        <v>82</v>
      </c>
      <c r="H891">
        <f>IF(Table_Sales[[#This Row],[profit]]&lt;0,1,0)</f>
        <v>0</v>
      </c>
      <c r="I891" t="str" cm="1">
        <f t="array" ref="I891">_xlfn.IFS(Table_Sales[[#This Row],[quantity]]&lt;=3,"1-3",Table_Sales[[#This Row],[quantity]]&lt;=7,"2-7",Table_Sales[[#This Row],[quantity]]&lt;=10,"8-10",TRUE,"11 and above")</f>
        <v>1-3</v>
      </c>
      <c r="J891" t="str" cm="1">
        <f t="array" ref="J891">_xlfn.IFS(Table_Sales[[#This Row],[amount]]&lt;1000,"Under 1000",Table_Sales[[#This Row],[amount]]&lt;3000,"1000 - 2999",Table_Sales[[#This Row],[amount]]&lt;5000,"3000 - 4999",TRUE,"5000 &amp; above")</f>
        <v>Under 1000</v>
      </c>
      <c r="K891">
        <f>IF(COUNTIFS(INDEX(Table_Sales[order_id],1):Table_Sales[[#This Row],[order_id]],Table_Sales[[#This Row],[order_id]])=1,1,0)</f>
        <v>0</v>
      </c>
      <c r="L89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892" spans="1:12" x14ac:dyDescent="0.25">
      <c r="A892" t="s">
        <v>172</v>
      </c>
      <c r="B892" s="1">
        <v>106</v>
      </c>
      <c r="C892" s="1">
        <v>12</v>
      </c>
      <c r="D892">
        <v>3</v>
      </c>
      <c r="E892" t="s">
        <v>23</v>
      </c>
      <c r="F892" t="s">
        <v>24</v>
      </c>
      <c r="G892" t="s">
        <v>19</v>
      </c>
      <c r="H892">
        <f>IF(Table_Sales[[#This Row],[profit]]&lt;0,1,0)</f>
        <v>0</v>
      </c>
      <c r="I892" t="str" cm="1">
        <f t="array" ref="I892">_xlfn.IFS(Table_Sales[[#This Row],[quantity]]&lt;=3,"1-3",Table_Sales[[#This Row],[quantity]]&lt;=7,"2-7",Table_Sales[[#This Row],[quantity]]&lt;=10,"8-10",TRUE,"11 and above")</f>
        <v>1-3</v>
      </c>
      <c r="J892" t="str" cm="1">
        <f t="array" ref="J892">_xlfn.IFS(Table_Sales[[#This Row],[amount]]&lt;1000,"Under 1000",Table_Sales[[#This Row],[amount]]&lt;3000,"1000 - 2999",Table_Sales[[#This Row],[amount]]&lt;5000,"3000 - 4999",TRUE,"5000 &amp; above")</f>
        <v>Under 1000</v>
      </c>
      <c r="K892">
        <f>IF(COUNTIFS(INDEX(Table_Sales[order_id],1):Table_Sales[[#This Row],[order_id]],Table_Sales[[#This Row],[order_id]])=1,1,0)</f>
        <v>0</v>
      </c>
      <c r="L89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893" spans="1:12" x14ac:dyDescent="0.25">
      <c r="A893" t="s">
        <v>294</v>
      </c>
      <c r="B893" s="1">
        <v>60</v>
      </c>
      <c r="C893" s="1">
        <v>13</v>
      </c>
      <c r="D893">
        <v>2</v>
      </c>
      <c r="E893" t="s">
        <v>23</v>
      </c>
      <c r="F893" t="s">
        <v>81</v>
      </c>
      <c r="G893" t="s">
        <v>10</v>
      </c>
      <c r="H893">
        <f>IF(Table_Sales[[#This Row],[profit]]&lt;0,1,0)</f>
        <v>0</v>
      </c>
      <c r="I893" t="str" cm="1">
        <f t="array" ref="I893">_xlfn.IFS(Table_Sales[[#This Row],[quantity]]&lt;=3,"1-3",Table_Sales[[#This Row],[quantity]]&lt;=7,"2-7",Table_Sales[[#This Row],[quantity]]&lt;=10,"8-10",TRUE,"11 and above")</f>
        <v>1-3</v>
      </c>
      <c r="J893" t="str" cm="1">
        <f t="array" ref="J893">_xlfn.IFS(Table_Sales[[#This Row],[amount]]&lt;1000,"Under 1000",Table_Sales[[#This Row],[amount]]&lt;3000,"1000 - 2999",Table_Sales[[#This Row],[amount]]&lt;5000,"3000 - 4999",TRUE,"5000 &amp; above")</f>
        <v>Under 1000</v>
      </c>
      <c r="K893">
        <f>IF(COUNTIFS(INDEX(Table_Sales[order_id],1):Table_Sales[[#This Row],[order_id]],Table_Sales[[#This Row],[order_id]])=1,1,0)</f>
        <v>0</v>
      </c>
      <c r="L89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894" spans="1:12" x14ac:dyDescent="0.25">
      <c r="A894" t="s">
        <v>149</v>
      </c>
      <c r="B894" s="1">
        <v>180</v>
      </c>
      <c r="C894" s="1">
        <v>5</v>
      </c>
      <c r="D894">
        <v>3</v>
      </c>
      <c r="E894" t="s">
        <v>23</v>
      </c>
      <c r="F894" t="s">
        <v>24</v>
      </c>
      <c r="G894" t="s">
        <v>82</v>
      </c>
      <c r="H894">
        <f>IF(Table_Sales[[#This Row],[profit]]&lt;0,1,0)</f>
        <v>0</v>
      </c>
      <c r="I894" t="str" cm="1">
        <f t="array" ref="I894">_xlfn.IFS(Table_Sales[[#This Row],[quantity]]&lt;=3,"1-3",Table_Sales[[#This Row],[quantity]]&lt;=7,"2-7",Table_Sales[[#This Row],[quantity]]&lt;=10,"8-10",TRUE,"11 and above")</f>
        <v>1-3</v>
      </c>
      <c r="J894" t="str" cm="1">
        <f t="array" ref="J894">_xlfn.IFS(Table_Sales[[#This Row],[amount]]&lt;1000,"Under 1000",Table_Sales[[#This Row],[amount]]&lt;3000,"1000 - 2999",Table_Sales[[#This Row],[amount]]&lt;5000,"3000 - 4999",TRUE,"5000 &amp; above")</f>
        <v>Under 1000</v>
      </c>
      <c r="K894">
        <f>IF(COUNTIFS(INDEX(Table_Sales[order_id],1):Table_Sales[[#This Row],[order_id]],Table_Sales[[#This Row],[order_id]])=1,1,0)</f>
        <v>0</v>
      </c>
      <c r="L89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895" spans="1:12" x14ac:dyDescent="0.25">
      <c r="A895" t="s">
        <v>134</v>
      </c>
      <c r="B895" s="1">
        <v>60</v>
      </c>
      <c r="C895" s="1">
        <v>-10</v>
      </c>
      <c r="D895">
        <v>2</v>
      </c>
      <c r="E895" t="s">
        <v>12</v>
      </c>
      <c r="F895" t="s">
        <v>131</v>
      </c>
      <c r="G895" t="s">
        <v>10</v>
      </c>
      <c r="H895">
        <f>IF(Table_Sales[[#This Row],[profit]]&lt;0,1,0)</f>
        <v>1</v>
      </c>
      <c r="I895" t="str" cm="1">
        <f t="array" ref="I895">_xlfn.IFS(Table_Sales[[#This Row],[quantity]]&lt;=3,"1-3",Table_Sales[[#This Row],[quantity]]&lt;=7,"2-7",Table_Sales[[#This Row],[quantity]]&lt;=10,"8-10",TRUE,"11 and above")</f>
        <v>1-3</v>
      </c>
      <c r="J895" t="str" cm="1">
        <f t="array" ref="J895">_xlfn.IFS(Table_Sales[[#This Row],[amount]]&lt;1000,"Under 1000",Table_Sales[[#This Row],[amount]]&lt;3000,"1000 - 2999",Table_Sales[[#This Row],[amount]]&lt;5000,"3000 - 4999",TRUE,"5000 &amp; above")</f>
        <v>Under 1000</v>
      </c>
      <c r="K895">
        <f>IF(COUNTIFS(INDEX(Table_Sales[order_id],1):Table_Sales[[#This Row],[order_id]],Table_Sales[[#This Row],[order_id]])=1,1,0)</f>
        <v>0</v>
      </c>
      <c r="L89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896" spans="1:12" x14ac:dyDescent="0.25">
      <c r="A896" t="s">
        <v>389</v>
      </c>
      <c r="B896" s="1">
        <v>59</v>
      </c>
      <c r="C896" s="1">
        <v>25</v>
      </c>
      <c r="D896">
        <v>3</v>
      </c>
      <c r="E896" t="s">
        <v>23</v>
      </c>
      <c r="F896" t="s">
        <v>57</v>
      </c>
      <c r="G896" t="s">
        <v>10</v>
      </c>
      <c r="H896">
        <f>IF(Table_Sales[[#This Row],[profit]]&lt;0,1,0)</f>
        <v>0</v>
      </c>
      <c r="I896" t="str" cm="1">
        <f t="array" ref="I896">_xlfn.IFS(Table_Sales[[#This Row],[quantity]]&lt;=3,"1-3",Table_Sales[[#This Row],[quantity]]&lt;=7,"2-7",Table_Sales[[#This Row],[quantity]]&lt;=10,"8-10",TRUE,"11 and above")</f>
        <v>1-3</v>
      </c>
      <c r="J896" t="str" cm="1">
        <f t="array" ref="J896">_xlfn.IFS(Table_Sales[[#This Row],[amount]]&lt;1000,"Under 1000",Table_Sales[[#This Row],[amount]]&lt;3000,"1000 - 2999",Table_Sales[[#This Row],[amount]]&lt;5000,"3000 - 4999",TRUE,"5000 &amp; above")</f>
        <v>Under 1000</v>
      </c>
      <c r="K896">
        <f>IF(COUNTIFS(INDEX(Table_Sales[order_id],1):Table_Sales[[#This Row],[order_id]],Table_Sales[[#This Row],[order_id]])=1,1,0)</f>
        <v>0</v>
      </c>
      <c r="L89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897" spans="1:12" x14ac:dyDescent="0.25">
      <c r="A897" t="s">
        <v>84</v>
      </c>
      <c r="B897" s="1">
        <v>170</v>
      </c>
      <c r="C897" s="1">
        <v>73</v>
      </c>
      <c r="D897">
        <v>2</v>
      </c>
      <c r="E897" t="s">
        <v>8</v>
      </c>
      <c r="F897" t="s">
        <v>73</v>
      </c>
      <c r="G897" t="s">
        <v>28</v>
      </c>
      <c r="H897">
        <f>IF(Table_Sales[[#This Row],[profit]]&lt;0,1,0)</f>
        <v>0</v>
      </c>
      <c r="I897" t="str" cm="1">
        <f t="array" ref="I897">_xlfn.IFS(Table_Sales[[#This Row],[quantity]]&lt;=3,"1-3",Table_Sales[[#This Row],[quantity]]&lt;=7,"2-7",Table_Sales[[#This Row],[quantity]]&lt;=10,"8-10",TRUE,"11 and above")</f>
        <v>1-3</v>
      </c>
      <c r="J897" t="str" cm="1">
        <f t="array" ref="J897">_xlfn.IFS(Table_Sales[[#This Row],[amount]]&lt;1000,"Under 1000",Table_Sales[[#This Row],[amount]]&lt;3000,"1000 - 2999",Table_Sales[[#This Row],[amount]]&lt;5000,"3000 - 4999",TRUE,"5000 &amp; above")</f>
        <v>Under 1000</v>
      </c>
      <c r="K897">
        <f>IF(COUNTIFS(INDEX(Table_Sales[order_id],1):Table_Sales[[#This Row],[order_id]],Table_Sales[[#This Row],[order_id]])=1,1,0)</f>
        <v>0</v>
      </c>
      <c r="L89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898" spans="1:12" x14ac:dyDescent="0.25">
      <c r="A898" t="s">
        <v>394</v>
      </c>
      <c r="B898" s="1">
        <v>59</v>
      </c>
      <c r="C898" s="1">
        <v>10</v>
      </c>
      <c r="D898">
        <v>2</v>
      </c>
      <c r="E898" t="s">
        <v>23</v>
      </c>
      <c r="F898" t="s">
        <v>30</v>
      </c>
      <c r="G898" t="s">
        <v>10</v>
      </c>
      <c r="H898">
        <f>IF(Table_Sales[[#This Row],[profit]]&lt;0,1,0)</f>
        <v>0</v>
      </c>
      <c r="I898" t="str" cm="1">
        <f t="array" ref="I898">_xlfn.IFS(Table_Sales[[#This Row],[quantity]]&lt;=3,"1-3",Table_Sales[[#This Row],[quantity]]&lt;=7,"2-7",Table_Sales[[#This Row],[quantity]]&lt;=10,"8-10",TRUE,"11 and above")</f>
        <v>1-3</v>
      </c>
      <c r="J898" t="str" cm="1">
        <f t="array" ref="J898">_xlfn.IFS(Table_Sales[[#This Row],[amount]]&lt;1000,"Under 1000",Table_Sales[[#This Row],[amount]]&lt;3000,"1000 - 2999",Table_Sales[[#This Row],[amount]]&lt;5000,"3000 - 4999",TRUE,"5000 &amp; above")</f>
        <v>Under 1000</v>
      </c>
      <c r="K898">
        <f>IF(COUNTIFS(INDEX(Table_Sales[order_id],1):Table_Sales[[#This Row],[order_id]],Table_Sales[[#This Row],[order_id]])=1,1,0)</f>
        <v>0</v>
      </c>
      <c r="L89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899" spans="1:12" x14ac:dyDescent="0.25">
      <c r="A899" t="s">
        <v>308</v>
      </c>
      <c r="B899" s="1">
        <v>24</v>
      </c>
      <c r="C899" s="1">
        <v>-21</v>
      </c>
      <c r="D899">
        <v>7</v>
      </c>
      <c r="E899" t="s">
        <v>23</v>
      </c>
      <c r="F899" t="s">
        <v>43</v>
      </c>
      <c r="G899" t="s">
        <v>10</v>
      </c>
      <c r="H899">
        <f>IF(Table_Sales[[#This Row],[profit]]&lt;0,1,0)</f>
        <v>1</v>
      </c>
      <c r="I899" t="str" cm="1">
        <f t="array" ref="I899">_xlfn.IFS(Table_Sales[[#This Row],[quantity]]&lt;=3,"1-3",Table_Sales[[#This Row],[quantity]]&lt;=7,"2-7",Table_Sales[[#This Row],[quantity]]&lt;=10,"8-10",TRUE,"11 and above")</f>
        <v>2-7</v>
      </c>
      <c r="J899" t="str" cm="1">
        <f t="array" ref="J899">_xlfn.IFS(Table_Sales[[#This Row],[amount]]&lt;1000,"Under 1000",Table_Sales[[#This Row],[amount]]&lt;3000,"1000 - 2999",Table_Sales[[#This Row],[amount]]&lt;5000,"3000 - 4999",TRUE,"5000 &amp; above")</f>
        <v>Under 1000</v>
      </c>
      <c r="K899">
        <f>IF(COUNTIFS(INDEX(Table_Sales[order_id],1):Table_Sales[[#This Row],[order_id]],Table_Sales[[#This Row],[order_id]])=1,1,0)</f>
        <v>0</v>
      </c>
      <c r="L89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900" spans="1:12" x14ac:dyDescent="0.25">
      <c r="A900" t="s">
        <v>59</v>
      </c>
      <c r="B900" s="1">
        <v>105</v>
      </c>
      <c r="C900" s="1">
        <v>-26</v>
      </c>
      <c r="D900">
        <v>8</v>
      </c>
      <c r="E900" t="s">
        <v>23</v>
      </c>
      <c r="F900" t="s">
        <v>63</v>
      </c>
      <c r="G900" t="s">
        <v>19</v>
      </c>
      <c r="H900">
        <f>IF(Table_Sales[[#This Row],[profit]]&lt;0,1,0)</f>
        <v>1</v>
      </c>
      <c r="I900" t="str" cm="1">
        <f t="array" ref="I900">_xlfn.IFS(Table_Sales[[#This Row],[quantity]]&lt;=3,"1-3",Table_Sales[[#This Row],[quantity]]&lt;=7,"2-7",Table_Sales[[#This Row],[quantity]]&lt;=10,"8-10",TRUE,"11 and above")</f>
        <v>8-10</v>
      </c>
      <c r="J900" t="str" cm="1">
        <f t="array" ref="J900">_xlfn.IFS(Table_Sales[[#This Row],[amount]]&lt;1000,"Under 1000",Table_Sales[[#This Row],[amount]]&lt;3000,"1000 - 2999",Table_Sales[[#This Row],[amount]]&lt;5000,"3000 - 4999",TRUE,"5000 &amp; above")</f>
        <v>Under 1000</v>
      </c>
      <c r="K900">
        <f>IF(COUNTIFS(INDEX(Table_Sales[order_id],1):Table_Sales[[#This Row],[order_id]],Table_Sales[[#This Row],[order_id]])=1,1,0)</f>
        <v>0</v>
      </c>
      <c r="L90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901" spans="1:12" x14ac:dyDescent="0.25">
      <c r="A901" t="s">
        <v>243</v>
      </c>
      <c r="B901" s="1">
        <v>103</v>
      </c>
      <c r="C901" s="1">
        <v>46</v>
      </c>
      <c r="D901">
        <v>2</v>
      </c>
      <c r="E901" t="s">
        <v>23</v>
      </c>
      <c r="F901" t="s">
        <v>26</v>
      </c>
      <c r="G901" t="s">
        <v>19</v>
      </c>
      <c r="H901">
        <f>IF(Table_Sales[[#This Row],[profit]]&lt;0,1,0)</f>
        <v>0</v>
      </c>
      <c r="I901" t="str" cm="1">
        <f t="array" ref="I901">_xlfn.IFS(Table_Sales[[#This Row],[quantity]]&lt;=3,"1-3",Table_Sales[[#This Row],[quantity]]&lt;=7,"2-7",Table_Sales[[#This Row],[quantity]]&lt;=10,"8-10",TRUE,"11 and above")</f>
        <v>1-3</v>
      </c>
      <c r="J901" t="str" cm="1">
        <f t="array" ref="J901">_xlfn.IFS(Table_Sales[[#This Row],[amount]]&lt;1000,"Under 1000",Table_Sales[[#This Row],[amount]]&lt;3000,"1000 - 2999",Table_Sales[[#This Row],[amount]]&lt;5000,"3000 - 4999",TRUE,"5000 &amp; above")</f>
        <v>Under 1000</v>
      </c>
      <c r="K901">
        <f>IF(COUNTIFS(INDEX(Table_Sales[order_id],1):Table_Sales[[#This Row],[order_id]],Table_Sales[[#This Row],[order_id]])=1,1,0)</f>
        <v>0</v>
      </c>
      <c r="L90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902" spans="1:12" x14ac:dyDescent="0.25">
      <c r="A902" t="s">
        <v>436</v>
      </c>
      <c r="B902" s="1">
        <v>171</v>
      </c>
      <c r="C902" s="1">
        <v>17</v>
      </c>
      <c r="D902">
        <v>6</v>
      </c>
      <c r="E902" t="s">
        <v>23</v>
      </c>
      <c r="F902" t="s">
        <v>81</v>
      </c>
      <c r="G902" t="s">
        <v>28</v>
      </c>
      <c r="H902">
        <f>IF(Table_Sales[[#This Row],[profit]]&lt;0,1,0)</f>
        <v>0</v>
      </c>
      <c r="I902" t="str" cm="1">
        <f t="array" ref="I902">_xlfn.IFS(Table_Sales[[#This Row],[quantity]]&lt;=3,"1-3",Table_Sales[[#This Row],[quantity]]&lt;=7,"2-7",Table_Sales[[#This Row],[quantity]]&lt;=10,"8-10",TRUE,"11 and above")</f>
        <v>2-7</v>
      </c>
      <c r="J902" t="str" cm="1">
        <f t="array" ref="J902">_xlfn.IFS(Table_Sales[[#This Row],[amount]]&lt;1000,"Under 1000",Table_Sales[[#This Row],[amount]]&lt;3000,"1000 - 2999",Table_Sales[[#This Row],[amount]]&lt;5000,"3000 - 4999",TRUE,"5000 &amp; above")</f>
        <v>Under 1000</v>
      </c>
      <c r="K902">
        <f>IF(COUNTIFS(INDEX(Table_Sales[order_id],1):Table_Sales[[#This Row],[order_id]],Table_Sales[[#This Row],[order_id]])=1,1,0)</f>
        <v>1</v>
      </c>
      <c r="L90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903" spans="1:12" x14ac:dyDescent="0.25">
      <c r="A903" t="s">
        <v>179</v>
      </c>
      <c r="B903" s="1">
        <v>102</v>
      </c>
      <c r="C903" s="1">
        <v>13</v>
      </c>
      <c r="D903">
        <v>2</v>
      </c>
      <c r="E903" t="s">
        <v>23</v>
      </c>
      <c r="F903" t="s">
        <v>57</v>
      </c>
      <c r="G903" t="s">
        <v>19</v>
      </c>
      <c r="H903">
        <f>IF(Table_Sales[[#This Row],[profit]]&lt;0,1,0)</f>
        <v>0</v>
      </c>
      <c r="I903" t="str" cm="1">
        <f t="array" ref="I903">_xlfn.IFS(Table_Sales[[#This Row],[quantity]]&lt;=3,"1-3",Table_Sales[[#This Row],[quantity]]&lt;=7,"2-7",Table_Sales[[#This Row],[quantity]]&lt;=10,"8-10",TRUE,"11 and above")</f>
        <v>1-3</v>
      </c>
      <c r="J903" t="str" cm="1">
        <f t="array" ref="J903">_xlfn.IFS(Table_Sales[[#This Row],[amount]]&lt;1000,"Under 1000",Table_Sales[[#This Row],[amount]]&lt;3000,"1000 - 2999",Table_Sales[[#This Row],[amount]]&lt;5000,"3000 - 4999",TRUE,"5000 &amp; above")</f>
        <v>Under 1000</v>
      </c>
      <c r="K903">
        <f>IF(COUNTIFS(INDEX(Table_Sales[order_id],1):Table_Sales[[#This Row],[order_id]],Table_Sales[[#This Row],[order_id]])=1,1,0)</f>
        <v>0</v>
      </c>
      <c r="L90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904" spans="1:12" x14ac:dyDescent="0.25">
      <c r="A904" t="s">
        <v>171</v>
      </c>
      <c r="B904" s="1">
        <v>98</v>
      </c>
      <c r="C904" s="1">
        <v>12</v>
      </c>
      <c r="D904">
        <v>2</v>
      </c>
      <c r="E904" t="s">
        <v>23</v>
      </c>
      <c r="F904" t="s">
        <v>30</v>
      </c>
      <c r="G904" t="s">
        <v>19</v>
      </c>
      <c r="H904">
        <f>IF(Table_Sales[[#This Row],[profit]]&lt;0,1,0)</f>
        <v>0</v>
      </c>
      <c r="I904" t="str" cm="1">
        <f t="array" ref="I904">_xlfn.IFS(Table_Sales[[#This Row],[quantity]]&lt;=3,"1-3",Table_Sales[[#This Row],[quantity]]&lt;=7,"2-7",Table_Sales[[#This Row],[quantity]]&lt;=10,"8-10",TRUE,"11 and above")</f>
        <v>1-3</v>
      </c>
      <c r="J904" t="str" cm="1">
        <f t="array" ref="J904">_xlfn.IFS(Table_Sales[[#This Row],[amount]]&lt;1000,"Under 1000",Table_Sales[[#This Row],[amount]]&lt;3000,"1000 - 2999",Table_Sales[[#This Row],[amount]]&lt;5000,"3000 - 4999",TRUE,"5000 &amp; above")</f>
        <v>Under 1000</v>
      </c>
      <c r="K904">
        <f>IF(COUNTIFS(INDEX(Table_Sales[order_id],1):Table_Sales[[#This Row],[order_id]],Table_Sales[[#This Row],[order_id]])=1,1,0)</f>
        <v>0</v>
      </c>
      <c r="L90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905" spans="1:12" x14ac:dyDescent="0.25">
      <c r="A905" t="s">
        <v>323</v>
      </c>
      <c r="B905" s="1">
        <v>59</v>
      </c>
      <c r="C905" s="1">
        <v>10</v>
      </c>
      <c r="D905">
        <v>4</v>
      </c>
      <c r="E905" t="s">
        <v>23</v>
      </c>
      <c r="F905" t="s">
        <v>63</v>
      </c>
      <c r="G905" t="s">
        <v>10</v>
      </c>
      <c r="H905">
        <f>IF(Table_Sales[[#This Row],[profit]]&lt;0,1,0)</f>
        <v>0</v>
      </c>
      <c r="I905" t="str" cm="1">
        <f t="array" ref="I905">_xlfn.IFS(Table_Sales[[#This Row],[quantity]]&lt;=3,"1-3",Table_Sales[[#This Row],[quantity]]&lt;=7,"2-7",Table_Sales[[#This Row],[quantity]]&lt;=10,"8-10",TRUE,"11 and above")</f>
        <v>2-7</v>
      </c>
      <c r="J905" t="str" cm="1">
        <f t="array" ref="J905">_xlfn.IFS(Table_Sales[[#This Row],[amount]]&lt;1000,"Under 1000",Table_Sales[[#This Row],[amount]]&lt;3000,"1000 - 2999",Table_Sales[[#This Row],[amount]]&lt;5000,"3000 - 4999",TRUE,"5000 &amp; above")</f>
        <v>Under 1000</v>
      </c>
      <c r="K905">
        <f>IF(COUNTIFS(INDEX(Table_Sales[order_id],1):Table_Sales[[#This Row],[order_id]],Table_Sales[[#This Row],[order_id]])=1,1,0)</f>
        <v>0</v>
      </c>
      <c r="L90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906" spans="1:12" x14ac:dyDescent="0.25">
      <c r="A906" t="s">
        <v>328</v>
      </c>
      <c r="B906" s="1">
        <v>189</v>
      </c>
      <c r="C906" s="1">
        <v>60</v>
      </c>
      <c r="D906">
        <v>4</v>
      </c>
      <c r="E906" t="s">
        <v>12</v>
      </c>
      <c r="F906" t="s">
        <v>131</v>
      </c>
      <c r="G906" t="s">
        <v>82</v>
      </c>
      <c r="H906">
        <f>IF(Table_Sales[[#This Row],[profit]]&lt;0,1,0)</f>
        <v>0</v>
      </c>
      <c r="I906" t="str" cm="1">
        <f t="array" ref="I906">_xlfn.IFS(Table_Sales[[#This Row],[quantity]]&lt;=3,"1-3",Table_Sales[[#This Row],[quantity]]&lt;=7,"2-7",Table_Sales[[#This Row],[quantity]]&lt;=10,"8-10",TRUE,"11 and above")</f>
        <v>2-7</v>
      </c>
      <c r="J906" t="str" cm="1">
        <f t="array" ref="J906">_xlfn.IFS(Table_Sales[[#This Row],[amount]]&lt;1000,"Under 1000",Table_Sales[[#This Row],[amount]]&lt;3000,"1000 - 2999",Table_Sales[[#This Row],[amount]]&lt;5000,"3000 - 4999",TRUE,"5000 &amp; above")</f>
        <v>Under 1000</v>
      </c>
      <c r="K906">
        <f>IF(COUNTIFS(INDEX(Table_Sales[order_id],1):Table_Sales[[#This Row],[order_id]],Table_Sales[[#This Row],[order_id]])=1,1,0)</f>
        <v>0</v>
      </c>
      <c r="L90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907" spans="1:12" x14ac:dyDescent="0.25">
      <c r="A907" t="s">
        <v>437</v>
      </c>
      <c r="B907" s="1">
        <v>58</v>
      </c>
      <c r="C907" s="1">
        <v>-52</v>
      </c>
      <c r="D907">
        <v>3</v>
      </c>
      <c r="E907" t="s">
        <v>12</v>
      </c>
      <c r="F907" t="s">
        <v>13</v>
      </c>
      <c r="G907" t="s">
        <v>10</v>
      </c>
      <c r="H907">
        <f>IF(Table_Sales[[#This Row],[profit]]&lt;0,1,0)</f>
        <v>1</v>
      </c>
      <c r="I907" t="str" cm="1">
        <f t="array" ref="I907">_xlfn.IFS(Table_Sales[[#This Row],[quantity]]&lt;=3,"1-3",Table_Sales[[#This Row],[quantity]]&lt;=7,"2-7",Table_Sales[[#This Row],[quantity]]&lt;=10,"8-10",TRUE,"11 and above")</f>
        <v>1-3</v>
      </c>
      <c r="J907" t="str" cm="1">
        <f t="array" ref="J907">_xlfn.IFS(Table_Sales[[#This Row],[amount]]&lt;1000,"Under 1000",Table_Sales[[#This Row],[amount]]&lt;3000,"1000 - 2999",Table_Sales[[#This Row],[amount]]&lt;5000,"3000 - 4999",TRUE,"5000 &amp; above")</f>
        <v>Under 1000</v>
      </c>
      <c r="K907">
        <f>IF(COUNTIFS(INDEX(Table_Sales[order_id],1):Table_Sales[[#This Row],[order_id]],Table_Sales[[#This Row],[order_id]])=1,1,0)</f>
        <v>1</v>
      </c>
      <c r="L90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908" spans="1:12" x14ac:dyDescent="0.25">
      <c r="A908" t="s">
        <v>125</v>
      </c>
      <c r="B908" s="1">
        <v>60</v>
      </c>
      <c r="C908" s="1">
        <v>3</v>
      </c>
      <c r="D908">
        <v>3</v>
      </c>
      <c r="E908" t="s">
        <v>23</v>
      </c>
      <c r="F908" t="s">
        <v>26</v>
      </c>
      <c r="G908" t="s">
        <v>28</v>
      </c>
      <c r="H908">
        <f>IF(Table_Sales[[#This Row],[profit]]&lt;0,1,0)</f>
        <v>0</v>
      </c>
      <c r="I908" t="str" cm="1">
        <f t="array" ref="I908">_xlfn.IFS(Table_Sales[[#This Row],[quantity]]&lt;=3,"1-3",Table_Sales[[#This Row],[quantity]]&lt;=7,"2-7",Table_Sales[[#This Row],[quantity]]&lt;=10,"8-10",TRUE,"11 and above")</f>
        <v>1-3</v>
      </c>
      <c r="J908" t="str" cm="1">
        <f t="array" ref="J908">_xlfn.IFS(Table_Sales[[#This Row],[amount]]&lt;1000,"Under 1000",Table_Sales[[#This Row],[amount]]&lt;3000,"1000 - 2999",Table_Sales[[#This Row],[amount]]&lt;5000,"3000 - 4999",TRUE,"5000 &amp; above")</f>
        <v>Under 1000</v>
      </c>
      <c r="K908">
        <f>IF(COUNTIFS(INDEX(Table_Sales[order_id],1):Table_Sales[[#This Row],[order_id]],Table_Sales[[#This Row],[order_id]])=1,1,0)</f>
        <v>0</v>
      </c>
      <c r="L90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909" spans="1:12" x14ac:dyDescent="0.25">
      <c r="A909" t="s">
        <v>438</v>
      </c>
      <c r="B909" s="1">
        <v>58</v>
      </c>
      <c r="C909" s="1">
        <v>-8</v>
      </c>
      <c r="D909">
        <v>2</v>
      </c>
      <c r="E909" t="s">
        <v>23</v>
      </c>
      <c r="F909" t="s">
        <v>26</v>
      </c>
      <c r="G909" t="s">
        <v>10</v>
      </c>
      <c r="H909">
        <f>IF(Table_Sales[[#This Row],[profit]]&lt;0,1,0)</f>
        <v>1</v>
      </c>
      <c r="I909" t="str" cm="1">
        <f t="array" ref="I909">_xlfn.IFS(Table_Sales[[#This Row],[quantity]]&lt;=3,"1-3",Table_Sales[[#This Row],[quantity]]&lt;=7,"2-7",Table_Sales[[#This Row],[quantity]]&lt;=10,"8-10",TRUE,"11 and above")</f>
        <v>1-3</v>
      </c>
      <c r="J909" t="str" cm="1">
        <f t="array" ref="J909">_xlfn.IFS(Table_Sales[[#This Row],[amount]]&lt;1000,"Under 1000",Table_Sales[[#This Row],[amount]]&lt;3000,"1000 - 2999",Table_Sales[[#This Row],[amount]]&lt;5000,"3000 - 4999",TRUE,"5000 &amp; above")</f>
        <v>Under 1000</v>
      </c>
      <c r="K909">
        <f>IF(COUNTIFS(INDEX(Table_Sales[order_id],1):Table_Sales[[#This Row],[order_id]],Table_Sales[[#This Row],[order_id]])=1,1,0)</f>
        <v>1</v>
      </c>
      <c r="L90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910" spans="1:12" x14ac:dyDescent="0.25">
      <c r="A910" t="s">
        <v>198</v>
      </c>
      <c r="B910" s="1">
        <v>94</v>
      </c>
      <c r="C910" s="1">
        <v>20</v>
      </c>
      <c r="D910">
        <v>2</v>
      </c>
      <c r="E910" t="s">
        <v>12</v>
      </c>
      <c r="F910" t="s">
        <v>131</v>
      </c>
      <c r="G910" t="s">
        <v>28</v>
      </c>
      <c r="H910">
        <f>IF(Table_Sales[[#This Row],[profit]]&lt;0,1,0)</f>
        <v>0</v>
      </c>
      <c r="I910" t="str" cm="1">
        <f t="array" ref="I910">_xlfn.IFS(Table_Sales[[#This Row],[quantity]]&lt;=3,"1-3",Table_Sales[[#This Row],[quantity]]&lt;=7,"2-7",Table_Sales[[#This Row],[quantity]]&lt;=10,"8-10",TRUE,"11 and above")</f>
        <v>1-3</v>
      </c>
      <c r="J910" t="str" cm="1">
        <f t="array" ref="J910">_xlfn.IFS(Table_Sales[[#This Row],[amount]]&lt;1000,"Under 1000",Table_Sales[[#This Row],[amount]]&lt;3000,"1000 - 2999",Table_Sales[[#This Row],[amount]]&lt;5000,"3000 - 4999",TRUE,"5000 &amp; above")</f>
        <v>Under 1000</v>
      </c>
      <c r="K910">
        <f>IF(COUNTIFS(INDEX(Table_Sales[order_id],1):Table_Sales[[#This Row],[order_id]],Table_Sales[[#This Row],[order_id]])=1,1,0)</f>
        <v>0</v>
      </c>
      <c r="L91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911" spans="1:12" x14ac:dyDescent="0.25">
      <c r="A911" t="s">
        <v>149</v>
      </c>
      <c r="B911" s="1">
        <v>193</v>
      </c>
      <c r="C911" s="1">
        <v>-166</v>
      </c>
      <c r="D911">
        <v>3</v>
      </c>
      <c r="E911" t="s">
        <v>23</v>
      </c>
      <c r="F911" t="s">
        <v>26</v>
      </c>
      <c r="G911" t="s">
        <v>14</v>
      </c>
      <c r="H911">
        <f>IF(Table_Sales[[#This Row],[profit]]&lt;0,1,0)</f>
        <v>1</v>
      </c>
      <c r="I911" t="str" cm="1">
        <f t="array" ref="I911">_xlfn.IFS(Table_Sales[[#This Row],[quantity]]&lt;=3,"1-3",Table_Sales[[#This Row],[quantity]]&lt;=7,"2-7",Table_Sales[[#This Row],[quantity]]&lt;=10,"8-10",TRUE,"11 and above")</f>
        <v>1-3</v>
      </c>
      <c r="J911" t="str" cm="1">
        <f t="array" ref="J911">_xlfn.IFS(Table_Sales[[#This Row],[amount]]&lt;1000,"Under 1000",Table_Sales[[#This Row],[amount]]&lt;3000,"1000 - 2999",Table_Sales[[#This Row],[amount]]&lt;5000,"3000 - 4999",TRUE,"5000 &amp; above")</f>
        <v>Under 1000</v>
      </c>
      <c r="K911">
        <f>IF(COUNTIFS(INDEX(Table_Sales[order_id],1):Table_Sales[[#This Row],[order_id]],Table_Sales[[#This Row],[order_id]])=1,1,0)</f>
        <v>0</v>
      </c>
      <c r="L91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912" spans="1:12" x14ac:dyDescent="0.25">
      <c r="A912" t="s">
        <v>235</v>
      </c>
      <c r="B912" s="1">
        <v>199</v>
      </c>
      <c r="C912" s="1">
        <v>0</v>
      </c>
      <c r="D912">
        <v>4</v>
      </c>
      <c r="E912" t="s">
        <v>23</v>
      </c>
      <c r="F912" t="s">
        <v>57</v>
      </c>
      <c r="G912" t="s">
        <v>14</v>
      </c>
      <c r="H912">
        <f>IF(Table_Sales[[#This Row],[profit]]&lt;0,1,0)</f>
        <v>0</v>
      </c>
      <c r="I912" t="str" cm="1">
        <f t="array" ref="I912">_xlfn.IFS(Table_Sales[[#This Row],[quantity]]&lt;=3,"1-3",Table_Sales[[#This Row],[quantity]]&lt;=7,"2-7",Table_Sales[[#This Row],[quantity]]&lt;=10,"8-10",TRUE,"11 and above")</f>
        <v>2-7</v>
      </c>
      <c r="J912" t="str" cm="1">
        <f t="array" ref="J912">_xlfn.IFS(Table_Sales[[#This Row],[amount]]&lt;1000,"Under 1000",Table_Sales[[#This Row],[amount]]&lt;3000,"1000 - 2999",Table_Sales[[#This Row],[amount]]&lt;5000,"3000 - 4999",TRUE,"5000 &amp; above")</f>
        <v>Under 1000</v>
      </c>
      <c r="K912">
        <f>IF(COUNTIFS(INDEX(Table_Sales[order_id],1):Table_Sales[[#This Row],[order_id]],Table_Sales[[#This Row],[order_id]])=1,1,0)</f>
        <v>0</v>
      </c>
      <c r="L91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913" spans="1:12" x14ac:dyDescent="0.25">
      <c r="A913" t="s">
        <v>165</v>
      </c>
      <c r="B913" s="1">
        <v>202</v>
      </c>
      <c r="C913" s="1">
        <v>89</v>
      </c>
      <c r="D913">
        <v>9</v>
      </c>
      <c r="E913" t="s">
        <v>23</v>
      </c>
      <c r="F913" t="s">
        <v>81</v>
      </c>
      <c r="G913" t="s">
        <v>14</v>
      </c>
      <c r="H913">
        <f>IF(Table_Sales[[#This Row],[profit]]&lt;0,1,0)</f>
        <v>0</v>
      </c>
      <c r="I913" t="str" cm="1">
        <f t="array" ref="I913">_xlfn.IFS(Table_Sales[[#This Row],[quantity]]&lt;=3,"1-3",Table_Sales[[#This Row],[quantity]]&lt;=7,"2-7",Table_Sales[[#This Row],[quantity]]&lt;=10,"8-10",TRUE,"11 and above")</f>
        <v>8-10</v>
      </c>
      <c r="J913" t="str" cm="1">
        <f t="array" ref="J913">_xlfn.IFS(Table_Sales[[#This Row],[amount]]&lt;1000,"Under 1000",Table_Sales[[#This Row],[amount]]&lt;3000,"1000 - 2999",Table_Sales[[#This Row],[amount]]&lt;5000,"3000 - 4999",TRUE,"5000 &amp; above")</f>
        <v>Under 1000</v>
      </c>
      <c r="K913">
        <f>IF(COUNTIFS(INDEX(Table_Sales[order_id],1):Table_Sales[[#This Row],[order_id]],Table_Sales[[#This Row],[order_id]])=1,1,0)</f>
        <v>0</v>
      </c>
      <c r="L91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914" spans="1:12" x14ac:dyDescent="0.25">
      <c r="A914" t="s">
        <v>165</v>
      </c>
      <c r="B914" s="1">
        <v>58</v>
      </c>
      <c r="C914" s="1">
        <v>17</v>
      </c>
      <c r="D914">
        <v>2</v>
      </c>
      <c r="E914" t="s">
        <v>23</v>
      </c>
      <c r="F914" t="s">
        <v>30</v>
      </c>
      <c r="G914" t="s">
        <v>10</v>
      </c>
      <c r="H914">
        <f>IF(Table_Sales[[#This Row],[profit]]&lt;0,1,0)</f>
        <v>0</v>
      </c>
      <c r="I914" t="str" cm="1">
        <f t="array" ref="I914">_xlfn.IFS(Table_Sales[[#This Row],[quantity]]&lt;=3,"1-3",Table_Sales[[#This Row],[quantity]]&lt;=7,"2-7",Table_Sales[[#This Row],[quantity]]&lt;=10,"8-10",TRUE,"11 and above")</f>
        <v>1-3</v>
      </c>
      <c r="J914" t="str" cm="1">
        <f t="array" ref="J914">_xlfn.IFS(Table_Sales[[#This Row],[amount]]&lt;1000,"Under 1000",Table_Sales[[#This Row],[amount]]&lt;3000,"1000 - 2999",Table_Sales[[#This Row],[amount]]&lt;5000,"3000 - 4999",TRUE,"5000 &amp; above")</f>
        <v>Under 1000</v>
      </c>
      <c r="K914">
        <f>IF(COUNTIFS(INDEX(Table_Sales[order_id],1):Table_Sales[[#This Row],[order_id]],Table_Sales[[#This Row],[order_id]])=1,1,0)</f>
        <v>0</v>
      </c>
      <c r="L91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915" spans="1:12" x14ac:dyDescent="0.25">
      <c r="A915" t="s">
        <v>439</v>
      </c>
      <c r="B915" s="1">
        <v>57</v>
      </c>
      <c r="C915" s="1">
        <v>-28</v>
      </c>
      <c r="D915">
        <v>2</v>
      </c>
      <c r="E915" t="s">
        <v>23</v>
      </c>
      <c r="F915" t="s">
        <v>32</v>
      </c>
      <c r="G915" t="s">
        <v>10</v>
      </c>
      <c r="H915">
        <f>IF(Table_Sales[[#This Row],[profit]]&lt;0,1,0)</f>
        <v>1</v>
      </c>
      <c r="I915" t="str" cm="1">
        <f t="array" ref="I915">_xlfn.IFS(Table_Sales[[#This Row],[quantity]]&lt;=3,"1-3",Table_Sales[[#This Row],[quantity]]&lt;=7,"2-7",Table_Sales[[#This Row],[quantity]]&lt;=10,"8-10",TRUE,"11 and above")</f>
        <v>1-3</v>
      </c>
      <c r="J915" t="str" cm="1">
        <f t="array" ref="J915">_xlfn.IFS(Table_Sales[[#This Row],[amount]]&lt;1000,"Under 1000",Table_Sales[[#This Row],[amount]]&lt;3000,"1000 - 2999",Table_Sales[[#This Row],[amount]]&lt;5000,"3000 - 4999",TRUE,"5000 &amp; above")</f>
        <v>Under 1000</v>
      </c>
      <c r="K915">
        <f>IF(COUNTIFS(INDEX(Table_Sales[order_id],1):Table_Sales[[#This Row],[order_id]],Table_Sales[[#This Row],[order_id]])=1,1,0)</f>
        <v>1</v>
      </c>
      <c r="L91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916" spans="1:12" x14ac:dyDescent="0.25">
      <c r="A916" t="s">
        <v>134</v>
      </c>
      <c r="B916" s="1">
        <v>204</v>
      </c>
      <c r="C916" s="1">
        <v>-94</v>
      </c>
      <c r="D916">
        <v>4</v>
      </c>
      <c r="E916" t="s">
        <v>23</v>
      </c>
      <c r="F916" t="s">
        <v>30</v>
      </c>
      <c r="G916" t="s">
        <v>14</v>
      </c>
      <c r="H916">
        <f>IF(Table_Sales[[#This Row],[profit]]&lt;0,1,0)</f>
        <v>1</v>
      </c>
      <c r="I916" t="str" cm="1">
        <f t="array" ref="I916">_xlfn.IFS(Table_Sales[[#This Row],[quantity]]&lt;=3,"1-3",Table_Sales[[#This Row],[quantity]]&lt;=7,"2-7",Table_Sales[[#This Row],[quantity]]&lt;=10,"8-10",TRUE,"11 and above")</f>
        <v>2-7</v>
      </c>
      <c r="J916" t="str" cm="1">
        <f t="array" ref="J916">_xlfn.IFS(Table_Sales[[#This Row],[amount]]&lt;1000,"Under 1000",Table_Sales[[#This Row],[amount]]&lt;3000,"1000 - 2999",Table_Sales[[#This Row],[amount]]&lt;5000,"3000 - 4999",TRUE,"5000 &amp; above")</f>
        <v>Under 1000</v>
      </c>
      <c r="K916">
        <f>IF(COUNTIFS(INDEX(Table_Sales[order_id],1):Table_Sales[[#This Row],[order_id]],Table_Sales[[#This Row],[order_id]])=1,1,0)</f>
        <v>0</v>
      </c>
      <c r="L91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917" spans="1:12" x14ac:dyDescent="0.25">
      <c r="A917" t="s">
        <v>440</v>
      </c>
      <c r="B917" s="1">
        <v>98</v>
      </c>
      <c r="C917" s="1">
        <v>-12</v>
      </c>
      <c r="D917">
        <v>2</v>
      </c>
      <c r="E917" t="s">
        <v>8</v>
      </c>
      <c r="F917" t="s">
        <v>9</v>
      </c>
      <c r="G917" t="s">
        <v>19</v>
      </c>
      <c r="H917">
        <f>IF(Table_Sales[[#This Row],[profit]]&lt;0,1,0)</f>
        <v>1</v>
      </c>
      <c r="I917" t="str" cm="1">
        <f t="array" ref="I917">_xlfn.IFS(Table_Sales[[#This Row],[quantity]]&lt;=3,"1-3",Table_Sales[[#This Row],[quantity]]&lt;=7,"2-7",Table_Sales[[#This Row],[quantity]]&lt;=10,"8-10",TRUE,"11 and above")</f>
        <v>1-3</v>
      </c>
      <c r="J917" t="str" cm="1">
        <f t="array" ref="J917">_xlfn.IFS(Table_Sales[[#This Row],[amount]]&lt;1000,"Under 1000",Table_Sales[[#This Row],[amount]]&lt;3000,"1000 - 2999",Table_Sales[[#This Row],[amount]]&lt;5000,"3000 - 4999",TRUE,"5000 &amp; above")</f>
        <v>Under 1000</v>
      </c>
      <c r="K917">
        <f>IF(COUNTIFS(INDEX(Table_Sales[order_id],1):Table_Sales[[#This Row],[order_id]],Table_Sales[[#This Row],[order_id]])=1,1,0)</f>
        <v>1</v>
      </c>
      <c r="L91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918" spans="1:12" x14ac:dyDescent="0.25">
      <c r="A918" t="s">
        <v>141</v>
      </c>
      <c r="B918" s="1">
        <v>22</v>
      </c>
      <c r="C918" s="1">
        <v>-12</v>
      </c>
      <c r="D918">
        <v>3</v>
      </c>
      <c r="E918" t="s">
        <v>23</v>
      </c>
      <c r="F918" t="s">
        <v>57</v>
      </c>
      <c r="G918" t="s">
        <v>10</v>
      </c>
      <c r="H918">
        <f>IF(Table_Sales[[#This Row],[profit]]&lt;0,1,0)</f>
        <v>1</v>
      </c>
      <c r="I918" t="str" cm="1">
        <f t="array" ref="I918">_xlfn.IFS(Table_Sales[[#This Row],[quantity]]&lt;=3,"1-3",Table_Sales[[#This Row],[quantity]]&lt;=7,"2-7",Table_Sales[[#This Row],[quantity]]&lt;=10,"8-10",TRUE,"11 and above")</f>
        <v>1-3</v>
      </c>
      <c r="J918" t="str" cm="1">
        <f t="array" ref="J918">_xlfn.IFS(Table_Sales[[#This Row],[amount]]&lt;1000,"Under 1000",Table_Sales[[#This Row],[amount]]&lt;3000,"1000 - 2999",Table_Sales[[#This Row],[amount]]&lt;5000,"3000 - 4999",TRUE,"5000 &amp; above")</f>
        <v>Under 1000</v>
      </c>
      <c r="K918">
        <f>IF(COUNTIFS(INDEX(Table_Sales[order_id],1):Table_Sales[[#This Row],[order_id]],Table_Sales[[#This Row],[order_id]])=1,1,0)</f>
        <v>0</v>
      </c>
      <c r="L91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919" spans="1:12" x14ac:dyDescent="0.25">
      <c r="A919" t="s">
        <v>113</v>
      </c>
      <c r="B919" s="1">
        <v>97</v>
      </c>
      <c r="C919" s="1">
        <v>17</v>
      </c>
      <c r="D919">
        <v>2</v>
      </c>
      <c r="E919" t="s">
        <v>23</v>
      </c>
      <c r="F919" t="s">
        <v>57</v>
      </c>
      <c r="G919" t="s">
        <v>19</v>
      </c>
      <c r="H919">
        <f>IF(Table_Sales[[#This Row],[profit]]&lt;0,1,0)</f>
        <v>0</v>
      </c>
      <c r="I919" t="str" cm="1">
        <f t="array" ref="I919">_xlfn.IFS(Table_Sales[[#This Row],[quantity]]&lt;=3,"1-3",Table_Sales[[#This Row],[quantity]]&lt;=7,"2-7",Table_Sales[[#This Row],[quantity]]&lt;=10,"8-10",TRUE,"11 and above")</f>
        <v>1-3</v>
      </c>
      <c r="J919" t="str" cm="1">
        <f t="array" ref="J919">_xlfn.IFS(Table_Sales[[#This Row],[amount]]&lt;1000,"Under 1000",Table_Sales[[#This Row],[amount]]&lt;3000,"1000 - 2999",Table_Sales[[#This Row],[amount]]&lt;5000,"3000 - 4999",TRUE,"5000 &amp; above")</f>
        <v>Under 1000</v>
      </c>
      <c r="K919">
        <f>IF(COUNTIFS(INDEX(Table_Sales[order_id],1):Table_Sales[[#This Row],[order_id]],Table_Sales[[#This Row],[order_id]])=1,1,0)</f>
        <v>0</v>
      </c>
      <c r="L91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920" spans="1:12" x14ac:dyDescent="0.25">
      <c r="A920" t="s">
        <v>332</v>
      </c>
      <c r="B920" s="1">
        <v>57</v>
      </c>
      <c r="C920" s="1">
        <v>24</v>
      </c>
      <c r="D920">
        <v>5</v>
      </c>
      <c r="E920" t="s">
        <v>23</v>
      </c>
      <c r="F920" t="s">
        <v>63</v>
      </c>
      <c r="G920" t="s">
        <v>10</v>
      </c>
      <c r="H920">
        <f>IF(Table_Sales[[#This Row],[profit]]&lt;0,1,0)</f>
        <v>0</v>
      </c>
      <c r="I920" t="str" cm="1">
        <f t="array" ref="I920">_xlfn.IFS(Table_Sales[[#This Row],[quantity]]&lt;=3,"1-3",Table_Sales[[#This Row],[quantity]]&lt;=7,"2-7",Table_Sales[[#This Row],[quantity]]&lt;=10,"8-10",TRUE,"11 and above")</f>
        <v>2-7</v>
      </c>
      <c r="J920" t="str" cm="1">
        <f t="array" ref="J920">_xlfn.IFS(Table_Sales[[#This Row],[amount]]&lt;1000,"Under 1000",Table_Sales[[#This Row],[amount]]&lt;3000,"1000 - 2999",Table_Sales[[#This Row],[amount]]&lt;5000,"3000 - 4999",TRUE,"5000 &amp; above")</f>
        <v>Under 1000</v>
      </c>
      <c r="K920">
        <f>IF(COUNTIFS(INDEX(Table_Sales[order_id],1):Table_Sales[[#This Row],[order_id]],Table_Sales[[#This Row],[order_id]])=1,1,0)</f>
        <v>0</v>
      </c>
      <c r="L92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921" spans="1:12" x14ac:dyDescent="0.25">
      <c r="A921" t="s">
        <v>441</v>
      </c>
      <c r="B921" s="1">
        <v>97</v>
      </c>
      <c r="C921" s="1">
        <v>14</v>
      </c>
      <c r="D921">
        <v>2</v>
      </c>
      <c r="E921" t="s">
        <v>23</v>
      </c>
      <c r="F921" t="s">
        <v>81</v>
      </c>
      <c r="G921" t="s">
        <v>19</v>
      </c>
      <c r="H921">
        <f>IF(Table_Sales[[#This Row],[profit]]&lt;0,1,0)</f>
        <v>0</v>
      </c>
      <c r="I921" t="str" cm="1">
        <f t="array" ref="I921">_xlfn.IFS(Table_Sales[[#This Row],[quantity]]&lt;=3,"1-3",Table_Sales[[#This Row],[quantity]]&lt;=7,"2-7",Table_Sales[[#This Row],[quantity]]&lt;=10,"8-10",TRUE,"11 and above")</f>
        <v>1-3</v>
      </c>
      <c r="J921" t="str" cm="1">
        <f t="array" ref="J921">_xlfn.IFS(Table_Sales[[#This Row],[amount]]&lt;1000,"Under 1000",Table_Sales[[#This Row],[amount]]&lt;3000,"1000 - 2999",Table_Sales[[#This Row],[amount]]&lt;5000,"3000 - 4999",TRUE,"5000 &amp; above")</f>
        <v>Under 1000</v>
      </c>
      <c r="K921">
        <f>IF(COUNTIFS(INDEX(Table_Sales[order_id],1):Table_Sales[[#This Row],[order_id]],Table_Sales[[#This Row],[order_id]])=1,1,0)</f>
        <v>1</v>
      </c>
      <c r="L92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922" spans="1:12" x14ac:dyDescent="0.25">
      <c r="A922" t="s">
        <v>203</v>
      </c>
      <c r="B922" s="1">
        <v>97</v>
      </c>
      <c r="C922" s="1">
        <v>17</v>
      </c>
      <c r="D922">
        <v>2</v>
      </c>
      <c r="E922" t="s">
        <v>23</v>
      </c>
      <c r="F922" t="s">
        <v>57</v>
      </c>
      <c r="G922" t="s">
        <v>19</v>
      </c>
      <c r="H922">
        <f>IF(Table_Sales[[#This Row],[profit]]&lt;0,1,0)</f>
        <v>0</v>
      </c>
      <c r="I922" t="str" cm="1">
        <f t="array" ref="I922">_xlfn.IFS(Table_Sales[[#This Row],[quantity]]&lt;=3,"1-3",Table_Sales[[#This Row],[quantity]]&lt;=7,"2-7",Table_Sales[[#This Row],[quantity]]&lt;=10,"8-10",TRUE,"11 and above")</f>
        <v>1-3</v>
      </c>
      <c r="J922" t="str" cm="1">
        <f t="array" ref="J922">_xlfn.IFS(Table_Sales[[#This Row],[amount]]&lt;1000,"Under 1000",Table_Sales[[#This Row],[amount]]&lt;3000,"1000 - 2999",Table_Sales[[#This Row],[amount]]&lt;5000,"3000 - 4999",TRUE,"5000 &amp; above")</f>
        <v>Under 1000</v>
      </c>
      <c r="K922">
        <f>IF(COUNTIFS(INDEX(Table_Sales[order_id],1):Table_Sales[[#This Row],[order_id]],Table_Sales[[#This Row],[order_id]])=1,1,0)</f>
        <v>0</v>
      </c>
      <c r="L92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923" spans="1:12" x14ac:dyDescent="0.25">
      <c r="A923" t="s">
        <v>121</v>
      </c>
      <c r="B923" s="1">
        <v>96</v>
      </c>
      <c r="C923" s="1">
        <v>22</v>
      </c>
      <c r="D923">
        <v>5</v>
      </c>
      <c r="E923" t="s">
        <v>23</v>
      </c>
      <c r="F923" t="s">
        <v>57</v>
      </c>
      <c r="G923" t="s">
        <v>19</v>
      </c>
      <c r="H923">
        <f>IF(Table_Sales[[#This Row],[profit]]&lt;0,1,0)</f>
        <v>0</v>
      </c>
      <c r="I923" t="str" cm="1">
        <f t="array" ref="I923">_xlfn.IFS(Table_Sales[[#This Row],[quantity]]&lt;=3,"1-3",Table_Sales[[#This Row],[quantity]]&lt;=7,"2-7",Table_Sales[[#This Row],[quantity]]&lt;=10,"8-10",TRUE,"11 and above")</f>
        <v>2-7</v>
      </c>
      <c r="J923" t="str" cm="1">
        <f t="array" ref="J923">_xlfn.IFS(Table_Sales[[#This Row],[amount]]&lt;1000,"Under 1000",Table_Sales[[#This Row],[amount]]&lt;3000,"1000 - 2999",Table_Sales[[#This Row],[amount]]&lt;5000,"3000 - 4999",TRUE,"5000 &amp; above")</f>
        <v>Under 1000</v>
      </c>
      <c r="K923">
        <f>IF(COUNTIFS(INDEX(Table_Sales[order_id],1):Table_Sales[[#This Row],[order_id]],Table_Sales[[#This Row],[order_id]])=1,1,0)</f>
        <v>0</v>
      </c>
      <c r="L92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924" spans="1:12" x14ac:dyDescent="0.25">
      <c r="A924" t="s">
        <v>146</v>
      </c>
      <c r="B924" s="1">
        <v>94</v>
      </c>
      <c r="C924" s="1">
        <v>27</v>
      </c>
      <c r="D924">
        <v>2</v>
      </c>
      <c r="E924" t="s">
        <v>23</v>
      </c>
      <c r="F924" t="s">
        <v>142</v>
      </c>
      <c r="G924" t="s">
        <v>19</v>
      </c>
      <c r="H924">
        <f>IF(Table_Sales[[#This Row],[profit]]&lt;0,1,0)</f>
        <v>0</v>
      </c>
      <c r="I924" t="str" cm="1">
        <f t="array" ref="I924">_xlfn.IFS(Table_Sales[[#This Row],[quantity]]&lt;=3,"1-3",Table_Sales[[#This Row],[quantity]]&lt;=7,"2-7",Table_Sales[[#This Row],[quantity]]&lt;=10,"8-10",TRUE,"11 and above")</f>
        <v>1-3</v>
      </c>
      <c r="J924" t="str" cm="1">
        <f t="array" ref="J924">_xlfn.IFS(Table_Sales[[#This Row],[amount]]&lt;1000,"Under 1000",Table_Sales[[#This Row],[amount]]&lt;3000,"1000 - 2999",Table_Sales[[#This Row],[amount]]&lt;5000,"3000 - 4999",TRUE,"5000 &amp; above")</f>
        <v>Under 1000</v>
      </c>
      <c r="K924">
        <f>IF(COUNTIFS(INDEX(Table_Sales[order_id],1):Table_Sales[[#This Row],[order_id]],Table_Sales[[#This Row],[order_id]])=1,1,0)</f>
        <v>0</v>
      </c>
      <c r="L92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925" spans="1:12" x14ac:dyDescent="0.25">
      <c r="A925" t="s">
        <v>292</v>
      </c>
      <c r="B925" s="1">
        <v>26</v>
      </c>
      <c r="C925" s="1">
        <v>-17</v>
      </c>
      <c r="D925">
        <v>1</v>
      </c>
      <c r="E925" t="s">
        <v>23</v>
      </c>
      <c r="F925" t="s">
        <v>57</v>
      </c>
      <c r="G925" t="s">
        <v>10</v>
      </c>
      <c r="H925">
        <f>IF(Table_Sales[[#This Row],[profit]]&lt;0,1,0)</f>
        <v>1</v>
      </c>
      <c r="I925" t="str" cm="1">
        <f t="array" ref="I925">_xlfn.IFS(Table_Sales[[#This Row],[quantity]]&lt;=3,"1-3",Table_Sales[[#This Row],[quantity]]&lt;=7,"2-7",Table_Sales[[#This Row],[quantity]]&lt;=10,"8-10",TRUE,"11 and above")</f>
        <v>1-3</v>
      </c>
      <c r="J925" t="str" cm="1">
        <f t="array" ref="J925">_xlfn.IFS(Table_Sales[[#This Row],[amount]]&lt;1000,"Under 1000",Table_Sales[[#This Row],[amount]]&lt;3000,"1000 - 2999",Table_Sales[[#This Row],[amount]]&lt;5000,"3000 - 4999",TRUE,"5000 &amp; above")</f>
        <v>Under 1000</v>
      </c>
      <c r="K925">
        <f>IF(COUNTIFS(INDEX(Table_Sales[order_id],1):Table_Sales[[#This Row],[order_id]],Table_Sales[[#This Row],[order_id]])=1,1,0)</f>
        <v>0</v>
      </c>
      <c r="L92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926" spans="1:12" x14ac:dyDescent="0.25">
      <c r="A926" t="s">
        <v>442</v>
      </c>
      <c r="B926" s="1">
        <v>93</v>
      </c>
      <c r="C926" s="1">
        <v>44</v>
      </c>
      <c r="D926">
        <v>2</v>
      </c>
      <c r="E926" t="s">
        <v>23</v>
      </c>
      <c r="F926" t="s">
        <v>57</v>
      </c>
      <c r="G926" t="s">
        <v>19</v>
      </c>
      <c r="H926">
        <f>IF(Table_Sales[[#This Row],[profit]]&lt;0,1,0)</f>
        <v>0</v>
      </c>
      <c r="I926" t="str" cm="1">
        <f t="array" ref="I926">_xlfn.IFS(Table_Sales[[#This Row],[quantity]]&lt;=3,"1-3",Table_Sales[[#This Row],[quantity]]&lt;=7,"2-7",Table_Sales[[#This Row],[quantity]]&lt;=10,"8-10",TRUE,"11 and above")</f>
        <v>1-3</v>
      </c>
      <c r="J926" t="str" cm="1">
        <f t="array" ref="J926">_xlfn.IFS(Table_Sales[[#This Row],[amount]]&lt;1000,"Under 1000",Table_Sales[[#This Row],[amount]]&lt;3000,"1000 - 2999",Table_Sales[[#This Row],[amount]]&lt;5000,"3000 - 4999",TRUE,"5000 &amp; above")</f>
        <v>Under 1000</v>
      </c>
      <c r="K926">
        <f>IF(COUNTIFS(INDEX(Table_Sales[order_id],1):Table_Sales[[#This Row],[order_id]],Table_Sales[[#This Row],[order_id]])=1,1,0)</f>
        <v>1</v>
      </c>
      <c r="L92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927" spans="1:12" x14ac:dyDescent="0.25">
      <c r="A927" t="s">
        <v>54</v>
      </c>
      <c r="B927" s="1">
        <v>93</v>
      </c>
      <c r="C927" s="1">
        <v>-65</v>
      </c>
      <c r="D927">
        <v>4</v>
      </c>
      <c r="E927" t="s">
        <v>23</v>
      </c>
      <c r="F927" t="s">
        <v>57</v>
      </c>
      <c r="G927" t="s">
        <v>19</v>
      </c>
      <c r="H927">
        <f>IF(Table_Sales[[#This Row],[profit]]&lt;0,1,0)</f>
        <v>1</v>
      </c>
      <c r="I927" t="str" cm="1">
        <f t="array" ref="I927">_xlfn.IFS(Table_Sales[[#This Row],[quantity]]&lt;=3,"1-3",Table_Sales[[#This Row],[quantity]]&lt;=7,"2-7",Table_Sales[[#This Row],[quantity]]&lt;=10,"8-10",TRUE,"11 and above")</f>
        <v>2-7</v>
      </c>
      <c r="J927" t="str" cm="1">
        <f t="array" ref="J927">_xlfn.IFS(Table_Sales[[#This Row],[amount]]&lt;1000,"Under 1000",Table_Sales[[#This Row],[amount]]&lt;3000,"1000 - 2999",Table_Sales[[#This Row],[amount]]&lt;5000,"3000 - 4999",TRUE,"5000 &amp; above")</f>
        <v>Under 1000</v>
      </c>
      <c r="K927">
        <f>IF(COUNTIFS(INDEX(Table_Sales[order_id],1):Table_Sales[[#This Row],[order_id]],Table_Sales[[#This Row],[order_id]])=1,1,0)</f>
        <v>0</v>
      </c>
      <c r="L92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928" spans="1:12" x14ac:dyDescent="0.25">
      <c r="A928" t="s">
        <v>254</v>
      </c>
      <c r="B928" s="1">
        <v>92</v>
      </c>
      <c r="C928" s="1">
        <v>5</v>
      </c>
      <c r="D928">
        <v>6</v>
      </c>
      <c r="E928" t="s">
        <v>23</v>
      </c>
      <c r="F928" t="s">
        <v>30</v>
      </c>
      <c r="G928" t="s">
        <v>19</v>
      </c>
      <c r="H928">
        <f>IF(Table_Sales[[#This Row],[profit]]&lt;0,1,0)</f>
        <v>0</v>
      </c>
      <c r="I928" t="str" cm="1">
        <f t="array" ref="I928">_xlfn.IFS(Table_Sales[[#This Row],[quantity]]&lt;=3,"1-3",Table_Sales[[#This Row],[quantity]]&lt;=7,"2-7",Table_Sales[[#This Row],[quantity]]&lt;=10,"8-10",TRUE,"11 and above")</f>
        <v>2-7</v>
      </c>
      <c r="J928" t="str" cm="1">
        <f t="array" ref="J928">_xlfn.IFS(Table_Sales[[#This Row],[amount]]&lt;1000,"Under 1000",Table_Sales[[#This Row],[amount]]&lt;3000,"1000 - 2999",Table_Sales[[#This Row],[amount]]&lt;5000,"3000 - 4999",TRUE,"5000 &amp; above")</f>
        <v>Under 1000</v>
      </c>
      <c r="K928">
        <f>IF(COUNTIFS(INDEX(Table_Sales[order_id],1):Table_Sales[[#This Row],[order_id]],Table_Sales[[#This Row],[order_id]])=1,1,0)</f>
        <v>0</v>
      </c>
      <c r="L92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929" spans="1:12" x14ac:dyDescent="0.25">
      <c r="A929" t="s">
        <v>31</v>
      </c>
      <c r="B929" s="1">
        <v>57</v>
      </c>
      <c r="C929" s="1">
        <v>27</v>
      </c>
      <c r="D929">
        <v>2</v>
      </c>
      <c r="E929" t="s">
        <v>23</v>
      </c>
      <c r="F929" t="s">
        <v>81</v>
      </c>
      <c r="G929" t="s">
        <v>10</v>
      </c>
      <c r="H929">
        <f>IF(Table_Sales[[#This Row],[profit]]&lt;0,1,0)</f>
        <v>0</v>
      </c>
      <c r="I929" t="str" cm="1">
        <f t="array" ref="I929">_xlfn.IFS(Table_Sales[[#This Row],[quantity]]&lt;=3,"1-3",Table_Sales[[#This Row],[quantity]]&lt;=7,"2-7",Table_Sales[[#This Row],[quantity]]&lt;=10,"8-10",TRUE,"11 and above")</f>
        <v>1-3</v>
      </c>
      <c r="J929" t="str" cm="1">
        <f t="array" ref="J929">_xlfn.IFS(Table_Sales[[#This Row],[amount]]&lt;1000,"Under 1000",Table_Sales[[#This Row],[amount]]&lt;3000,"1000 - 2999",Table_Sales[[#This Row],[amount]]&lt;5000,"3000 - 4999",TRUE,"5000 &amp; above")</f>
        <v>Under 1000</v>
      </c>
      <c r="K929">
        <f>IF(COUNTIFS(INDEX(Table_Sales[order_id],1):Table_Sales[[#This Row],[order_id]],Table_Sales[[#This Row],[order_id]])=1,1,0)</f>
        <v>0</v>
      </c>
      <c r="L92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930" spans="1:12" x14ac:dyDescent="0.25">
      <c r="A930" t="s">
        <v>170</v>
      </c>
      <c r="B930" s="1">
        <v>57</v>
      </c>
      <c r="C930" s="1">
        <v>7</v>
      </c>
      <c r="D930">
        <v>3</v>
      </c>
      <c r="E930" t="s">
        <v>12</v>
      </c>
      <c r="F930" t="s">
        <v>131</v>
      </c>
      <c r="G930" t="s">
        <v>10</v>
      </c>
      <c r="H930">
        <f>IF(Table_Sales[[#This Row],[profit]]&lt;0,1,0)</f>
        <v>0</v>
      </c>
      <c r="I930" t="str" cm="1">
        <f t="array" ref="I930">_xlfn.IFS(Table_Sales[[#This Row],[quantity]]&lt;=3,"1-3",Table_Sales[[#This Row],[quantity]]&lt;=7,"2-7",Table_Sales[[#This Row],[quantity]]&lt;=10,"8-10",TRUE,"11 and above")</f>
        <v>1-3</v>
      </c>
      <c r="J930" t="str" cm="1">
        <f t="array" ref="J930">_xlfn.IFS(Table_Sales[[#This Row],[amount]]&lt;1000,"Under 1000",Table_Sales[[#This Row],[amount]]&lt;3000,"1000 - 2999",Table_Sales[[#This Row],[amount]]&lt;5000,"3000 - 4999",TRUE,"5000 &amp; above")</f>
        <v>Under 1000</v>
      </c>
      <c r="K930">
        <f>IF(COUNTIFS(INDEX(Table_Sales[order_id],1):Table_Sales[[#This Row],[order_id]],Table_Sales[[#This Row],[order_id]])=1,1,0)</f>
        <v>0</v>
      </c>
      <c r="L93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931" spans="1:12" x14ac:dyDescent="0.25">
      <c r="A931" t="s">
        <v>443</v>
      </c>
      <c r="B931" s="1">
        <v>57</v>
      </c>
      <c r="C931" s="1">
        <v>21</v>
      </c>
      <c r="D931">
        <v>4</v>
      </c>
      <c r="E931" t="s">
        <v>23</v>
      </c>
      <c r="F931" t="s">
        <v>63</v>
      </c>
      <c r="G931" t="s">
        <v>10</v>
      </c>
      <c r="H931">
        <f>IF(Table_Sales[[#This Row],[profit]]&lt;0,1,0)</f>
        <v>0</v>
      </c>
      <c r="I931" t="str" cm="1">
        <f t="array" ref="I931">_xlfn.IFS(Table_Sales[[#This Row],[quantity]]&lt;=3,"1-3",Table_Sales[[#This Row],[quantity]]&lt;=7,"2-7",Table_Sales[[#This Row],[quantity]]&lt;=10,"8-10",TRUE,"11 and above")</f>
        <v>2-7</v>
      </c>
      <c r="J931" t="str" cm="1">
        <f t="array" ref="J931">_xlfn.IFS(Table_Sales[[#This Row],[amount]]&lt;1000,"Under 1000",Table_Sales[[#This Row],[amount]]&lt;3000,"1000 - 2999",Table_Sales[[#This Row],[amount]]&lt;5000,"3000 - 4999",TRUE,"5000 &amp; above")</f>
        <v>Under 1000</v>
      </c>
      <c r="K931">
        <f>IF(COUNTIFS(INDEX(Table_Sales[order_id],1):Table_Sales[[#This Row],[order_id]],Table_Sales[[#This Row],[order_id]])=1,1,0)</f>
        <v>1</v>
      </c>
      <c r="L93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932" spans="1:12" x14ac:dyDescent="0.25">
      <c r="A932" t="s">
        <v>271</v>
      </c>
      <c r="B932" s="1">
        <v>128</v>
      </c>
      <c r="C932" s="1">
        <v>4</v>
      </c>
      <c r="D932">
        <v>3</v>
      </c>
      <c r="E932" t="s">
        <v>23</v>
      </c>
      <c r="F932" t="s">
        <v>26</v>
      </c>
      <c r="G932" t="s">
        <v>10</v>
      </c>
      <c r="H932">
        <f>IF(Table_Sales[[#This Row],[profit]]&lt;0,1,0)</f>
        <v>0</v>
      </c>
      <c r="I932" t="str" cm="1">
        <f t="array" ref="I932">_xlfn.IFS(Table_Sales[[#This Row],[quantity]]&lt;=3,"1-3",Table_Sales[[#This Row],[quantity]]&lt;=7,"2-7",Table_Sales[[#This Row],[quantity]]&lt;=10,"8-10",TRUE,"11 and above")</f>
        <v>1-3</v>
      </c>
      <c r="J932" t="str" cm="1">
        <f t="array" ref="J932">_xlfn.IFS(Table_Sales[[#This Row],[amount]]&lt;1000,"Under 1000",Table_Sales[[#This Row],[amount]]&lt;3000,"1000 - 2999",Table_Sales[[#This Row],[amount]]&lt;5000,"3000 - 4999",TRUE,"5000 &amp; above")</f>
        <v>Under 1000</v>
      </c>
      <c r="K932">
        <f>IF(COUNTIFS(INDEX(Table_Sales[order_id],1):Table_Sales[[#This Row],[order_id]],Table_Sales[[#This Row],[order_id]])=1,1,0)</f>
        <v>0</v>
      </c>
      <c r="L93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933" spans="1:12" x14ac:dyDescent="0.25">
      <c r="A933" t="s">
        <v>64</v>
      </c>
      <c r="B933" s="1">
        <v>89</v>
      </c>
      <c r="C933" s="1">
        <v>-4</v>
      </c>
      <c r="D933">
        <v>5</v>
      </c>
      <c r="E933" t="s">
        <v>23</v>
      </c>
      <c r="F933" t="s">
        <v>26</v>
      </c>
      <c r="G933" t="s">
        <v>19</v>
      </c>
      <c r="H933">
        <f>IF(Table_Sales[[#This Row],[profit]]&lt;0,1,0)</f>
        <v>1</v>
      </c>
      <c r="I933" t="str" cm="1">
        <f t="array" ref="I933">_xlfn.IFS(Table_Sales[[#This Row],[quantity]]&lt;=3,"1-3",Table_Sales[[#This Row],[quantity]]&lt;=7,"2-7",Table_Sales[[#This Row],[quantity]]&lt;=10,"8-10",TRUE,"11 and above")</f>
        <v>2-7</v>
      </c>
      <c r="J933" t="str" cm="1">
        <f t="array" ref="J933">_xlfn.IFS(Table_Sales[[#This Row],[amount]]&lt;1000,"Under 1000",Table_Sales[[#This Row],[amount]]&lt;3000,"1000 - 2999",Table_Sales[[#This Row],[amount]]&lt;5000,"3000 - 4999",TRUE,"5000 &amp; above")</f>
        <v>Under 1000</v>
      </c>
      <c r="K933">
        <f>IF(COUNTIFS(INDEX(Table_Sales[order_id],1):Table_Sales[[#This Row],[order_id]],Table_Sales[[#This Row],[order_id]])=1,1,0)</f>
        <v>0</v>
      </c>
      <c r="L93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934" spans="1:12" x14ac:dyDescent="0.25">
      <c r="A934" t="s">
        <v>164</v>
      </c>
      <c r="B934" s="1">
        <v>221</v>
      </c>
      <c r="C934" s="1">
        <v>26</v>
      </c>
      <c r="D934">
        <v>7</v>
      </c>
      <c r="E934" t="s">
        <v>12</v>
      </c>
      <c r="F934" t="s">
        <v>131</v>
      </c>
      <c r="G934" t="s">
        <v>10</v>
      </c>
      <c r="H934">
        <f>IF(Table_Sales[[#This Row],[profit]]&lt;0,1,0)</f>
        <v>0</v>
      </c>
      <c r="I934" t="str" cm="1">
        <f t="array" ref="I934">_xlfn.IFS(Table_Sales[[#This Row],[quantity]]&lt;=3,"1-3",Table_Sales[[#This Row],[quantity]]&lt;=7,"2-7",Table_Sales[[#This Row],[quantity]]&lt;=10,"8-10",TRUE,"11 and above")</f>
        <v>2-7</v>
      </c>
      <c r="J934" t="str" cm="1">
        <f t="array" ref="J934">_xlfn.IFS(Table_Sales[[#This Row],[amount]]&lt;1000,"Under 1000",Table_Sales[[#This Row],[amount]]&lt;3000,"1000 - 2999",Table_Sales[[#This Row],[amount]]&lt;5000,"3000 - 4999",TRUE,"5000 &amp; above")</f>
        <v>Under 1000</v>
      </c>
      <c r="K934">
        <f>IF(COUNTIFS(INDEX(Table_Sales[order_id],1):Table_Sales[[#This Row],[order_id]],Table_Sales[[#This Row],[order_id]])=1,1,0)</f>
        <v>0</v>
      </c>
      <c r="L93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935" spans="1:12" x14ac:dyDescent="0.25">
      <c r="A935" t="s">
        <v>272</v>
      </c>
      <c r="B935" s="1">
        <v>205</v>
      </c>
      <c r="C935" s="1">
        <v>-119</v>
      </c>
      <c r="D935">
        <v>3</v>
      </c>
      <c r="E935" t="s">
        <v>23</v>
      </c>
      <c r="F935" t="s">
        <v>26</v>
      </c>
      <c r="G935" t="s">
        <v>82</v>
      </c>
      <c r="H935">
        <f>IF(Table_Sales[[#This Row],[profit]]&lt;0,1,0)</f>
        <v>1</v>
      </c>
      <c r="I935" t="str" cm="1">
        <f t="array" ref="I935">_xlfn.IFS(Table_Sales[[#This Row],[quantity]]&lt;=3,"1-3",Table_Sales[[#This Row],[quantity]]&lt;=7,"2-7",Table_Sales[[#This Row],[quantity]]&lt;=10,"8-10",TRUE,"11 and above")</f>
        <v>1-3</v>
      </c>
      <c r="J935" t="str" cm="1">
        <f t="array" ref="J935">_xlfn.IFS(Table_Sales[[#This Row],[amount]]&lt;1000,"Under 1000",Table_Sales[[#This Row],[amount]]&lt;3000,"1000 - 2999",Table_Sales[[#This Row],[amount]]&lt;5000,"3000 - 4999",TRUE,"5000 &amp; above")</f>
        <v>Under 1000</v>
      </c>
      <c r="K935">
        <f>IF(COUNTIFS(INDEX(Table_Sales[order_id],1):Table_Sales[[#This Row],[order_id]],Table_Sales[[#This Row],[order_id]])=1,1,0)</f>
        <v>0</v>
      </c>
      <c r="L93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936" spans="1:12" x14ac:dyDescent="0.25">
      <c r="A936" t="s">
        <v>340</v>
      </c>
      <c r="B936" s="1">
        <v>191</v>
      </c>
      <c r="C936" s="1">
        <v>51</v>
      </c>
      <c r="D936">
        <v>5</v>
      </c>
      <c r="E936" t="s">
        <v>23</v>
      </c>
      <c r="F936" t="s">
        <v>142</v>
      </c>
      <c r="G936" t="s">
        <v>28</v>
      </c>
      <c r="H936">
        <f>IF(Table_Sales[[#This Row],[profit]]&lt;0,1,0)</f>
        <v>0</v>
      </c>
      <c r="I936" t="str" cm="1">
        <f t="array" ref="I936">_xlfn.IFS(Table_Sales[[#This Row],[quantity]]&lt;=3,"1-3",Table_Sales[[#This Row],[quantity]]&lt;=7,"2-7",Table_Sales[[#This Row],[quantity]]&lt;=10,"8-10",TRUE,"11 and above")</f>
        <v>2-7</v>
      </c>
      <c r="J936" t="str" cm="1">
        <f t="array" ref="J936">_xlfn.IFS(Table_Sales[[#This Row],[amount]]&lt;1000,"Under 1000",Table_Sales[[#This Row],[amount]]&lt;3000,"1000 - 2999",Table_Sales[[#This Row],[amount]]&lt;5000,"3000 - 4999",TRUE,"5000 &amp; above")</f>
        <v>Under 1000</v>
      </c>
      <c r="K936">
        <f>IF(COUNTIFS(INDEX(Table_Sales[order_id],1):Table_Sales[[#This Row],[order_id]],Table_Sales[[#This Row],[order_id]])=1,1,0)</f>
        <v>0</v>
      </c>
      <c r="L93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937" spans="1:12" x14ac:dyDescent="0.25">
      <c r="A937" t="s">
        <v>211</v>
      </c>
      <c r="B937" s="1">
        <v>206</v>
      </c>
      <c r="C937" s="1">
        <v>18</v>
      </c>
      <c r="D937">
        <v>4</v>
      </c>
      <c r="E937" t="s">
        <v>23</v>
      </c>
      <c r="F937" t="s">
        <v>30</v>
      </c>
      <c r="G937" t="s">
        <v>82</v>
      </c>
      <c r="H937">
        <f>IF(Table_Sales[[#This Row],[profit]]&lt;0,1,0)</f>
        <v>0</v>
      </c>
      <c r="I937" t="str" cm="1">
        <f t="array" ref="I937">_xlfn.IFS(Table_Sales[[#This Row],[quantity]]&lt;=3,"1-3",Table_Sales[[#This Row],[quantity]]&lt;=7,"2-7",Table_Sales[[#This Row],[quantity]]&lt;=10,"8-10",TRUE,"11 and above")</f>
        <v>2-7</v>
      </c>
      <c r="J937" t="str" cm="1">
        <f t="array" ref="J937">_xlfn.IFS(Table_Sales[[#This Row],[amount]]&lt;1000,"Under 1000",Table_Sales[[#This Row],[amount]]&lt;3000,"1000 - 2999",Table_Sales[[#This Row],[amount]]&lt;5000,"3000 - 4999",TRUE,"5000 &amp; above")</f>
        <v>Under 1000</v>
      </c>
      <c r="K937">
        <f>IF(COUNTIFS(INDEX(Table_Sales[order_id],1):Table_Sales[[#This Row],[order_id]],Table_Sales[[#This Row],[order_id]])=1,1,0)</f>
        <v>0</v>
      </c>
      <c r="L93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938" spans="1:12" x14ac:dyDescent="0.25">
      <c r="A938" t="s">
        <v>224</v>
      </c>
      <c r="B938" s="1">
        <v>56</v>
      </c>
      <c r="C938" s="1">
        <v>0</v>
      </c>
      <c r="D938">
        <v>4</v>
      </c>
      <c r="E938" t="s">
        <v>23</v>
      </c>
      <c r="F938" t="s">
        <v>30</v>
      </c>
      <c r="G938" t="s">
        <v>10</v>
      </c>
      <c r="H938">
        <f>IF(Table_Sales[[#This Row],[profit]]&lt;0,1,0)</f>
        <v>0</v>
      </c>
      <c r="I938" t="str" cm="1">
        <f t="array" ref="I938">_xlfn.IFS(Table_Sales[[#This Row],[quantity]]&lt;=3,"1-3",Table_Sales[[#This Row],[quantity]]&lt;=7,"2-7",Table_Sales[[#This Row],[quantity]]&lt;=10,"8-10",TRUE,"11 and above")</f>
        <v>2-7</v>
      </c>
      <c r="J938" t="str" cm="1">
        <f t="array" ref="J938">_xlfn.IFS(Table_Sales[[#This Row],[amount]]&lt;1000,"Under 1000",Table_Sales[[#This Row],[amount]]&lt;3000,"1000 - 2999",Table_Sales[[#This Row],[amount]]&lt;5000,"3000 - 4999",TRUE,"5000 &amp; above")</f>
        <v>Under 1000</v>
      </c>
      <c r="K938">
        <f>IF(COUNTIFS(INDEX(Table_Sales[order_id],1):Table_Sales[[#This Row],[order_id]],Table_Sales[[#This Row],[order_id]])=1,1,0)</f>
        <v>0</v>
      </c>
      <c r="L93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939" spans="1:12" x14ac:dyDescent="0.25">
      <c r="A939" t="s">
        <v>234</v>
      </c>
      <c r="B939" s="1">
        <v>88</v>
      </c>
      <c r="C939" s="1">
        <v>16</v>
      </c>
      <c r="D939">
        <v>4</v>
      </c>
      <c r="E939" t="s">
        <v>23</v>
      </c>
      <c r="F939" t="s">
        <v>57</v>
      </c>
      <c r="G939" t="s">
        <v>19</v>
      </c>
      <c r="H939">
        <f>IF(Table_Sales[[#This Row],[profit]]&lt;0,1,0)</f>
        <v>0</v>
      </c>
      <c r="I939" t="str" cm="1">
        <f t="array" ref="I939">_xlfn.IFS(Table_Sales[[#This Row],[quantity]]&lt;=3,"1-3",Table_Sales[[#This Row],[quantity]]&lt;=7,"2-7",Table_Sales[[#This Row],[quantity]]&lt;=10,"8-10",TRUE,"11 and above")</f>
        <v>2-7</v>
      </c>
      <c r="J939" t="str" cm="1">
        <f t="array" ref="J939">_xlfn.IFS(Table_Sales[[#This Row],[amount]]&lt;1000,"Under 1000",Table_Sales[[#This Row],[amount]]&lt;3000,"1000 - 2999",Table_Sales[[#This Row],[amount]]&lt;5000,"3000 - 4999",TRUE,"5000 &amp; above")</f>
        <v>Under 1000</v>
      </c>
      <c r="K939">
        <f>IF(COUNTIFS(INDEX(Table_Sales[order_id],1):Table_Sales[[#This Row],[order_id]],Table_Sales[[#This Row],[order_id]])=1,1,0)</f>
        <v>0</v>
      </c>
      <c r="L93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940" spans="1:12" x14ac:dyDescent="0.25">
      <c r="A940" t="s">
        <v>326</v>
      </c>
      <c r="B940" s="1">
        <v>224</v>
      </c>
      <c r="C940" s="1">
        <v>58</v>
      </c>
      <c r="D940">
        <v>3</v>
      </c>
      <c r="E940" t="s">
        <v>8</v>
      </c>
      <c r="F940" t="s">
        <v>21</v>
      </c>
      <c r="G940" t="s">
        <v>28</v>
      </c>
      <c r="H940">
        <f>IF(Table_Sales[[#This Row],[profit]]&lt;0,1,0)</f>
        <v>0</v>
      </c>
      <c r="I940" t="str" cm="1">
        <f t="array" ref="I940">_xlfn.IFS(Table_Sales[[#This Row],[quantity]]&lt;=3,"1-3",Table_Sales[[#This Row],[quantity]]&lt;=7,"2-7",Table_Sales[[#This Row],[quantity]]&lt;=10,"8-10",TRUE,"11 and above")</f>
        <v>1-3</v>
      </c>
      <c r="J940" t="str" cm="1">
        <f t="array" ref="J940">_xlfn.IFS(Table_Sales[[#This Row],[amount]]&lt;1000,"Under 1000",Table_Sales[[#This Row],[amount]]&lt;3000,"1000 - 2999",Table_Sales[[#This Row],[amount]]&lt;5000,"3000 - 4999",TRUE,"5000 &amp; above")</f>
        <v>Under 1000</v>
      </c>
      <c r="K940">
        <f>IF(COUNTIFS(INDEX(Table_Sales[order_id],1):Table_Sales[[#This Row],[order_id]],Table_Sales[[#This Row],[order_id]])=1,1,0)</f>
        <v>0</v>
      </c>
      <c r="L94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941" spans="1:12" x14ac:dyDescent="0.25">
      <c r="A941" t="s">
        <v>444</v>
      </c>
      <c r="B941" s="1">
        <v>193</v>
      </c>
      <c r="C941" s="1">
        <v>8</v>
      </c>
      <c r="D941">
        <v>4</v>
      </c>
      <c r="E941" t="s">
        <v>23</v>
      </c>
      <c r="F941" t="s">
        <v>81</v>
      </c>
      <c r="G941" t="s">
        <v>28</v>
      </c>
      <c r="H941">
        <f>IF(Table_Sales[[#This Row],[profit]]&lt;0,1,0)</f>
        <v>0</v>
      </c>
      <c r="I941" t="str" cm="1">
        <f t="array" ref="I941">_xlfn.IFS(Table_Sales[[#This Row],[quantity]]&lt;=3,"1-3",Table_Sales[[#This Row],[quantity]]&lt;=7,"2-7",Table_Sales[[#This Row],[quantity]]&lt;=10,"8-10",TRUE,"11 and above")</f>
        <v>2-7</v>
      </c>
      <c r="J941" t="str" cm="1">
        <f t="array" ref="J941">_xlfn.IFS(Table_Sales[[#This Row],[amount]]&lt;1000,"Under 1000",Table_Sales[[#This Row],[amount]]&lt;3000,"1000 - 2999",Table_Sales[[#This Row],[amount]]&lt;5000,"3000 - 4999",TRUE,"5000 &amp; above")</f>
        <v>Under 1000</v>
      </c>
      <c r="K941">
        <f>IF(COUNTIFS(INDEX(Table_Sales[order_id],1):Table_Sales[[#This Row],[order_id]],Table_Sales[[#This Row],[order_id]])=1,1,0)</f>
        <v>1</v>
      </c>
      <c r="L94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942" spans="1:12" x14ac:dyDescent="0.25">
      <c r="A942" t="s">
        <v>132</v>
      </c>
      <c r="B942" s="1">
        <v>87</v>
      </c>
      <c r="C942" s="1">
        <v>36</v>
      </c>
      <c r="D942">
        <v>5</v>
      </c>
      <c r="E942" t="s">
        <v>23</v>
      </c>
      <c r="F942" t="s">
        <v>57</v>
      </c>
      <c r="G942" t="s">
        <v>19</v>
      </c>
      <c r="H942">
        <f>IF(Table_Sales[[#This Row],[profit]]&lt;0,1,0)</f>
        <v>0</v>
      </c>
      <c r="I942" t="str" cm="1">
        <f t="array" ref="I942">_xlfn.IFS(Table_Sales[[#This Row],[quantity]]&lt;=3,"1-3",Table_Sales[[#This Row],[quantity]]&lt;=7,"2-7",Table_Sales[[#This Row],[quantity]]&lt;=10,"8-10",TRUE,"11 and above")</f>
        <v>2-7</v>
      </c>
      <c r="J942" t="str" cm="1">
        <f t="array" ref="J942">_xlfn.IFS(Table_Sales[[#This Row],[amount]]&lt;1000,"Under 1000",Table_Sales[[#This Row],[amount]]&lt;3000,"1000 - 2999",Table_Sales[[#This Row],[amount]]&lt;5000,"3000 - 4999",TRUE,"5000 &amp; above")</f>
        <v>Under 1000</v>
      </c>
      <c r="K942">
        <f>IF(COUNTIFS(INDEX(Table_Sales[order_id],1):Table_Sales[[#This Row],[order_id]],Table_Sales[[#This Row],[order_id]])=1,1,0)</f>
        <v>0</v>
      </c>
      <c r="L94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943" spans="1:12" x14ac:dyDescent="0.25">
      <c r="A943" t="s">
        <v>173</v>
      </c>
      <c r="B943" s="1">
        <v>189</v>
      </c>
      <c r="C943" s="1">
        <v>4</v>
      </c>
      <c r="D943">
        <v>1</v>
      </c>
      <c r="E943" t="s">
        <v>23</v>
      </c>
      <c r="F943" t="s">
        <v>26</v>
      </c>
      <c r="G943" t="s">
        <v>28</v>
      </c>
      <c r="H943">
        <f>IF(Table_Sales[[#This Row],[profit]]&lt;0,1,0)</f>
        <v>0</v>
      </c>
      <c r="I943" t="str" cm="1">
        <f t="array" ref="I943">_xlfn.IFS(Table_Sales[[#This Row],[quantity]]&lt;=3,"1-3",Table_Sales[[#This Row],[quantity]]&lt;=7,"2-7",Table_Sales[[#This Row],[quantity]]&lt;=10,"8-10",TRUE,"11 and above")</f>
        <v>1-3</v>
      </c>
      <c r="J943" t="str" cm="1">
        <f t="array" ref="J943">_xlfn.IFS(Table_Sales[[#This Row],[amount]]&lt;1000,"Under 1000",Table_Sales[[#This Row],[amount]]&lt;3000,"1000 - 2999",Table_Sales[[#This Row],[amount]]&lt;5000,"3000 - 4999",TRUE,"5000 &amp; above")</f>
        <v>Under 1000</v>
      </c>
      <c r="K943">
        <f>IF(COUNTIFS(INDEX(Table_Sales[order_id],1):Table_Sales[[#This Row],[order_id]],Table_Sales[[#This Row],[order_id]])=1,1,0)</f>
        <v>0</v>
      </c>
      <c r="L94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944" spans="1:12" x14ac:dyDescent="0.25">
      <c r="A944" t="s">
        <v>227</v>
      </c>
      <c r="B944" s="1">
        <v>55</v>
      </c>
      <c r="C944" s="1">
        <v>-33</v>
      </c>
      <c r="D944">
        <v>2</v>
      </c>
      <c r="E944" t="s">
        <v>12</v>
      </c>
      <c r="F944" t="s">
        <v>13</v>
      </c>
      <c r="G944" t="s">
        <v>10</v>
      </c>
      <c r="H944">
        <f>IF(Table_Sales[[#This Row],[profit]]&lt;0,1,0)</f>
        <v>1</v>
      </c>
      <c r="I944" t="str" cm="1">
        <f t="array" ref="I944">_xlfn.IFS(Table_Sales[[#This Row],[quantity]]&lt;=3,"1-3",Table_Sales[[#This Row],[quantity]]&lt;=7,"2-7",Table_Sales[[#This Row],[quantity]]&lt;=10,"8-10",TRUE,"11 and above")</f>
        <v>1-3</v>
      </c>
      <c r="J944" t="str" cm="1">
        <f t="array" ref="J944">_xlfn.IFS(Table_Sales[[#This Row],[amount]]&lt;1000,"Under 1000",Table_Sales[[#This Row],[amount]]&lt;3000,"1000 - 2999",Table_Sales[[#This Row],[amount]]&lt;5000,"3000 - 4999",TRUE,"5000 &amp; above")</f>
        <v>Under 1000</v>
      </c>
      <c r="K944">
        <f>IF(COUNTIFS(INDEX(Table_Sales[order_id],1):Table_Sales[[#This Row],[order_id]],Table_Sales[[#This Row],[order_id]])=1,1,0)</f>
        <v>0</v>
      </c>
      <c r="L94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945" spans="1:12" x14ac:dyDescent="0.25">
      <c r="A945" t="s">
        <v>445</v>
      </c>
      <c r="B945" s="1">
        <v>85</v>
      </c>
      <c r="C945" s="1">
        <v>-1</v>
      </c>
      <c r="D945">
        <v>3</v>
      </c>
      <c r="E945" t="s">
        <v>23</v>
      </c>
      <c r="F945" t="s">
        <v>26</v>
      </c>
      <c r="G945" t="s">
        <v>19</v>
      </c>
      <c r="H945">
        <f>IF(Table_Sales[[#This Row],[profit]]&lt;0,1,0)</f>
        <v>1</v>
      </c>
      <c r="I945" t="str" cm="1">
        <f t="array" ref="I945">_xlfn.IFS(Table_Sales[[#This Row],[quantity]]&lt;=3,"1-3",Table_Sales[[#This Row],[quantity]]&lt;=7,"2-7",Table_Sales[[#This Row],[quantity]]&lt;=10,"8-10",TRUE,"11 and above")</f>
        <v>1-3</v>
      </c>
      <c r="J945" t="str" cm="1">
        <f t="array" ref="J945">_xlfn.IFS(Table_Sales[[#This Row],[amount]]&lt;1000,"Under 1000",Table_Sales[[#This Row],[amount]]&lt;3000,"1000 - 2999",Table_Sales[[#This Row],[amount]]&lt;5000,"3000 - 4999",TRUE,"5000 &amp; above")</f>
        <v>Under 1000</v>
      </c>
      <c r="K945">
        <f>IF(COUNTIFS(INDEX(Table_Sales[order_id],1):Table_Sales[[#This Row],[order_id]],Table_Sales[[#This Row],[order_id]])=1,1,0)</f>
        <v>1</v>
      </c>
      <c r="L94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946" spans="1:12" x14ac:dyDescent="0.25">
      <c r="A946" t="s">
        <v>157</v>
      </c>
      <c r="B946" s="1">
        <v>252</v>
      </c>
      <c r="C946" s="1">
        <v>56</v>
      </c>
      <c r="D946">
        <v>2</v>
      </c>
      <c r="E946" t="s">
        <v>8</v>
      </c>
      <c r="F946" t="s">
        <v>21</v>
      </c>
      <c r="G946" t="s">
        <v>28</v>
      </c>
      <c r="H946">
        <f>IF(Table_Sales[[#This Row],[profit]]&lt;0,1,0)</f>
        <v>0</v>
      </c>
      <c r="I946" t="str" cm="1">
        <f t="array" ref="I946">_xlfn.IFS(Table_Sales[[#This Row],[quantity]]&lt;=3,"1-3",Table_Sales[[#This Row],[quantity]]&lt;=7,"2-7",Table_Sales[[#This Row],[quantity]]&lt;=10,"8-10",TRUE,"11 and above")</f>
        <v>1-3</v>
      </c>
      <c r="J946" t="str" cm="1">
        <f t="array" ref="J946">_xlfn.IFS(Table_Sales[[#This Row],[amount]]&lt;1000,"Under 1000",Table_Sales[[#This Row],[amount]]&lt;3000,"1000 - 2999",Table_Sales[[#This Row],[amount]]&lt;5000,"3000 - 4999",TRUE,"5000 &amp; above")</f>
        <v>Under 1000</v>
      </c>
      <c r="K946">
        <f>IF(COUNTIFS(INDEX(Table_Sales[order_id],1):Table_Sales[[#This Row],[order_id]],Table_Sales[[#This Row],[order_id]])=1,1,0)</f>
        <v>0</v>
      </c>
      <c r="L94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947" spans="1:12" x14ac:dyDescent="0.25">
      <c r="A947" t="s">
        <v>171</v>
      </c>
      <c r="B947" s="1">
        <v>197</v>
      </c>
      <c r="C947" s="1">
        <v>73</v>
      </c>
      <c r="D947">
        <v>1</v>
      </c>
      <c r="E947" t="s">
        <v>12</v>
      </c>
      <c r="F947" t="s">
        <v>16</v>
      </c>
      <c r="G947" t="s">
        <v>10</v>
      </c>
      <c r="H947">
        <f>IF(Table_Sales[[#This Row],[profit]]&lt;0,1,0)</f>
        <v>0</v>
      </c>
      <c r="I947" t="str" cm="1">
        <f t="array" ref="I947">_xlfn.IFS(Table_Sales[[#This Row],[quantity]]&lt;=3,"1-3",Table_Sales[[#This Row],[quantity]]&lt;=7,"2-7",Table_Sales[[#This Row],[quantity]]&lt;=10,"8-10",TRUE,"11 and above")</f>
        <v>1-3</v>
      </c>
      <c r="J947" t="str" cm="1">
        <f t="array" ref="J947">_xlfn.IFS(Table_Sales[[#This Row],[amount]]&lt;1000,"Under 1000",Table_Sales[[#This Row],[amount]]&lt;3000,"1000 - 2999",Table_Sales[[#This Row],[amount]]&lt;5000,"3000 - 4999",TRUE,"5000 &amp; above")</f>
        <v>Under 1000</v>
      </c>
      <c r="K947">
        <f>IF(COUNTIFS(INDEX(Table_Sales[order_id],1):Table_Sales[[#This Row],[order_id]],Table_Sales[[#This Row],[order_id]])=1,1,0)</f>
        <v>0</v>
      </c>
      <c r="L94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948" spans="1:12" x14ac:dyDescent="0.25">
      <c r="A948" t="s">
        <v>33</v>
      </c>
      <c r="B948" s="1">
        <v>17</v>
      </c>
      <c r="C948" s="1">
        <v>-3</v>
      </c>
      <c r="D948">
        <v>2</v>
      </c>
      <c r="E948" t="s">
        <v>23</v>
      </c>
      <c r="F948" t="s">
        <v>57</v>
      </c>
      <c r="G948" t="s">
        <v>28</v>
      </c>
      <c r="H948">
        <f>IF(Table_Sales[[#This Row],[profit]]&lt;0,1,0)</f>
        <v>1</v>
      </c>
      <c r="I948" t="str" cm="1">
        <f t="array" ref="I948">_xlfn.IFS(Table_Sales[[#This Row],[quantity]]&lt;=3,"1-3",Table_Sales[[#This Row],[quantity]]&lt;=7,"2-7",Table_Sales[[#This Row],[quantity]]&lt;=10,"8-10",TRUE,"11 and above")</f>
        <v>1-3</v>
      </c>
      <c r="J948" t="str" cm="1">
        <f t="array" ref="J948">_xlfn.IFS(Table_Sales[[#This Row],[amount]]&lt;1000,"Under 1000",Table_Sales[[#This Row],[amount]]&lt;3000,"1000 - 2999",Table_Sales[[#This Row],[amount]]&lt;5000,"3000 - 4999",TRUE,"5000 &amp; above")</f>
        <v>Under 1000</v>
      </c>
      <c r="K948">
        <f>IF(COUNTIFS(INDEX(Table_Sales[order_id],1):Table_Sales[[#This Row],[order_id]],Table_Sales[[#This Row],[order_id]])=1,1,0)</f>
        <v>0</v>
      </c>
      <c r="L94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949" spans="1:12" x14ac:dyDescent="0.25">
      <c r="A949" t="s">
        <v>446</v>
      </c>
      <c r="B949" s="1">
        <v>100</v>
      </c>
      <c r="C949" s="1">
        <v>28</v>
      </c>
      <c r="D949">
        <v>2</v>
      </c>
      <c r="E949" t="s">
        <v>23</v>
      </c>
      <c r="F949" t="s">
        <v>30</v>
      </c>
      <c r="G949" t="s">
        <v>28</v>
      </c>
      <c r="H949">
        <f>IF(Table_Sales[[#This Row],[profit]]&lt;0,1,0)</f>
        <v>0</v>
      </c>
      <c r="I949" t="str" cm="1">
        <f t="array" ref="I949">_xlfn.IFS(Table_Sales[[#This Row],[quantity]]&lt;=3,"1-3",Table_Sales[[#This Row],[quantity]]&lt;=7,"2-7",Table_Sales[[#This Row],[quantity]]&lt;=10,"8-10",TRUE,"11 and above")</f>
        <v>1-3</v>
      </c>
      <c r="J949" t="str" cm="1">
        <f t="array" ref="J949">_xlfn.IFS(Table_Sales[[#This Row],[amount]]&lt;1000,"Under 1000",Table_Sales[[#This Row],[amount]]&lt;3000,"1000 - 2999",Table_Sales[[#This Row],[amount]]&lt;5000,"3000 - 4999",TRUE,"5000 &amp; above")</f>
        <v>Under 1000</v>
      </c>
      <c r="K949">
        <f>IF(COUNTIFS(INDEX(Table_Sales[order_id],1):Table_Sales[[#This Row],[order_id]],Table_Sales[[#This Row],[order_id]])=1,1,0)</f>
        <v>1</v>
      </c>
      <c r="L94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950" spans="1:12" x14ac:dyDescent="0.25">
      <c r="A950" t="s">
        <v>67</v>
      </c>
      <c r="B950" s="1">
        <v>80</v>
      </c>
      <c r="C950" s="1">
        <v>-19</v>
      </c>
      <c r="D950">
        <v>5</v>
      </c>
      <c r="E950" t="s">
        <v>23</v>
      </c>
      <c r="F950" t="s">
        <v>57</v>
      </c>
      <c r="G950" t="s">
        <v>28</v>
      </c>
      <c r="H950">
        <f>IF(Table_Sales[[#This Row],[profit]]&lt;0,1,0)</f>
        <v>1</v>
      </c>
      <c r="I950" t="str" cm="1">
        <f t="array" ref="I950">_xlfn.IFS(Table_Sales[[#This Row],[quantity]]&lt;=3,"1-3",Table_Sales[[#This Row],[quantity]]&lt;=7,"2-7",Table_Sales[[#This Row],[quantity]]&lt;=10,"8-10",TRUE,"11 and above")</f>
        <v>2-7</v>
      </c>
      <c r="J950" t="str" cm="1">
        <f t="array" ref="J950">_xlfn.IFS(Table_Sales[[#This Row],[amount]]&lt;1000,"Under 1000",Table_Sales[[#This Row],[amount]]&lt;3000,"1000 - 2999",Table_Sales[[#This Row],[amount]]&lt;5000,"3000 - 4999",TRUE,"5000 &amp; above")</f>
        <v>Under 1000</v>
      </c>
      <c r="K950">
        <f>IF(COUNTIFS(INDEX(Table_Sales[order_id],1):Table_Sales[[#This Row],[order_id]],Table_Sales[[#This Row],[order_id]])=1,1,0)</f>
        <v>0</v>
      </c>
      <c r="L95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951" spans="1:12" x14ac:dyDescent="0.25">
      <c r="A951" t="s">
        <v>169</v>
      </c>
      <c r="B951" s="1">
        <v>75</v>
      </c>
      <c r="C951" s="1">
        <v>29</v>
      </c>
      <c r="D951">
        <v>1</v>
      </c>
      <c r="E951" t="s">
        <v>23</v>
      </c>
      <c r="F951" t="s">
        <v>24</v>
      </c>
      <c r="G951" t="s">
        <v>28</v>
      </c>
      <c r="H951">
        <f>IF(Table_Sales[[#This Row],[profit]]&lt;0,1,0)</f>
        <v>0</v>
      </c>
      <c r="I951" t="str" cm="1">
        <f t="array" ref="I951">_xlfn.IFS(Table_Sales[[#This Row],[quantity]]&lt;=3,"1-3",Table_Sales[[#This Row],[quantity]]&lt;=7,"2-7",Table_Sales[[#This Row],[quantity]]&lt;=10,"8-10",TRUE,"11 and above")</f>
        <v>1-3</v>
      </c>
      <c r="J951" t="str" cm="1">
        <f t="array" ref="J951">_xlfn.IFS(Table_Sales[[#This Row],[amount]]&lt;1000,"Under 1000",Table_Sales[[#This Row],[amount]]&lt;3000,"1000 - 2999",Table_Sales[[#This Row],[amount]]&lt;5000,"3000 - 4999",TRUE,"5000 &amp; above")</f>
        <v>Under 1000</v>
      </c>
      <c r="K951">
        <f>IF(COUNTIFS(INDEX(Table_Sales[order_id],1):Table_Sales[[#This Row],[order_id]],Table_Sales[[#This Row],[order_id]])=1,1,0)</f>
        <v>0</v>
      </c>
      <c r="L95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952" spans="1:12" x14ac:dyDescent="0.25">
      <c r="A952" t="s">
        <v>67</v>
      </c>
      <c r="B952" s="1">
        <v>26</v>
      </c>
      <c r="C952" s="1">
        <v>4</v>
      </c>
      <c r="D952">
        <v>2</v>
      </c>
      <c r="E952" t="s">
        <v>23</v>
      </c>
      <c r="F952" t="s">
        <v>26</v>
      </c>
      <c r="G952" t="s">
        <v>28</v>
      </c>
      <c r="H952">
        <f>IF(Table_Sales[[#This Row],[profit]]&lt;0,1,0)</f>
        <v>0</v>
      </c>
      <c r="I952" t="str" cm="1">
        <f t="array" ref="I952">_xlfn.IFS(Table_Sales[[#This Row],[quantity]]&lt;=3,"1-3",Table_Sales[[#This Row],[quantity]]&lt;=7,"2-7",Table_Sales[[#This Row],[quantity]]&lt;=10,"8-10",TRUE,"11 and above")</f>
        <v>1-3</v>
      </c>
      <c r="J952" t="str" cm="1">
        <f t="array" ref="J952">_xlfn.IFS(Table_Sales[[#This Row],[amount]]&lt;1000,"Under 1000",Table_Sales[[#This Row],[amount]]&lt;3000,"1000 - 2999",Table_Sales[[#This Row],[amount]]&lt;5000,"3000 - 4999",TRUE,"5000 &amp; above")</f>
        <v>Under 1000</v>
      </c>
      <c r="K952">
        <f>IF(COUNTIFS(INDEX(Table_Sales[order_id],1):Table_Sales[[#This Row],[order_id]],Table_Sales[[#This Row],[order_id]])=1,1,0)</f>
        <v>0</v>
      </c>
      <c r="L95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953" spans="1:12" x14ac:dyDescent="0.25">
      <c r="A953" t="s">
        <v>447</v>
      </c>
      <c r="B953" s="1">
        <v>55</v>
      </c>
      <c r="C953" s="1">
        <v>12</v>
      </c>
      <c r="D953">
        <v>5</v>
      </c>
      <c r="E953" t="s">
        <v>23</v>
      </c>
      <c r="F953" t="s">
        <v>43</v>
      </c>
      <c r="G953" t="s">
        <v>10</v>
      </c>
      <c r="H953">
        <f>IF(Table_Sales[[#This Row],[profit]]&lt;0,1,0)</f>
        <v>0</v>
      </c>
      <c r="I953" t="str" cm="1">
        <f t="array" ref="I953">_xlfn.IFS(Table_Sales[[#This Row],[quantity]]&lt;=3,"1-3",Table_Sales[[#This Row],[quantity]]&lt;=7,"2-7",Table_Sales[[#This Row],[quantity]]&lt;=10,"8-10",TRUE,"11 and above")</f>
        <v>2-7</v>
      </c>
      <c r="J953" t="str" cm="1">
        <f t="array" ref="J953">_xlfn.IFS(Table_Sales[[#This Row],[amount]]&lt;1000,"Under 1000",Table_Sales[[#This Row],[amount]]&lt;3000,"1000 - 2999",Table_Sales[[#This Row],[amount]]&lt;5000,"3000 - 4999",TRUE,"5000 &amp; above")</f>
        <v>Under 1000</v>
      </c>
      <c r="K953">
        <f>IF(COUNTIFS(INDEX(Table_Sales[order_id],1):Table_Sales[[#This Row],[order_id]],Table_Sales[[#This Row],[order_id]])=1,1,0)</f>
        <v>1</v>
      </c>
      <c r="L95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954" spans="1:12" x14ac:dyDescent="0.25">
      <c r="A954" t="s">
        <v>324</v>
      </c>
      <c r="B954" s="1">
        <v>157</v>
      </c>
      <c r="C954" s="1">
        <v>5</v>
      </c>
      <c r="D954">
        <v>9</v>
      </c>
      <c r="E954" t="s">
        <v>23</v>
      </c>
      <c r="F954" t="s">
        <v>26</v>
      </c>
      <c r="G954" t="s">
        <v>28</v>
      </c>
      <c r="H954">
        <f>IF(Table_Sales[[#This Row],[profit]]&lt;0,1,0)</f>
        <v>0</v>
      </c>
      <c r="I954" t="str" cm="1">
        <f t="array" ref="I954">_xlfn.IFS(Table_Sales[[#This Row],[quantity]]&lt;=3,"1-3",Table_Sales[[#This Row],[quantity]]&lt;=7,"2-7",Table_Sales[[#This Row],[quantity]]&lt;=10,"8-10",TRUE,"11 and above")</f>
        <v>8-10</v>
      </c>
      <c r="J954" t="str" cm="1">
        <f t="array" ref="J954">_xlfn.IFS(Table_Sales[[#This Row],[amount]]&lt;1000,"Under 1000",Table_Sales[[#This Row],[amount]]&lt;3000,"1000 - 2999",Table_Sales[[#This Row],[amount]]&lt;5000,"3000 - 4999",TRUE,"5000 &amp; above")</f>
        <v>Under 1000</v>
      </c>
      <c r="K954">
        <f>IF(COUNTIFS(INDEX(Table_Sales[order_id],1):Table_Sales[[#This Row],[order_id]],Table_Sales[[#This Row],[order_id]])=1,1,0)</f>
        <v>0</v>
      </c>
      <c r="L95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955" spans="1:12" x14ac:dyDescent="0.25">
      <c r="A955" t="s">
        <v>119</v>
      </c>
      <c r="B955" s="1">
        <v>200</v>
      </c>
      <c r="C955" s="1">
        <v>-60</v>
      </c>
      <c r="D955">
        <v>4</v>
      </c>
      <c r="E955" t="s">
        <v>12</v>
      </c>
      <c r="F955" t="s">
        <v>16</v>
      </c>
      <c r="G955" t="s">
        <v>28</v>
      </c>
      <c r="H955">
        <f>IF(Table_Sales[[#This Row],[profit]]&lt;0,1,0)</f>
        <v>1</v>
      </c>
      <c r="I955" t="str" cm="1">
        <f t="array" ref="I955">_xlfn.IFS(Table_Sales[[#This Row],[quantity]]&lt;=3,"1-3",Table_Sales[[#This Row],[quantity]]&lt;=7,"2-7",Table_Sales[[#This Row],[quantity]]&lt;=10,"8-10",TRUE,"11 and above")</f>
        <v>2-7</v>
      </c>
      <c r="J955" t="str" cm="1">
        <f t="array" ref="J955">_xlfn.IFS(Table_Sales[[#This Row],[amount]]&lt;1000,"Under 1000",Table_Sales[[#This Row],[amount]]&lt;3000,"1000 - 2999",Table_Sales[[#This Row],[amount]]&lt;5000,"3000 - 4999",TRUE,"5000 &amp; above")</f>
        <v>Under 1000</v>
      </c>
      <c r="K955">
        <f>IF(COUNTIFS(INDEX(Table_Sales[order_id],1):Table_Sales[[#This Row],[order_id]],Table_Sales[[#This Row],[order_id]])=1,1,0)</f>
        <v>0</v>
      </c>
      <c r="L95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956" spans="1:12" x14ac:dyDescent="0.25">
      <c r="A956" t="s">
        <v>223</v>
      </c>
      <c r="B956" s="1">
        <v>230</v>
      </c>
      <c r="C956" s="1">
        <v>5</v>
      </c>
      <c r="D956">
        <v>2</v>
      </c>
      <c r="E956" t="s">
        <v>23</v>
      </c>
      <c r="F956" t="s">
        <v>26</v>
      </c>
      <c r="G956" t="s">
        <v>28</v>
      </c>
      <c r="H956">
        <f>IF(Table_Sales[[#This Row],[profit]]&lt;0,1,0)</f>
        <v>0</v>
      </c>
      <c r="I956" t="str" cm="1">
        <f t="array" ref="I956">_xlfn.IFS(Table_Sales[[#This Row],[quantity]]&lt;=3,"1-3",Table_Sales[[#This Row],[quantity]]&lt;=7,"2-7",Table_Sales[[#This Row],[quantity]]&lt;=10,"8-10",TRUE,"11 and above")</f>
        <v>1-3</v>
      </c>
      <c r="J956" t="str" cm="1">
        <f t="array" ref="J956">_xlfn.IFS(Table_Sales[[#This Row],[amount]]&lt;1000,"Under 1000",Table_Sales[[#This Row],[amount]]&lt;3000,"1000 - 2999",Table_Sales[[#This Row],[amount]]&lt;5000,"3000 - 4999",TRUE,"5000 &amp; above")</f>
        <v>Under 1000</v>
      </c>
      <c r="K956">
        <f>IF(COUNTIFS(INDEX(Table_Sales[order_id],1):Table_Sales[[#This Row],[order_id]],Table_Sales[[#This Row],[order_id]])=1,1,0)</f>
        <v>0</v>
      </c>
      <c r="L95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957" spans="1:12" x14ac:dyDescent="0.25">
      <c r="A957" t="s">
        <v>211</v>
      </c>
      <c r="B957" s="1">
        <v>213</v>
      </c>
      <c r="C957" s="1">
        <v>-145</v>
      </c>
      <c r="D957">
        <v>3</v>
      </c>
      <c r="E957" t="s">
        <v>12</v>
      </c>
      <c r="F957" t="s">
        <v>16</v>
      </c>
      <c r="G957" t="s">
        <v>82</v>
      </c>
      <c r="H957">
        <f>IF(Table_Sales[[#This Row],[profit]]&lt;0,1,0)</f>
        <v>1</v>
      </c>
      <c r="I957" t="str" cm="1">
        <f t="array" ref="I957">_xlfn.IFS(Table_Sales[[#This Row],[quantity]]&lt;=3,"1-3",Table_Sales[[#This Row],[quantity]]&lt;=7,"2-7",Table_Sales[[#This Row],[quantity]]&lt;=10,"8-10",TRUE,"11 and above")</f>
        <v>1-3</v>
      </c>
      <c r="J957" t="str" cm="1">
        <f t="array" ref="J957">_xlfn.IFS(Table_Sales[[#This Row],[amount]]&lt;1000,"Under 1000",Table_Sales[[#This Row],[amount]]&lt;3000,"1000 - 2999",Table_Sales[[#This Row],[amount]]&lt;5000,"3000 - 4999",TRUE,"5000 &amp; above")</f>
        <v>Under 1000</v>
      </c>
      <c r="K957">
        <f>IF(COUNTIFS(INDEX(Table_Sales[order_id],1):Table_Sales[[#This Row],[order_id]],Table_Sales[[#This Row],[order_id]])=1,1,0)</f>
        <v>0</v>
      </c>
      <c r="L95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958" spans="1:12" x14ac:dyDescent="0.25">
      <c r="A958" t="s">
        <v>193</v>
      </c>
      <c r="B958" s="1">
        <v>55</v>
      </c>
      <c r="C958" s="1">
        <v>4</v>
      </c>
      <c r="D958">
        <v>2</v>
      </c>
      <c r="E958" t="s">
        <v>23</v>
      </c>
      <c r="F958" t="s">
        <v>57</v>
      </c>
      <c r="G958" t="s">
        <v>10</v>
      </c>
      <c r="H958">
        <f>IF(Table_Sales[[#This Row],[profit]]&lt;0,1,0)</f>
        <v>0</v>
      </c>
      <c r="I958" t="str" cm="1">
        <f t="array" ref="I958">_xlfn.IFS(Table_Sales[[#This Row],[quantity]]&lt;=3,"1-3",Table_Sales[[#This Row],[quantity]]&lt;=7,"2-7",Table_Sales[[#This Row],[quantity]]&lt;=10,"8-10",TRUE,"11 and above")</f>
        <v>1-3</v>
      </c>
      <c r="J958" t="str" cm="1">
        <f t="array" ref="J958">_xlfn.IFS(Table_Sales[[#This Row],[amount]]&lt;1000,"Under 1000",Table_Sales[[#This Row],[amount]]&lt;3000,"1000 - 2999",Table_Sales[[#This Row],[amount]]&lt;5000,"3000 - 4999",TRUE,"5000 &amp; above")</f>
        <v>Under 1000</v>
      </c>
      <c r="K958">
        <f>IF(COUNTIFS(INDEX(Table_Sales[order_id],1):Table_Sales[[#This Row],[order_id]],Table_Sales[[#This Row],[order_id]])=1,1,0)</f>
        <v>0</v>
      </c>
      <c r="L95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959" spans="1:12" x14ac:dyDescent="0.25">
      <c r="A959" t="s">
        <v>448</v>
      </c>
      <c r="B959" s="1">
        <v>220</v>
      </c>
      <c r="C959" s="1">
        <v>-19</v>
      </c>
      <c r="D959">
        <v>2</v>
      </c>
      <c r="E959" t="s">
        <v>23</v>
      </c>
      <c r="F959" t="s">
        <v>26</v>
      </c>
      <c r="G959" t="s">
        <v>82</v>
      </c>
      <c r="H959">
        <f>IF(Table_Sales[[#This Row],[profit]]&lt;0,1,0)</f>
        <v>1</v>
      </c>
      <c r="I959" t="str" cm="1">
        <f t="array" ref="I959">_xlfn.IFS(Table_Sales[[#This Row],[quantity]]&lt;=3,"1-3",Table_Sales[[#This Row],[quantity]]&lt;=7,"2-7",Table_Sales[[#This Row],[quantity]]&lt;=10,"8-10",TRUE,"11 and above")</f>
        <v>1-3</v>
      </c>
      <c r="J959" t="str" cm="1">
        <f t="array" ref="J959">_xlfn.IFS(Table_Sales[[#This Row],[amount]]&lt;1000,"Under 1000",Table_Sales[[#This Row],[amount]]&lt;3000,"1000 - 2999",Table_Sales[[#This Row],[amount]]&lt;5000,"3000 - 4999",TRUE,"5000 &amp; above")</f>
        <v>Under 1000</v>
      </c>
      <c r="K959">
        <f>IF(COUNTIFS(INDEX(Table_Sales[order_id],1):Table_Sales[[#This Row],[order_id]],Table_Sales[[#This Row],[order_id]])=1,1,0)</f>
        <v>1</v>
      </c>
      <c r="L95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960" spans="1:12" x14ac:dyDescent="0.25">
      <c r="A960" t="s">
        <v>74</v>
      </c>
      <c r="B960" s="1">
        <v>150</v>
      </c>
      <c r="C960" s="1">
        <v>32</v>
      </c>
      <c r="D960">
        <v>3</v>
      </c>
      <c r="E960" t="s">
        <v>23</v>
      </c>
      <c r="F960" t="s">
        <v>30</v>
      </c>
      <c r="G960" t="s">
        <v>10</v>
      </c>
      <c r="H960">
        <f>IF(Table_Sales[[#This Row],[profit]]&lt;0,1,0)</f>
        <v>0</v>
      </c>
      <c r="I960" t="str" cm="1">
        <f t="array" ref="I960">_xlfn.IFS(Table_Sales[[#This Row],[quantity]]&lt;=3,"1-3",Table_Sales[[#This Row],[quantity]]&lt;=7,"2-7",Table_Sales[[#This Row],[quantity]]&lt;=10,"8-10",TRUE,"11 and above")</f>
        <v>1-3</v>
      </c>
      <c r="J960" t="str" cm="1">
        <f t="array" ref="J960">_xlfn.IFS(Table_Sales[[#This Row],[amount]]&lt;1000,"Under 1000",Table_Sales[[#This Row],[amount]]&lt;3000,"1000 - 2999",Table_Sales[[#This Row],[amount]]&lt;5000,"3000 - 4999",TRUE,"5000 &amp; above")</f>
        <v>Under 1000</v>
      </c>
      <c r="K960">
        <f>IF(COUNTIFS(INDEX(Table_Sales[order_id],1):Table_Sales[[#This Row],[order_id]],Table_Sales[[#This Row],[order_id]])=1,1,0)</f>
        <v>0</v>
      </c>
      <c r="L96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961" spans="1:12" x14ac:dyDescent="0.25">
      <c r="A961" t="s">
        <v>136</v>
      </c>
      <c r="B961" s="1">
        <v>203</v>
      </c>
      <c r="C961" s="1">
        <v>84</v>
      </c>
      <c r="D961">
        <v>2</v>
      </c>
      <c r="E961" t="s">
        <v>8</v>
      </c>
      <c r="F961" t="s">
        <v>18</v>
      </c>
      <c r="G961" t="s">
        <v>28</v>
      </c>
      <c r="H961">
        <f>IF(Table_Sales[[#This Row],[profit]]&lt;0,1,0)</f>
        <v>0</v>
      </c>
      <c r="I961" t="str" cm="1">
        <f t="array" ref="I961">_xlfn.IFS(Table_Sales[[#This Row],[quantity]]&lt;=3,"1-3",Table_Sales[[#This Row],[quantity]]&lt;=7,"2-7",Table_Sales[[#This Row],[quantity]]&lt;=10,"8-10",TRUE,"11 and above")</f>
        <v>1-3</v>
      </c>
      <c r="J961" t="str" cm="1">
        <f t="array" ref="J961">_xlfn.IFS(Table_Sales[[#This Row],[amount]]&lt;1000,"Under 1000",Table_Sales[[#This Row],[amount]]&lt;3000,"1000 - 2999",Table_Sales[[#This Row],[amount]]&lt;5000,"3000 - 4999",TRUE,"5000 &amp; above")</f>
        <v>Under 1000</v>
      </c>
      <c r="K961">
        <f>IF(COUNTIFS(INDEX(Table_Sales[order_id],1):Table_Sales[[#This Row],[order_id]],Table_Sales[[#This Row],[order_id]])=1,1,0)</f>
        <v>0</v>
      </c>
      <c r="L96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962" spans="1:12" x14ac:dyDescent="0.25">
      <c r="A962" t="s">
        <v>167</v>
      </c>
      <c r="B962" s="1">
        <v>93</v>
      </c>
      <c r="C962" s="1">
        <v>31</v>
      </c>
      <c r="D962">
        <v>3</v>
      </c>
      <c r="E962" t="s">
        <v>8</v>
      </c>
      <c r="F962" t="s">
        <v>73</v>
      </c>
      <c r="G962" t="s">
        <v>28</v>
      </c>
      <c r="H962">
        <f>IF(Table_Sales[[#This Row],[profit]]&lt;0,1,0)</f>
        <v>0</v>
      </c>
      <c r="I962" t="str" cm="1">
        <f t="array" ref="I962">_xlfn.IFS(Table_Sales[[#This Row],[quantity]]&lt;=3,"1-3",Table_Sales[[#This Row],[quantity]]&lt;=7,"2-7",Table_Sales[[#This Row],[quantity]]&lt;=10,"8-10",TRUE,"11 and above")</f>
        <v>1-3</v>
      </c>
      <c r="J962" t="str" cm="1">
        <f t="array" ref="J962">_xlfn.IFS(Table_Sales[[#This Row],[amount]]&lt;1000,"Under 1000",Table_Sales[[#This Row],[amount]]&lt;3000,"1000 - 2999",Table_Sales[[#This Row],[amount]]&lt;5000,"3000 - 4999",TRUE,"5000 &amp; above")</f>
        <v>Under 1000</v>
      </c>
      <c r="K962">
        <f>IF(COUNTIFS(INDEX(Table_Sales[order_id],1):Table_Sales[[#This Row],[order_id]],Table_Sales[[#This Row],[order_id]])=1,1,0)</f>
        <v>0</v>
      </c>
      <c r="L96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963" spans="1:12" x14ac:dyDescent="0.25">
      <c r="A963" t="s">
        <v>449</v>
      </c>
      <c r="B963" s="1">
        <v>290</v>
      </c>
      <c r="C963" s="1">
        <v>35</v>
      </c>
      <c r="D963">
        <v>6</v>
      </c>
      <c r="E963" t="s">
        <v>23</v>
      </c>
      <c r="F963" t="s">
        <v>30</v>
      </c>
      <c r="G963" t="s">
        <v>10</v>
      </c>
      <c r="H963">
        <f>IF(Table_Sales[[#This Row],[profit]]&lt;0,1,0)</f>
        <v>0</v>
      </c>
      <c r="I963" t="str" cm="1">
        <f t="array" ref="I963">_xlfn.IFS(Table_Sales[[#This Row],[quantity]]&lt;=3,"1-3",Table_Sales[[#This Row],[quantity]]&lt;=7,"2-7",Table_Sales[[#This Row],[quantity]]&lt;=10,"8-10",TRUE,"11 and above")</f>
        <v>2-7</v>
      </c>
      <c r="J963" t="str" cm="1">
        <f t="array" ref="J963">_xlfn.IFS(Table_Sales[[#This Row],[amount]]&lt;1000,"Under 1000",Table_Sales[[#This Row],[amount]]&lt;3000,"1000 - 2999",Table_Sales[[#This Row],[amount]]&lt;5000,"3000 - 4999",TRUE,"5000 &amp; above")</f>
        <v>Under 1000</v>
      </c>
      <c r="K963">
        <f>IF(COUNTIFS(INDEX(Table_Sales[order_id],1):Table_Sales[[#This Row],[order_id]],Table_Sales[[#This Row],[order_id]])=1,1,0)</f>
        <v>1</v>
      </c>
      <c r="L96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964" spans="1:12" x14ac:dyDescent="0.25">
      <c r="A964" t="s">
        <v>269</v>
      </c>
      <c r="B964" s="1">
        <v>48</v>
      </c>
      <c r="C964" s="1">
        <v>6</v>
      </c>
      <c r="D964">
        <v>1</v>
      </c>
      <c r="E964" t="s">
        <v>23</v>
      </c>
      <c r="F964" t="s">
        <v>26</v>
      </c>
      <c r="G964" t="s">
        <v>10</v>
      </c>
      <c r="H964">
        <f>IF(Table_Sales[[#This Row],[profit]]&lt;0,1,0)</f>
        <v>0</v>
      </c>
      <c r="I964" t="str" cm="1">
        <f t="array" ref="I964">_xlfn.IFS(Table_Sales[[#This Row],[quantity]]&lt;=3,"1-3",Table_Sales[[#This Row],[quantity]]&lt;=7,"2-7",Table_Sales[[#This Row],[quantity]]&lt;=10,"8-10",TRUE,"11 and above")</f>
        <v>1-3</v>
      </c>
      <c r="J964" t="str" cm="1">
        <f t="array" ref="J964">_xlfn.IFS(Table_Sales[[#This Row],[amount]]&lt;1000,"Under 1000",Table_Sales[[#This Row],[amount]]&lt;3000,"1000 - 2999",Table_Sales[[#This Row],[amount]]&lt;5000,"3000 - 4999",TRUE,"5000 &amp; above")</f>
        <v>Under 1000</v>
      </c>
      <c r="K964">
        <f>IF(COUNTIFS(INDEX(Table_Sales[order_id],1):Table_Sales[[#This Row],[order_id]],Table_Sales[[#This Row],[order_id]])=1,1,0)</f>
        <v>0</v>
      </c>
      <c r="L96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965" spans="1:12" x14ac:dyDescent="0.25">
      <c r="A965" t="s">
        <v>254</v>
      </c>
      <c r="B965" s="1">
        <v>221</v>
      </c>
      <c r="C965" s="1">
        <v>35</v>
      </c>
      <c r="D965">
        <v>4</v>
      </c>
      <c r="E965" t="s">
        <v>8</v>
      </c>
      <c r="F965" t="s">
        <v>73</v>
      </c>
      <c r="G965" t="s">
        <v>82</v>
      </c>
      <c r="H965">
        <f>IF(Table_Sales[[#This Row],[profit]]&lt;0,1,0)</f>
        <v>0</v>
      </c>
      <c r="I965" t="str" cm="1">
        <f t="array" ref="I965">_xlfn.IFS(Table_Sales[[#This Row],[quantity]]&lt;=3,"1-3",Table_Sales[[#This Row],[quantity]]&lt;=7,"2-7",Table_Sales[[#This Row],[quantity]]&lt;=10,"8-10",TRUE,"11 and above")</f>
        <v>2-7</v>
      </c>
      <c r="J965" t="str" cm="1">
        <f t="array" ref="J965">_xlfn.IFS(Table_Sales[[#This Row],[amount]]&lt;1000,"Under 1000",Table_Sales[[#This Row],[amount]]&lt;3000,"1000 - 2999",Table_Sales[[#This Row],[amount]]&lt;5000,"3000 - 4999",TRUE,"5000 &amp; above")</f>
        <v>Under 1000</v>
      </c>
      <c r="K965">
        <f>IF(COUNTIFS(INDEX(Table_Sales[order_id],1):Table_Sales[[#This Row],[order_id]],Table_Sales[[#This Row],[order_id]])=1,1,0)</f>
        <v>0</v>
      </c>
      <c r="L96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966" spans="1:12" x14ac:dyDescent="0.25">
      <c r="A966" t="s">
        <v>450</v>
      </c>
      <c r="B966" s="1">
        <v>55</v>
      </c>
      <c r="C966" s="1">
        <v>18</v>
      </c>
      <c r="D966">
        <v>2</v>
      </c>
      <c r="E966" t="s">
        <v>23</v>
      </c>
      <c r="F966" t="s">
        <v>32</v>
      </c>
      <c r="G966" t="s">
        <v>10</v>
      </c>
      <c r="H966">
        <f>IF(Table_Sales[[#This Row],[profit]]&lt;0,1,0)</f>
        <v>0</v>
      </c>
      <c r="I966" t="str" cm="1">
        <f t="array" ref="I966">_xlfn.IFS(Table_Sales[[#This Row],[quantity]]&lt;=3,"1-3",Table_Sales[[#This Row],[quantity]]&lt;=7,"2-7",Table_Sales[[#This Row],[quantity]]&lt;=10,"8-10",TRUE,"11 and above")</f>
        <v>1-3</v>
      </c>
      <c r="J966" t="str" cm="1">
        <f t="array" ref="J966">_xlfn.IFS(Table_Sales[[#This Row],[amount]]&lt;1000,"Under 1000",Table_Sales[[#This Row],[amount]]&lt;3000,"1000 - 2999",Table_Sales[[#This Row],[amount]]&lt;5000,"3000 - 4999",TRUE,"5000 &amp; above")</f>
        <v>Under 1000</v>
      </c>
      <c r="K966">
        <f>IF(COUNTIFS(INDEX(Table_Sales[order_id],1):Table_Sales[[#This Row],[order_id]],Table_Sales[[#This Row],[order_id]])=1,1,0)</f>
        <v>1</v>
      </c>
      <c r="L96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967" spans="1:12" x14ac:dyDescent="0.25">
      <c r="A967" t="s">
        <v>117</v>
      </c>
      <c r="B967" s="1">
        <v>227</v>
      </c>
      <c r="C967" s="1">
        <v>102</v>
      </c>
      <c r="D967">
        <v>8</v>
      </c>
      <c r="E967" t="s">
        <v>8</v>
      </c>
      <c r="F967" t="s">
        <v>73</v>
      </c>
      <c r="G967" t="s">
        <v>82</v>
      </c>
      <c r="H967">
        <f>IF(Table_Sales[[#This Row],[profit]]&lt;0,1,0)</f>
        <v>0</v>
      </c>
      <c r="I967" t="str" cm="1">
        <f t="array" ref="I967">_xlfn.IFS(Table_Sales[[#This Row],[quantity]]&lt;=3,"1-3",Table_Sales[[#This Row],[quantity]]&lt;=7,"2-7",Table_Sales[[#This Row],[quantity]]&lt;=10,"8-10",TRUE,"11 and above")</f>
        <v>8-10</v>
      </c>
      <c r="J967" t="str" cm="1">
        <f t="array" ref="J967">_xlfn.IFS(Table_Sales[[#This Row],[amount]]&lt;1000,"Under 1000",Table_Sales[[#This Row],[amount]]&lt;3000,"1000 - 2999",Table_Sales[[#This Row],[amount]]&lt;5000,"3000 - 4999",TRUE,"5000 &amp; above")</f>
        <v>Under 1000</v>
      </c>
      <c r="K967">
        <f>IF(COUNTIFS(INDEX(Table_Sales[order_id],1):Table_Sales[[#This Row],[order_id]],Table_Sales[[#This Row],[order_id]])=1,1,0)</f>
        <v>0</v>
      </c>
      <c r="L96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968" spans="1:12" x14ac:dyDescent="0.25">
      <c r="A968" t="s">
        <v>451</v>
      </c>
      <c r="B968" s="1">
        <v>55</v>
      </c>
      <c r="C968" s="1">
        <v>-39</v>
      </c>
      <c r="D968">
        <v>4</v>
      </c>
      <c r="E968" t="s">
        <v>23</v>
      </c>
      <c r="F968" t="s">
        <v>57</v>
      </c>
      <c r="G968" t="s">
        <v>10</v>
      </c>
      <c r="H968">
        <f>IF(Table_Sales[[#This Row],[profit]]&lt;0,1,0)</f>
        <v>1</v>
      </c>
      <c r="I968" t="str" cm="1">
        <f t="array" ref="I968">_xlfn.IFS(Table_Sales[[#This Row],[quantity]]&lt;=3,"1-3",Table_Sales[[#This Row],[quantity]]&lt;=7,"2-7",Table_Sales[[#This Row],[quantity]]&lt;=10,"8-10",TRUE,"11 and above")</f>
        <v>2-7</v>
      </c>
      <c r="J968" t="str" cm="1">
        <f t="array" ref="J968">_xlfn.IFS(Table_Sales[[#This Row],[amount]]&lt;1000,"Under 1000",Table_Sales[[#This Row],[amount]]&lt;3000,"1000 - 2999",Table_Sales[[#This Row],[amount]]&lt;5000,"3000 - 4999",TRUE,"5000 &amp; above")</f>
        <v>Under 1000</v>
      </c>
      <c r="K968">
        <f>IF(COUNTIFS(INDEX(Table_Sales[order_id],1):Table_Sales[[#This Row],[order_id]],Table_Sales[[#This Row],[order_id]])=1,1,0)</f>
        <v>1</v>
      </c>
      <c r="L96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969" spans="1:12" x14ac:dyDescent="0.25">
      <c r="A969" t="s">
        <v>449</v>
      </c>
      <c r="B969" s="1">
        <v>207</v>
      </c>
      <c r="C969" s="1">
        <v>33</v>
      </c>
      <c r="D969">
        <v>2</v>
      </c>
      <c r="E969" t="s">
        <v>8</v>
      </c>
      <c r="F969" t="s">
        <v>73</v>
      </c>
      <c r="G969" t="s">
        <v>28</v>
      </c>
      <c r="H969">
        <f>IF(Table_Sales[[#This Row],[profit]]&lt;0,1,0)</f>
        <v>0</v>
      </c>
      <c r="I969" t="str" cm="1">
        <f t="array" ref="I969">_xlfn.IFS(Table_Sales[[#This Row],[quantity]]&lt;=3,"1-3",Table_Sales[[#This Row],[quantity]]&lt;=7,"2-7",Table_Sales[[#This Row],[quantity]]&lt;=10,"8-10",TRUE,"11 and above")</f>
        <v>1-3</v>
      </c>
      <c r="J969" t="str" cm="1">
        <f t="array" ref="J969">_xlfn.IFS(Table_Sales[[#This Row],[amount]]&lt;1000,"Under 1000",Table_Sales[[#This Row],[amount]]&lt;3000,"1000 - 2999",Table_Sales[[#This Row],[amount]]&lt;5000,"3000 - 4999",TRUE,"5000 &amp; above")</f>
        <v>Under 1000</v>
      </c>
      <c r="K969">
        <f>IF(COUNTIFS(INDEX(Table_Sales[order_id],1):Table_Sales[[#This Row],[order_id]],Table_Sales[[#This Row],[order_id]])=1,1,0)</f>
        <v>0</v>
      </c>
      <c r="L96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970" spans="1:12" x14ac:dyDescent="0.25">
      <c r="A970" t="s">
        <v>80</v>
      </c>
      <c r="B970" s="1">
        <v>64</v>
      </c>
      <c r="C970" s="1">
        <v>6</v>
      </c>
      <c r="D970">
        <v>4</v>
      </c>
      <c r="E970" t="s">
        <v>23</v>
      </c>
      <c r="F970" t="s">
        <v>26</v>
      </c>
      <c r="G970" t="s">
        <v>10</v>
      </c>
      <c r="H970">
        <f>IF(Table_Sales[[#This Row],[profit]]&lt;0,1,0)</f>
        <v>0</v>
      </c>
      <c r="I970" t="str" cm="1">
        <f t="array" ref="I970">_xlfn.IFS(Table_Sales[[#This Row],[quantity]]&lt;=3,"1-3",Table_Sales[[#This Row],[quantity]]&lt;=7,"2-7",Table_Sales[[#This Row],[quantity]]&lt;=10,"8-10",TRUE,"11 and above")</f>
        <v>2-7</v>
      </c>
      <c r="J970" t="str" cm="1">
        <f t="array" ref="J970">_xlfn.IFS(Table_Sales[[#This Row],[amount]]&lt;1000,"Under 1000",Table_Sales[[#This Row],[amount]]&lt;3000,"1000 - 2999",Table_Sales[[#This Row],[amount]]&lt;5000,"3000 - 4999",TRUE,"5000 &amp; above")</f>
        <v>Under 1000</v>
      </c>
      <c r="K970">
        <f>IF(COUNTIFS(INDEX(Table_Sales[order_id],1):Table_Sales[[#This Row],[order_id]],Table_Sales[[#This Row],[order_id]])=1,1,0)</f>
        <v>0</v>
      </c>
      <c r="L97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971" spans="1:12" x14ac:dyDescent="0.25">
      <c r="A971" t="s">
        <v>235</v>
      </c>
      <c r="B971" s="1">
        <v>89</v>
      </c>
      <c r="C971" s="1">
        <v>6</v>
      </c>
      <c r="D971">
        <v>5</v>
      </c>
      <c r="E971" t="s">
        <v>23</v>
      </c>
      <c r="F971" t="s">
        <v>26</v>
      </c>
      <c r="G971" t="s">
        <v>10</v>
      </c>
      <c r="H971">
        <f>IF(Table_Sales[[#This Row],[profit]]&lt;0,1,0)</f>
        <v>0</v>
      </c>
      <c r="I971" t="str" cm="1">
        <f t="array" ref="I971">_xlfn.IFS(Table_Sales[[#This Row],[quantity]]&lt;=3,"1-3",Table_Sales[[#This Row],[quantity]]&lt;=7,"2-7",Table_Sales[[#This Row],[quantity]]&lt;=10,"8-10",TRUE,"11 and above")</f>
        <v>2-7</v>
      </c>
      <c r="J971" t="str" cm="1">
        <f t="array" ref="J971">_xlfn.IFS(Table_Sales[[#This Row],[amount]]&lt;1000,"Under 1000",Table_Sales[[#This Row],[amount]]&lt;3000,"1000 - 2999",Table_Sales[[#This Row],[amount]]&lt;5000,"3000 - 4999",TRUE,"5000 &amp; above")</f>
        <v>Under 1000</v>
      </c>
      <c r="K971">
        <f>IF(COUNTIFS(INDEX(Table_Sales[order_id],1):Table_Sales[[#This Row],[order_id]],Table_Sales[[#This Row],[order_id]])=1,1,0)</f>
        <v>0</v>
      </c>
      <c r="L97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972" spans="1:12" x14ac:dyDescent="0.25">
      <c r="A972" t="s">
        <v>46</v>
      </c>
      <c r="B972" s="1">
        <v>54</v>
      </c>
      <c r="C972" s="1">
        <v>27</v>
      </c>
      <c r="D972">
        <v>2</v>
      </c>
      <c r="E972" t="s">
        <v>23</v>
      </c>
      <c r="F972" t="s">
        <v>57</v>
      </c>
      <c r="G972" t="s">
        <v>10</v>
      </c>
      <c r="H972">
        <f>IF(Table_Sales[[#This Row],[profit]]&lt;0,1,0)</f>
        <v>0</v>
      </c>
      <c r="I972" t="str" cm="1">
        <f t="array" ref="I972">_xlfn.IFS(Table_Sales[[#This Row],[quantity]]&lt;=3,"1-3",Table_Sales[[#This Row],[quantity]]&lt;=7,"2-7",Table_Sales[[#This Row],[quantity]]&lt;=10,"8-10",TRUE,"11 and above")</f>
        <v>1-3</v>
      </c>
      <c r="J972" t="str" cm="1">
        <f t="array" ref="J972">_xlfn.IFS(Table_Sales[[#This Row],[amount]]&lt;1000,"Under 1000",Table_Sales[[#This Row],[amount]]&lt;3000,"1000 - 2999",Table_Sales[[#This Row],[amount]]&lt;5000,"3000 - 4999",TRUE,"5000 &amp; above")</f>
        <v>Under 1000</v>
      </c>
      <c r="K972">
        <f>IF(COUNTIFS(INDEX(Table_Sales[order_id],1):Table_Sales[[#This Row],[order_id]],Table_Sales[[#This Row],[order_id]])=1,1,0)</f>
        <v>0</v>
      </c>
      <c r="L97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973" spans="1:12" x14ac:dyDescent="0.25">
      <c r="A973" t="s">
        <v>140</v>
      </c>
      <c r="B973" s="1">
        <v>84</v>
      </c>
      <c r="C973" s="1">
        <v>41</v>
      </c>
      <c r="D973">
        <v>3</v>
      </c>
      <c r="E973" t="s">
        <v>23</v>
      </c>
      <c r="F973" t="s">
        <v>81</v>
      </c>
      <c r="G973" t="s">
        <v>19</v>
      </c>
      <c r="H973">
        <f>IF(Table_Sales[[#This Row],[profit]]&lt;0,1,0)</f>
        <v>0</v>
      </c>
      <c r="I973" t="str" cm="1">
        <f t="array" ref="I973">_xlfn.IFS(Table_Sales[[#This Row],[quantity]]&lt;=3,"1-3",Table_Sales[[#This Row],[quantity]]&lt;=7,"2-7",Table_Sales[[#This Row],[quantity]]&lt;=10,"8-10",TRUE,"11 and above")</f>
        <v>1-3</v>
      </c>
      <c r="J973" t="str" cm="1">
        <f t="array" ref="J973">_xlfn.IFS(Table_Sales[[#This Row],[amount]]&lt;1000,"Under 1000",Table_Sales[[#This Row],[amount]]&lt;3000,"1000 - 2999",Table_Sales[[#This Row],[amount]]&lt;5000,"3000 - 4999",TRUE,"5000 &amp; above")</f>
        <v>Under 1000</v>
      </c>
      <c r="K973">
        <f>IF(COUNTIFS(INDEX(Table_Sales[order_id],1):Table_Sales[[#This Row],[order_id]],Table_Sales[[#This Row],[order_id]])=1,1,0)</f>
        <v>0</v>
      </c>
      <c r="L97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974" spans="1:12" x14ac:dyDescent="0.25">
      <c r="A974" t="s">
        <v>289</v>
      </c>
      <c r="B974" s="1">
        <v>209</v>
      </c>
      <c r="C974" s="1">
        <v>-21</v>
      </c>
      <c r="D974">
        <v>2</v>
      </c>
      <c r="E974" t="s">
        <v>8</v>
      </c>
      <c r="F974" t="s">
        <v>9</v>
      </c>
      <c r="G974" t="s">
        <v>28</v>
      </c>
      <c r="H974">
        <f>IF(Table_Sales[[#This Row],[profit]]&lt;0,1,0)</f>
        <v>1</v>
      </c>
      <c r="I974" t="str" cm="1">
        <f t="array" ref="I974">_xlfn.IFS(Table_Sales[[#This Row],[quantity]]&lt;=3,"1-3",Table_Sales[[#This Row],[quantity]]&lt;=7,"2-7",Table_Sales[[#This Row],[quantity]]&lt;=10,"8-10",TRUE,"11 and above")</f>
        <v>1-3</v>
      </c>
      <c r="J974" t="str" cm="1">
        <f t="array" ref="J974">_xlfn.IFS(Table_Sales[[#This Row],[amount]]&lt;1000,"Under 1000",Table_Sales[[#This Row],[amount]]&lt;3000,"1000 - 2999",Table_Sales[[#This Row],[amount]]&lt;5000,"3000 - 4999",TRUE,"5000 &amp; above")</f>
        <v>Under 1000</v>
      </c>
      <c r="K974">
        <f>IF(COUNTIFS(INDEX(Table_Sales[order_id],1):Table_Sales[[#This Row],[order_id]],Table_Sales[[#This Row],[order_id]])=1,1,0)</f>
        <v>0</v>
      </c>
      <c r="L97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975" spans="1:12" x14ac:dyDescent="0.25">
      <c r="A975" t="s">
        <v>200</v>
      </c>
      <c r="B975" s="1">
        <v>79</v>
      </c>
      <c r="C975" s="1">
        <v>33</v>
      </c>
      <c r="D975">
        <v>4</v>
      </c>
      <c r="E975" t="s">
        <v>23</v>
      </c>
      <c r="F975" t="s">
        <v>57</v>
      </c>
      <c r="G975" t="s">
        <v>28</v>
      </c>
      <c r="H975">
        <f>IF(Table_Sales[[#This Row],[profit]]&lt;0,1,0)</f>
        <v>0</v>
      </c>
      <c r="I975" t="str" cm="1">
        <f t="array" ref="I975">_xlfn.IFS(Table_Sales[[#This Row],[quantity]]&lt;=3,"1-3",Table_Sales[[#This Row],[quantity]]&lt;=7,"2-7",Table_Sales[[#This Row],[quantity]]&lt;=10,"8-10",TRUE,"11 and above")</f>
        <v>2-7</v>
      </c>
      <c r="J975" t="str" cm="1">
        <f t="array" ref="J975">_xlfn.IFS(Table_Sales[[#This Row],[amount]]&lt;1000,"Under 1000",Table_Sales[[#This Row],[amount]]&lt;3000,"1000 - 2999",Table_Sales[[#This Row],[amount]]&lt;5000,"3000 - 4999",TRUE,"5000 &amp; above")</f>
        <v>Under 1000</v>
      </c>
      <c r="K975">
        <f>IF(COUNTIFS(INDEX(Table_Sales[order_id],1):Table_Sales[[#This Row],[order_id]],Table_Sales[[#This Row],[order_id]])=1,1,0)</f>
        <v>0</v>
      </c>
      <c r="L97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976" spans="1:12" x14ac:dyDescent="0.25">
      <c r="A976" t="s">
        <v>452</v>
      </c>
      <c r="B976" s="1">
        <v>54</v>
      </c>
      <c r="C976" s="1">
        <v>8</v>
      </c>
      <c r="D976">
        <v>4</v>
      </c>
      <c r="E976" t="s">
        <v>23</v>
      </c>
      <c r="F976" t="s">
        <v>81</v>
      </c>
      <c r="G976" t="s">
        <v>10</v>
      </c>
      <c r="H976">
        <f>IF(Table_Sales[[#This Row],[profit]]&lt;0,1,0)</f>
        <v>0</v>
      </c>
      <c r="I976" t="str" cm="1">
        <f t="array" ref="I976">_xlfn.IFS(Table_Sales[[#This Row],[quantity]]&lt;=3,"1-3",Table_Sales[[#This Row],[quantity]]&lt;=7,"2-7",Table_Sales[[#This Row],[quantity]]&lt;=10,"8-10",TRUE,"11 and above")</f>
        <v>2-7</v>
      </c>
      <c r="J976" t="str" cm="1">
        <f t="array" ref="J976">_xlfn.IFS(Table_Sales[[#This Row],[amount]]&lt;1000,"Under 1000",Table_Sales[[#This Row],[amount]]&lt;3000,"1000 - 2999",Table_Sales[[#This Row],[amount]]&lt;5000,"3000 - 4999",TRUE,"5000 &amp; above")</f>
        <v>Under 1000</v>
      </c>
      <c r="K976">
        <f>IF(COUNTIFS(INDEX(Table_Sales[order_id],1):Table_Sales[[#This Row],[order_id]],Table_Sales[[#This Row],[order_id]])=1,1,0)</f>
        <v>1</v>
      </c>
      <c r="L97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977" spans="1:12" x14ac:dyDescent="0.25">
      <c r="A977" t="s">
        <v>94</v>
      </c>
      <c r="B977" s="1">
        <v>229</v>
      </c>
      <c r="C977" s="1">
        <v>59</v>
      </c>
      <c r="D977">
        <v>9</v>
      </c>
      <c r="E977" t="s">
        <v>23</v>
      </c>
      <c r="F977" t="s">
        <v>26</v>
      </c>
      <c r="G977" t="s">
        <v>82</v>
      </c>
      <c r="H977">
        <f>IF(Table_Sales[[#This Row],[profit]]&lt;0,1,0)</f>
        <v>0</v>
      </c>
      <c r="I977" t="str" cm="1">
        <f t="array" ref="I977">_xlfn.IFS(Table_Sales[[#This Row],[quantity]]&lt;=3,"1-3",Table_Sales[[#This Row],[quantity]]&lt;=7,"2-7",Table_Sales[[#This Row],[quantity]]&lt;=10,"8-10",TRUE,"11 and above")</f>
        <v>8-10</v>
      </c>
      <c r="J977" t="str" cm="1">
        <f t="array" ref="J977">_xlfn.IFS(Table_Sales[[#This Row],[amount]]&lt;1000,"Under 1000",Table_Sales[[#This Row],[amount]]&lt;3000,"1000 - 2999",Table_Sales[[#This Row],[amount]]&lt;5000,"3000 - 4999",TRUE,"5000 &amp; above")</f>
        <v>Under 1000</v>
      </c>
      <c r="K977">
        <f>IF(COUNTIFS(INDEX(Table_Sales[order_id],1):Table_Sales[[#This Row],[order_id]],Table_Sales[[#This Row],[order_id]])=1,1,0)</f>
        <v>0</v>
      </c>
      <c r="L97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978" spans="1:12" x14ac:dyDescent="0.25">
      <c r="A978" t="s">
        <v>378</v>
      </c>
      <c r="B978" s="1">
        <v>158</v>
      </c>
      <c r="C978" s="1">
        <v>38</v>
      </c>
      <c r="D978">
        <v>3</v>
      </c>
      <c r="E978" t="s">
        <v>23</v>
      </c>
      <c r="F978" t="s">
        <v>30</v>
      </c>
      <c r="G978" t="s">
        <v>28</v>
      </c>
      <c r="H978">
        <f>IF(Table_Sales[[#This Row],[profit]]&lt;0,1,0)</f>
        <v>0</v>
      </c>
      <c r="I978" t="str" cm="1">
        <f t="array" ref="I978">_xlfn.IFS(Table_Sales[[#This Row],[quantity]]&lt;=3,"1-3",Table_Sales[[#This Row],[quantity]]&lt;=7,"2-7",Table_Sales[[#This Row],[quantity]]&lt;=10,"8-10",TRUE,"11 and above")</f>
        <v>1-3</v>
      </c>
      <c r="J978" t="str" cm="1">
        <f t="array" ref="J978">_xlfn.IFS(Table_Sales[[#This Row],[amount]]&lt;1000,"Under 1000",Table_Sales[[#This Row],[amount]]&lt;3000,"1000 - 2999",Table_Sales[[#This Row],[amount]]&lt;5000,"3000 - 4999",TRUE,"5000 &amp; above")</f>
        <v>Under 1000</v>
      </c>
      <c r="K978">
        <f>IF(COUNTIFS(INDEX(Table_Sales[order_id],1):Table_Sales[[#This Row],[order_id]],Table_Sales[[#This Row],[order_id]])=1,1,0)</f>
        <v>0</v>
      </c>
      <c r="L97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979" spans="1:12" x14ac:dyDescent="0.25">
      <c r="A979" t="s">
        <v>179</v>
      </c>
      <c r="B979" s="1">
        <v>248</v>
      </c>
      <c r="C979" s="1">
        <v>105</v>
      </c>
      <c r="D979">
        <v>2</v>
      </c>
      <c r="E979" t="s">
        <v>8</v>
      </c>
      <c r="F979" t="s">
        <v>21</v>
      </c>
      <c r="G979" t="s">
        <v>82</v>
      </c>
      <c r="H979">
        <f>IF(Table_Sales[[#This Row],[profit]]&lt;0,1,0)</f>
        <v>0</v>
      </c>
      <c r="I979" t="str" cm="1">
        <f t="array" ref="I979">_xlfn.IFS(Table_Sales[[#This Row],[quantity]]&lt;=3,"1-3",Table_Sales[[#This Row],[quantity]]&lt;=7,"2-7",Table_Sales[[#This Row],[quantity]]&lt;=10,"8-10",TRUE,"11 and above")</f>
        <v>1-3</v>
      </c>
      <c r="J979" t="str" cm="1">
        <f t="array" ref="J979">_xlfn.IFS(Table_Sales[[#This Row],[amount]]&lt;1000,"Under 1000",Table_Sales[[#This Row],[amount]]&lt;3000,"1000 - 2999",Table_Sales[[#This Row],[amount]]&lt;5000,"3000 - 4999",TRUE,"5000 &amp; above")</f>
        <v>Under 1000</v>
      </c>
      <c r="K979">
        <f>IF(COUNTIFS(INDEX(Table_Sales[order_id],1):Table_Sales[[#This Row],[order_id]],Table_Sales[[#This Row],[order_id]])=1,1,0)</f>
        <v>0</v>
      </c>
      <c r="L97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980" spans="1:12" x14ac:dyDescent="0.25">
      <c r="A980" t="s">
        <v>41</v>
      </c>
      <c r="B980" s="1">
        <v>199</v>
      </c>
      <c r="C980" s="1">
        <v>6</v>
      </c>
      <c r="D980">
        <v>2</v>
      </c>
      <c r="E980" t="s">
        <v>23</v>
      </c>
      <c r="F980" t="s">
        <v>26</v>
      </c>
      <c r="G980" t="s">
        <v>28</v>
      </c>
      <c r="H980">
        <f>IF(Table_Sales[[#This Row],[profit]]&lt;0,1,0)</f>
        <v>0</v>
      </c>
      <c r="I980" t="str" cm="1">
        <f t="array" ref="I980">_xlfn.IFS(Table_Sales[[#This Row],[quantity]]&lt;=3,"1-3",Table_Sales[[#This Row],[quantity]]&lt;=7,"2-7",Table_Sales[[#This Row],[quantity]]&lt;=10,"8-10",TRUE,"11 and above")</f>
        <v>1-3</v>
      </c>
      <c r="J980" t="str" cm="1">
        <f t="array" ref="J980">_xlfn.IFS(Table_Sales[[#This Row],[amount]]&lt;1000,"Under 1000",Table_Sales[[#This Row],[amount]]&lt;3000,"1000 - 2999",Table_Sales[[#This Row],[amount]]&lt;5000,"3000 - 4999",TRUE,"5000 &amp; above")</f>
        <v>Under 1000</v>
      </c>
      <c r="K980">
        <f>IF(COUNTIFS(INDEX(Table_Sales[order_id],1):Table_Sales[[#This Row],[order_id]],Table_Sales[[#This Row],[order_id]])=1,1,0)</f>
        <v>0</v>
      </c>
      <c r="L98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981" spans="1:12" x14ac:dyDescent="0.25">
      <c r="A981" t="s">
        <v>35</v>
      </c>
      <c r="B981" s="1">
        <v>253</v>
      </c>
      <c r="C981" s="1">
        <v>-11</v>
      </c>
      <c r="D981">
        <v>1</v>
      </c>
      <c r="E981" t="s">
        <v>23</v>
      </c>
      <c r="F981" t="s">
        <v>24</v>
      </c>
      <c r="G981" t="s">
        <v>82</v>
      </c>
      <c r="H981">
        <f>IF(Table_Sales[[#This Row],[profit]]&lt;0,1,0)</f>
        <v>1</v>
      </c>
      <c r="I981" t="str" cm="1">
        <f t="array" ref="I981">_xlfn.IFS(Table_Sales[[#This Row],[quantity]]&lt;=3,"1-3",Table_Sales[[#This Row],[quantity]]&lt;=7,"2-7",Table_Sales[[#This Row],[quantity]]&lt;=10,"8-10",TRUE,"11 and above")</f>
        <v>1-3</v>
      </c>
      <c r="J981" t="str" cm="1">
        <f t="array" ref="J981">_xlfn.IFS(Table_Sales[[#This Row],[amount]]&lt;1000,"Under 1000",Table_Sales[[#This Row],[amount]]&lt;3000,"1000 - 2999",Table_Sales[[#This Row],[amount]]&lt;5000,"3000 - 4999",TRUE,"5000 &amp; above")</f>
        <v>Under 1000</v>
      </c>
      <c r="K981">
        <f>IF(COUNTIFS(INDEX(Table_Sales[order_id],1):Table_Sales[[#This Row],[order_id]],Table_Sales[[#This Row],[order_id]])=1,1,0)</f>
        <v>0</v>
      </c>
      <c r="L98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982" spans="1:12" x14ac:dyDescent="0.25">
      <c r="A982" t="s">
        <v>307</v>
      </c>
      <c r="B982" s="1">
        <v>257</v>
      </c>
      <c r="C982" s="1">
        <v>-252</v>
      </c>
      <c r="D982">
        <v>4</v>
      </c>
      <c r="E982" t="s">
        <v>23</v>
      </c>
      <c r="F982" t="s">
        <v>26</v>
      </c>
      <c r="G982" t="s">
        <v>82</v>
      </c>
      <c r="H982">
        <f>IF(Table_Sales[[#This Row],[profit]]&lt;0,1,0)</f>
        <v>1</v>
      </c>
      <c r="I982" t="str" cm="1">
        <f t="array" ref="I982">_xlfn.IFS(Table_Sales[[#This Row],[quantity]]&lt;=3,"1-3",Table_Sales[[#This Row],[quantity]]&lt;=7,"2-7",Table_Sales[[#This Row],[quantity]]&lt;=10,"8-10",TRUE,"11 and above")</f>
        <v>2-7</v>
      </c>
      <c r="J982" t="str" cm="1">
        <f t="array" ref="J982">_xlfn.IFS(Table_Sales[[#This Row],[amount]]&lt;1000,"Under 1000",Table_Sales[[#This Row],[amount]]&lt;3000,"1000 - 2999",Table_Sales[[#This Row],[amount]]&lt;5000,"3000 - 4999",TRUE,"5000 &amp; above")</f>
        <v>Under 1000</v>
      </c>
      <c r="K982">
        <f>IF(COUNTIFS(INDEX(Table_Sales[order_id],1):Table_Sales[[#This Row],[order_id]],Table_Sales[[#This Row],[order_id]])=1,1,0)</f>
        <v>0</v>
      </c>
      <c r="L98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983" spans="1:12" x14ac:dyDescent="0.25">
      <c r="A983" t="s">
        <v>453</v>
      </c>
      <c r="B983" s="1">
        <v>193</v>
      </c>
      <c r="C983" s="1">
        <v>33</v>
      </c>
      <c r="D983">
        <v>5</v>
      </c>
      <c r="E983" t="s">
        <v>8</v>
      </c>
      <c r="F983" t="s">
        <v>73</v>
      </c>
      <c r="G983" t="s">
        <v>10</v>
      </c>
      <c r="H983">
        <f>IF(Table_Sales[[#This Row],[profit]]&lt;0,1,0)</f>
        <v>0</v>
      </c>
      <c r="I983" t="str" cm="1">
        <f t="array" ref="I983">_xlfn.IFS(Table_Sales[[#This Row],[quantity]]&lt;=3,"1-3",Table_Sales[[#This Row],[quantity]]&lt;=7,"2-7",Table_Sales[[#This Row],[quantity]]&lt;=10,"8-10",TRUE,"11 and above")</f>
        <v>2-7</v>
      </c>
      <c r="J983" t="str" cm="1">
        <f t="array" ref="J983">_xlfn.IFS(Table_Sales[[#This Row],[amount]]&lt;1000,"Under 1000",Table_Sales[[#This Row],[amount]]&lt;3000,"1000 - 2999",Table_Sales[[#This Row],[amount]]&lt;5000,"3000 - 4999",TRUE,"5000 &amp; above")</f>
        <v>Under 1000</v>
      </c>
      <c r="K983">
        <f>IF(COUNTIFS(INDEX(Table_Sales[order_id],1):Table_Sales[[#This Row],[order_id]],Table_Sales[[#This Row],[order_id]])=1,1,0)</f>
        <v>1</v>
      </c>
      <c r="L98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984" spans="1:12" x14ac:dyDescent="0.25">
      <c r="A984" t="s">
        <v>454</v>
      </c>
      <c r="B984" s="1">
        <v>109</v>
      </c>
      <c r="C984" s="1">
        <v>35</v>
      </c>
      <c r="D984">
        <v>6</v>
      </c>
      <c r="E984" t="s">
        <v>23</v>
      </c>
      <c r="F984" t="s">
        <v>81</v>
      </c>
      <c r="G984" t="s">
        <v>10</v>
      </c>
      <c r="H984">
        <f>IF(Table_Sales[[#This Row],[profit]]&lt;0,1,0)</f>
        <v>0</v>
      </c>
      <c r="I984" t="str" cm="1">
        <f t="array" ref="I984">_xlfn.IFS(Table_Sales[[#This Row],[quantity]]&lt;=3,"1-3",Table_Sales[[#This Row],[quantity]]&lt;=7,"2-7",Table_Sales[[#This Row],[quantity]]&lt;=10,"8-10",TRUE,"11 and above")</f>
        <v>2-7</v>
      </c>
      <c r="J984" t="str" cm="1">
        <f t="array" ref="J984">_xlfn.IFS(Table_Sales[[#This Row],[amount]]&lt;1000,"Under 1000",Table_Sales[[#This Row],[amount]]&lt;3000,"1000 - 2999",Table_Sales[[#This Row],[amount]]&lt;5000,"3000 - 4999",TRUE,"5000 &amp; above")</f>
        <v>Under 1000</v>
      </c>
      <c r="K984">
        <f>IF(COUNTIFS(INDEX(Table_Sales[order_id],1):Table_Sales[[#This Row],[order_id]],Table_Sales[[#This Row],[order_id]])=1,1,0)</f>
        <v>1</v>
      </c>
      <c r="L98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985" spans="1:12" x14ac:dyDescent="0.25">
      <c r="A985" t="s">
        <v>241</v>
      </c>
      <c r="B985" s="1">
        <v>214</v>
      </c>
      <c r="C985" s="1">
        <v>30</v>
      </c>
      <c r="D985">
        <v>3</v>
      </c>
      <c r="E985" t="s">
        <v>8</v>
      </c>
      <c r="F985" t="s">
        <v>73</v>
      </c>
      <c r="G985" t="s">
        <v>10</v>
      </c>
      <c r="H985">
        <f>IF(Table_Sales[[#This Row],[profit]]&lt;0,1,0)</f>
        <v>0</v>
      </c>
      <c r="I985" t="str" cm="1">
        <f t="array" ref="I985">_xlfn.IFS(Table_Sales[[#This Row],[quantity]]&lt;=3,"1-3",Table_Sales[[#This Row],[quantity]]&lt;=7,"2-7",Table_Sales[[#This Row],[quantity]]&lt;=10,"8-10",TRUE,"11 and above")</f>
        <v>1-3</v>
      </c>
      <c r="J985" t="str" cm="1">
        <f t="array" ref="J985">_xlfn.IFS(Table_Sales[[#This Row],[amount]]&lt;1000,"Under 1000",Table_Sales[[#This Row],[amount]]&lt;3000,"1000 - 2999",Table_Sales[[#This Row],[amount]]&lt;5000,"3000 - 4999",TRUE,"5000 &amp; above")</f>
        <v>Under 1000</v>
      </c>
      <c r="K985">
        <f>IF(COUNTIFS(INDEX(Table_Sales[order_id],1):Table_Sales[[#This Row],[order_id]],Table_Sales[[#This Row],[order_id]])=1,1,0)</f>
        <v>0</v>
      </c>
      <c r="L98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986" spans="1:12" x14ac:dyDescent="0.25">
      <c r="A986" t="s">
        <v>301</v>
      </c>
      <c r="B986" s="1">
        <v>141</v>
      </c>
      <c r="C986" s="1">
        <v>7</v>
      </c>
      <c r="D986">
        <v>7</v>
      </c>
      <c r="E986" t="s">
        <v>23</v>
      </c>
      <c r="F986" t="s">
        <v>26</v>
      </c>
      <c r="G986" t="s">
        <v>10</v>
      </c>
      <c r="H986">
        <f>IF(Table_Sales[[#This Row],[profit]]&lt;0,1,0)</f>
        <v>0</v>
      </c>
      <c r="I986" t="str" cm="1">
        <f t="array" ref="I986">_xlfn.IFS(Table_Sales[[#This Row],[quantity]]&lt;=3,"1-3",Table_Sales[[#This Row],[quantity]]&lt;=7,"2-7",Table_Sales[[#This Row],[quantity]]&lt;=10,"8-10",TRUE,"11 and above")</f>
        <v>2-7</v>
      </c>
      <c r="J986" t="str" cm="1">
        <f t="array" ref="J986">_xlfn.IFS(Table_Sales[[#This Row],[amount]]&lt;1000,"Under 1000",Table_Sales[[#This Row],[amount]]&lt;3000,"1000 - 2999",Table_Sales[[#This Row],[amount]]&lt;5000,"3000 - 4999",TRUE,"5000 &amp; above")</f>
        <v>Under 1000</v>
      </c>
      <c r="K986">
        <f>IF(COUNTIFS(INDEX(Table_Sales[order_id],1):Table_Sales[[#This Row],[order_id]],Table_Sales[[#This Row],[order_id]])=1,1,0)</f>
        <v>0</v>
      </c>
      <c r="L98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987" spans="1:12" x14ac:dyDescent="0.25">
      <c r="A987" t="s">
        <v>164</v>
      </c>
      <c r="B987" s="1">
        <v>201</v>
      </c>
      <c r="C987" s="1">
        <v>32</v>
      </c>
      <c r="D987">
        <v>4</v>
      </c>
      <c r="E987" t="s">
        <v>12</v>
      </c>
      <c r="F987" t="s">
        <v>131</v>
      </c>
      <c r="G987" t="s">
        <v>28</v>
      </c>
      <c r="H987">
        <f>IF(Table_Sales[[#This Row],[profit]]&lt;0,1,0)</f>
        <v>0</v>
      </c>
      <c r="I987" t="str" cm="1">
        <f t="array" ref="I987">_xlfn.IFS(Table_Sales[[#This Row],[quantity]]&lt;=3,"1-3",Table_Sales[[#This Row],[quantity]]&lt;=7,"2-7",Table_Sales[[#This Row],[quantity]]&lt;=10,"8-10",TRUE,"11 and above")</f>
        <v>2-7</v>
      </c>
      <c r="J987" t="str" cm="1">
        <f t="array" ref="J987">_xlfn.IFS(Table_Sales[[#This Row],[amount]]&lt;1000,"Under 1000",Table_Sales[[#This Row],[amount]]&lt;3000,"1000 - 2999",Table_Sales[[#This Row],[amount]]&lt;5000,"3000 - 4999",TRUE,"5000 &amp; above")</f>
        <v>Under 1000</v>
      </c>
      <c r="K987">
        <f>IF(COUNTIFS(INDEX(Table_Sales[order_id],1):Table_Sales[[#This Row],[order_id]],Table_Sales[[#This Row],[order_id]])=1,1,0)</f>
        <v>0</v>
      </c>
      <c r="L98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988" spans="1:12" x14ac:dyDescent="0.25">
      <c r="A988" t="s">
        <v>169</v>
      </c>
      <c r="B988" s="1">
        <v>54</v>
      </c>
      <c r="C988" s="1">
        <v>12</v>
      </c>
      <c r="D988">
        <v>4</v>
      </c>
      <c r="E988" t="s">
        <v>23</v>
      </c>
      <c r="F988" t="s">
        <v>142</v>
      </c>
      <c r="G988" t="s">
        <v>10</v>
      </c>
      <c r="H988">
        <f>IF(Table_Sales[[#This Row],[profit]]&lt;0,1,0)</f>
        <v>0</v>
      </c>
      <c r="I988" t="str" cm="1">
        <f t="array" ref="I988">_xlfn.IFS(Table_Sales[[#This Row],[quantity]]&lt;=3,"1-3",Table_Sales[[#This Row],[quantity]]&lt;=7,"2-7",Table_Sales[[#This Row],[quantity]]&lt;=10,"8-10",TRUE,"11 and above")</f>
        <v>2-7</v>
      </c>
      <c r="J988" t="str" cm="1">
        <f t="array" ref="J988">_xlfn.IFS(Table_Sales[[#This Row],[amount]]&lt;1000,"Under 1000",Table_Sales[[#This Row],[amount]]&lt;3000,"1000 - 2999",Table_Sales[[#This Row],[amount]]&lt;5000,"3000 - 4999",TRUE,"5000 &amp; above")</f>
        <v>Under 1000</v>
      </c>
      <c r="K988">
        <f>IF(COUNTIFS(INDEX(Table_Sales[order_id],1):Table_Sales[[#This Row],[order_id]],Table_Sales[[#This Row],[order_id]])=1,1,0)</f>
        <v>0</v>
      </c>
      <c r="L98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989" spans="1:12" x14ac:dyDescent="0.25">
      <c r="A989" t="s">
        <v>34</v>
      </c>
      <c r="B989" s="1">
        <v>83</v>
      </c>
      <c r="C989" s="1">
        <v>6</v>
      </c>
      <c r="D989">
        <v>6</v>
      </c>
      <c r="E989" t="s">
        <v>23</v>
      </c>
      <c r="F989" t="s">
        <v>142</v>
      </c>
      <c r="G989" t="s">
        <v>14</v>
      </c>
      <c r="H989">
        <f>IF(Table_Sales[[#This Row],[profit]]&lt;0,1,0)</f>
        <v>0</v>
      </c>
      <c r="I989" t="str" cm="1">
        <f t="array" ref="I989">_xlfn.IFS(Table_Sales[[#This Row],[quantity]]&lt;=3,"1-3",Table_Sales[[#This Row],[quantity]]&lt;=7,"2-7",Table_Sales[[#This Row],[quantity]]&lt;=10,"8-10",TRUE,"11 and above")</f>
        <v>2-7</v>
      </c>
      <c r="J989" t="str" cm="1">
        <f t="array" ref="J989">_xlfn.IFS(Table_Sales[[#This Row],[amount]]&lt;1000,"Under 1000",Table_Sales[[#This Row],[amount]]&lt;3000,"1000 - 2999",Table_Sales[[#This Row],[amount]]&lt;5000,"3000 - 4999",TRUE,"5000 &amp; above")</f>
        <v>Under 1000</v>
      </c>
      <c r="K989">
        <f>IF(COUNTIFS(INDEX(Table_Sales[order_id],1):Table_Sales[[#This Row],[order_id]],Table_Sales[[#This Row],[order_id]])=1,1,0)</f>
        <v>0</v>
      </c>
      <c r="L98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990" spans="1:12" x14ac:dyDescent="0.25">
      <c r="A990" t="s">
        <v>205</v>
      </c>
      <c r="B990" s="1">
        <v>54</v>
      </c>
      <c r="C990" s="1">
        <v>-3</v>
      </c>
      <c r="D990">
        <v>3</v>
      </c>
      <c r="E990" t="s">
        <v>23</v>
      </c>
      <c r="F990" t="s">
        <v>26</v>
      </c>
      <c r="G990" t="s">
        <v>10</v>
      </c>
      <c r="H990">
        <f>IF(Table_Sales[[#This Row],[profit]]&lt;0,1,0)</f>
        <v>1</v>
      </c>
      <c r="I990" t="str" cm="1">
        <f t="array" ref="I990">_xlfn.IFS(Table_Sales[[#This Row],[quantity]]&lt;=3,"1-3",Table_Sales[[#This Row],[quantity]]&lt;=7,"2-7",Table_Sales[[#This Row],[quantity]]&lt;=10,"8-10",TRUE,"11 and above")</f>
        <v>1-3</v>
      </c>
      <c r="J990" t="str" cm="1">
        <f t="array" ref="J990">_xlfn.IFS(Table_Sales[[#This Row],[amount]]&lt;1000,"Under 1000",Table_Sales[[#This Row],[amount]]&lt;3000,"1000 - 2999",Table_Sales[[#This Row],[amount]]&lt;5000,"3000 - 4999",TRUE,"5000 &amp; above")</f>
        <v>Under 1000</v>
      </c>
      <c r="K990">
        <f>IF(COUNTIFS(INDEX(Table_Sales[order_id],1):Table_Sales[[#This Row],[order_id]],Table_Sales[[#This Row],[order_id]])=1,1,0)</f>
        <v>0</v>
      </c>
      <c r="L99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991" spans="1:12" x14ac:dyDescent="0.25">
      <c r="A991" t="s">
        <v>115</v>
      </c>
      <c r="B991" s="1">
        <v>53</v>
      </c>
      <c r="C991" s="1">
        <v>5</v>
      </c>
      <c r="D991">
        <v>3</v>
      </c>
      <c r="E991" t="s">
        <v>23</v>
      </c>
      <c r="F991" t="s">
        <v>81</v>
      </c>
      <c r="G991" t="s">
        <v>10</v>
      </c>
      <c r="H991">
        <f>IF(Table_Sales[[#This Row],[profit]]&lt;0,1,0)</f>
        <v>0</v>
      </c>
      <c r="I991" t="str" cm="1">
        <f t="array" ref="I991">_xlfn.IFS(Table_Sales[[#This Row],[quantity]]&lt;=3,"1-3",Table_Sales[[#This Row],[quantity]]&lt;=7,"2-7",Table_Sales[[#This Row],[quantity]]&lt;=10,"8-10",TRUE,"11 and above")</f>
        <v>1-3</v>
      </c>
      <c r="J991" t="str" cm="1">
        <f t="array" ref="J991">_xlfn.IFS(Table_Sales[[#This Row],[amount]]&lt;1000,"Under 1000",Table_Sales[[#This Row],[amount]]&lt;3000,"1000 - 2999",Table_Sales[[#This Row],[amount]]&lt;5000,"3000 - 4999",TRUE,"5000 &amp; above")</f>
        <v>Under 1000</v>
      </c>
      <c r="K991">
        <f>IF(COUNTIFS(INDEX(Table_Sales[order_id],1):Table_Sales[[#This Row],[order_id]],Table_Sales[[#This Row],[order_id]])=1,1,0)</f>
        <v>0</v>
      </c>
      <c r="L99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992" spans="1:12" x14ac:dyDescent="0.25">
      <c r="A992" t="s">
        <v>246</v>
      </c>
      <c r="B992" s="1">
        <v>258</v>
      </c>
      <c r="C992" s="1">
        <v>-27</v>
      </c>
      <c r="D992">
        <v>2</v>
      </c>
      <c r="E992" t="s">
        <v>8</v>
      </c>
      <c r="F992" t="s">
        <v>21</v>
      </c>
      <c r="G992" t="s">
        <v>82</v>
      </c>
      <c r="H992">
        <f>IF(Table_Sales[[#This Row],[profit]]&lt;0,1,0)</f>
        <v>1</v>
      </c>
      <c r="I992" t="str" cm="1">
        <f t="array" ref="I992">_xlfn.IFS(Table_Sales[[#This Row],[quantity]]&lt;=3,"1-3",Table_Sales[[#This Row],[quantity]]&lt;=7,"2-7",Table_Sales[[#This Row],[quantity]]&lt;=10,"8-10",TRUE,"11 and above")</f>
        <v>1-3</v>
      </c>
      <c r="J992" t="str" cm="1">
        <f t="array" ref="J992">_xlfn.IFS(Table_Sales[[#This Row],[amount]]&lt;1000,"Under 1000",Table_Sales[[#This Row],[amount]]&lt;3000,"1000 - 2999",Table_Sales[[#This Row],[amount]]&lt;5000,"3000 - 4999",TRUE,"5000 &amp; above")</f>
        <v>Under 1000</v>
      </c>
      <c r="K992">
        <f>IF(COUNTIFS(INDEX(Table_Sales[order_id],1):Table_Sales[[#This Row],[order_id]],Table_Sales[[#This Row],[order_id]])=1,1,0)</f>
        <v>0</v>
      </c>
      <c r="L99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993" spans="1:12" x14ac:dyDescent="0.25">
      <c r="A993" t="s">
        <v>455</v>
      </c>
      <c r="B993" s="1">
        <v>199</v>
      </c>
      <c r="C993" s="1">
        <v>8</v>
      </c>
      <c r="D993">
        <v>2</v>
      </c>
      <c r="E993" t="s">
        <v>23</v>
      </c>
      <c r="F993" t="s">
        <v>26</v>
      </c>
      <c r="G993" t="s">
        <v>10</v>
      </c>
      <c r="H993">
        <f>IF(Table_Sales[[#This Row],[profit]]&lt;0,1,0)</f>
        <v>0</v>
      </c>
      <c r="I993" t="str" cm="1">
        <f t="array" ref="I993">_xlfn.IFS(Table_Sales[[#This Row],[quantity]]&lt;=3,"1-3",Table_Sales[[#This Row],[quantity]]&lt;=7,"2-7",Table_Sales[[#This Row],[quantity]]&lt;=10,"8-10",TRUE,"11 and above")</f>
        <v>1-3</v>
      </c>
      <c r="J993" t="str" cm="1">
        <f t="array" ref="J993">_xlfn.IFS(Table_Sales[[#This Row],[amount]]&lt;1000,"Under 1000",Table_Sales[[#This Row],[amount]]&lt;3000,"1000 - 2999",Table_Sales[[#This Row],[amount]]&lt;5000,"3000 - 4999",TRUE,"5000 &amp; above")</f>
        <v>Under 1000</v>
      </c>
      <c r="K993">
        <f>IF(COUNTIFS(INDEX(Table_Sales[order_id],1):Table_Sales[[#This Row],[order_id]],Table_Sales[[#This Row],[order_id]])=1,1,0)</f>
        <v>1</v>
      </c>
      <c r="L99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994" spans="1:12" x14ac:dyDescent="0.25">
      <c r="A994" t="s">
        <v>300</v>
      </c>
      <c r="B994" s="1">
        <v>82</v>
      </c>
      <c r="C994" s="1">
        <v>-27</v>
      </c>
      <c r="D994">
        <v>3</v>
      </c>
      <c r="E994" t="s">
        <v>23</v>
      </c>
      <c r="F994" t="s">
        <v>32</v>
      </c>
      <c r="G994" t="s">
        <v>14</v>
      </c>
      <c r="H994">
        <f>IF(Table_Sales[[#This Row],[profit]]&lt;0,1,0)</f>
        <v>1</v>
      </c>
      <c r="I994" t="str" cm="1">
        <f t="array" ref="I994">_xlfn.IFS(Table_Sales[[#This Row],[quantity]]&lt;=3,"1-3",Table_Sales[[#This Row],[quantity]]&lt;=7,"2-7",Table_Sales[[#This Row],[quantity]]&lt;=10,"8-10",TRUE,"11 and above")</f>
        <v>1-3</v>
      </c>
      <c r="J994" t="str" cm="1">
        <f t="array" ref="J994">_xlfn.IFS(Table_Sales[[#This Row],[amount]]&lt;1000,"Under 1000",Table_Sales[[#This Row],[amount]]&lt;3000,"1000 - 2999",Table_Sales[[#This Row],[amount]]&lt;5000,"3000 - 4999",TRUE,"5000 &amp; above")</f>
        <v>Under 1000</v>
      </c>
      <c r="K994">
        <f>IF(COUNTIFS(INDEX(Table_Sales[order_id],1):Table_Sales[[#This Row],[order_id]],Table_Sales[[#This Row],[order_id]])=1,1,0)</f>
        <v>0</v>
      </c>
      <c r="L99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995" spans="1:12" x14ac:dyDescent="0.25">
      <c r="A995" t="s">
        <v>273</v>
      </c>
      <c r="B995" s="1">
        <v>139</v>
      </c>
      <c r="C995" s="1">
        <v>36</v>
      </c>
      <c r="D995">
        <v>3</v>
      </c>
      <c r="E995" t="s">
        <v>23</v>
      </c>
      <c r="F995" t="s">
        <v>57</v>
      </c>
      <c r="G995" t="s">
        <v>10</v>
      </c>
      <c r="H995">
        <f>IF(Table_Sales[[#This Row],[profit]]&lt;0,1,0)</f>
        <v>0</v>
      </c>
      <c r="I995" t="str" cm="1">
        <f t="array" ref="I995">_xlfn.IFS(Table_Sales[[#This Row],[quantity]]&lt;=3,"1-3",Table_Sales[[#This Row],[quantity]]&lt;=7,"2-7",Table_Sales[[#This Row],[quantity]]&lt;=10,"8-10",TRUE,"11 and above")</f>
        <v>1-3</v>
      </c>
      <c r="J995" t="str" cm="1">
        <f t="array" ref="J995">_xlfn.IFS(Table_Sales[[#This Row],[amount]]&lt;1000,"Under 1000",Table_Sales[[#This Row],[amount]]&lt;3000,"1000 - 2999",Table_Sales[[#This Row],[amount]]&lt;5000,"3000 - 4999",TRUE,"5000 &amp; above")</f>
        <v>Under 1000</v>
      </c>
      <c r="K995">
        <f>IF(COUNTIFS(INDEX(Table_Sales[order_id],1):Table_Sales[[#This Row],[order_id]],Table_Sales[[#This Row],[order_id]])=1,1,0)</f>
        <v>0</v>
      </c>
      <c r="L99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996" spans="1:12" x14ac:dyDescent="0.25">
      <c r="A996" t="s">
        <v>104</v>
      </c>
      <c r="B996" s="1">
        <v>53</v>
      </c>
      <c r="C996" s="1">
        <v>15</v>
      </c>
      <c r="D996">
        <v>2</v>
      </c>
      <c r="E996" t="s">
        <v>23</v>
      </c>
      <c r="F996" t="s">
        <v>57</v>
      </c>
      <c r="G996" t="s">
        <v>10</v>
      </c>
      <c r="H996">
        <f>IF(Table_Sales[[#This Row],[profit]]&lt;0,1,0)</f>
        <v>0</v>
      </c>
      <c r="I996" t="str" cm="1">
        <f t="array" ref="I996">_xlfn.IFS(Table_Sales[[#This Row],[quantity]]&lt;=3,"1-3",Table_Sales[[#This Row],[quantity]]&lt;=7,"2-7",Table_Sales[[#This Row],[quantity]]&lt;=10,"8-10",TRUE,"11 and above")</f>
        <v>1-3</v>
      </c>
      <c r="J996" t="str" cm="1">
        <f t="array" ref="J996">_xlfn.IFS(Table_Sales[[#This Row],[amount]]&lt;1000,"Under 1000",Table_Sales[[#This Row],[amount]]&lt;3000,"1000 - 2999",Table_Sales[[#This Row],[amount]]&lt;5000,"3000 - 4999",TRUE,"5000 &amp; above")</f>
        <v>Under 1000</v>
      </c>
      <c r="K996">
        <f>IF(COUNTIFS(INDEX(Table_Sales[order_id],1):Table_Sales[[#This Row],[order_id]],Table_Sales[[#This Row],[order_id]])=1,1,0)</f>
        <v>0</v>
      </c>
      <c r="L99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997" spans="1:12" x14ac:dyDescent="0.25">
      <c r="A997" t="s">
        <v>336</v>
      </c>
      <c r="B997" s="1">
        <v>53</v>
      </c>
      <c r="C997" s="1">
        <v>1</v>
      </c>
      <c r="D997">
        <v>4</v>
      </c>
      <c r="E997" t="s">
        <v>23</v>
      </c>
      <c r="F997" t="s">
        <v>57</v>
      </c>
      <c r="G997" t="s">
        <v>10</v>
      </c>
      <c r="H997">
        <f>IF(Table_Sales[[#This Row],[profit]]&lt;0,1,0)</f>
        <v>0</v>
      </c>
      <c r="I997" t="str" cm="1">
        <f t="array" ref="I997">_xlfn.IFS(Table_Sales[[#This Row],[quantity]]&lt;=3,"1-3",Table_Sales[[#This Row],[quantity]]&lt;=7,"2-7",Table_Sales[[#This Row],[quantity]]&lt;=10,"8-10",TRUE,"11 and above")</f>
        <v>2-7</v>
      </c>
      <c r="J997" t="str" cm="1">
        <f t="array" ref="J997">_xlfn.IFS(Table_Sales[[#This Row],[amount]]&lt;1000,"Under 1000",Table_Sales[[#This Row],[amount]]&lt;3000,"1000 - 2999",Table_Sales[[#This Row],[amount]]&lt;5000,"3000 - 4999",TRUE,"5000 &amp; above")</f>
        <v>Under 1000</v>
      </c>
      <c r="K997">
        <f>IF(COUNTIFS(INDEX(Table_Sales[order_id],1):Table_Sales[[#This Row],[order_id]],Table_Sales[[#This Row],[order_id]])=1,1,0)</f>
        <v>0</v>
      </c>
      <c r="L99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998" spans="1:12" x14ac:dyDescent="0.25">
      <c r="A998" t="s">
        <v>456</v>
      </c>
      <c r="B998" s="1">
        <v>101</v>
      </c>
      <c r="C998" s="1">
        <v>38</v>
      </c>
      <c r="D998">
        <v>2</v>
      </c>
      <c r="E998" t="s">
        <v>12</v>
      </c>
      <c r="F998" t="s">
        <v>131</v>
      </c>
      <c r="G998" t="s">
        <v>10</v>
      </c>
      <c r="H998">
        <f>IF(Table_Sales[[#This Row],[profit]]&lt;0,1,0)</f>
        <v>0</v>
      </c>
      <c r="I998" t="str" cm="1">
        <f t="array" ref="I998">_xlfn.IFS(Table_Sales[[#This Row],[quantity]]&lt;=3,"1-3",Table_Sales[[#This Row],[quantity]]&lt;=7,"2-7",Table_Sales[[#This Row],[quantity]]&lt;=10,"8-10",TRUE,"11 and above")</f>
        <v>1-3</v>
      </c>
      <c r="J998" t="str" cm="1">
        <f t="array" ref="J998">_xlfn.IFS(Table_Sales[[#This Row],[amount]]&lt;1000,"Under 1000",Table_Sales[[#This Row],[amount]]&lt;3000,"1000 - 2999",Table_Sales[[#This Row],[amount]]&lt;5000,"3000 - 4999",TRUE,"5000 &amp; above")</f>
        <v>Under 1000</v>
      </c>
      <c r="K998">
        <f>IF(COUNTIFS(INDEX(Table_Sales[order_id],1):Table_Sales[[#This Row],[order_id]],Table_Sales[[#This Row],[order_id]])=1,1,0)</f>
        <v>1</v>
      </c>
      <c r="L99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999" spans="1:12" x14ac:dyDescent="0.25">
      <c r="A999" t="s">
        <v>54</v>
      </c>
      <c r="B999" s="1">
        <v>262</v>
      </c>
      <c r="C999" s="1">
        <v>215</v>
      </c>
      <c r="D999">
        <v>2</v>
      </c>
      <c r="E999" t="s">
        <v>8</v>
      </c>
      <c r="F999" t="s">
        <v>18</v>
      </c>
      <c r="G999" t="s">
        <v>82</v>
      </c>
      <c r="H999">
        <f>IF(Table_Sales[[#This Row],[profit]]&lt;0,1,0)</f>
        <v>0</v>
      </c>
      <c r="I999" t="str" cm="1">
        <f t="array" ref="I999">_xlfn.IFS(Table_Sales[[#This Row],[quantity]]&lt;=3,"1-3",Table_Sales[[#This Row],[quantity]]&lt;=7,"2-7",Table_Sales[[#This Row],[quantity]]&lt;=10,"8-10",TRUE,"11 and above")</f>
        <v>1-3</v>
      </c>
      <c r="J999" t="str" cm="1">
        <f t="array" ref="J999">_xlfn.IFS(Table_Sales[[#This Row],[amount]]&lt;1000,"Under 1000",Table_Sales[[#This Row],[amount]]&lt;3000,"1000 - 2999",Table_Sales[[#This Row],[amount]]&lt;5000,"3000 - 4999",TRUE,"5000 &amp; above")</f>
        <v>Under 1000</v>
      </c>
      <c r="K999">
        <f>IF(COUNTIFS(INDEX(Table_Sales[order_id],1):Table_Sales[[#This Row],[order_id]],Table_Sales[[#This Row],[order_id]])=1,1,0)</f>
        <v>0</v>
      </c>
      <c r="L99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000" spans="1:12" x14ac:dyDescent="0.25">
      <c r="A1000" t="s">
        <v>112</v>
      </c>
      <c r="B1000" s="1">
        <v>82</v>
      </c>
      <c r="C1000" s="1">
        <v>-39</v>
      </c>
      <c r="D1000">
        <v>5</v>
      </c>
      <c r="E1000" t="s">
        <v>23</v>
      </c>
      <c r="F1000" t="s">
        <v>81</v>
      </c>
      <c r="G1000" t="s">
        <v>14</v>
      </c>
      <c r="H1000">
        <f>IF(Table_Sales[[#This Row],[profit]]&lt;0,1,0)</f>
        <v>1</v>
      </c>
      <c r="I1000" t="str" cm="1">
        <f t="array" ref="I1000">_xlfn.IFS(Table_Sales[[#This Row],[quantity]]&lt;=3,"1-3",Table_Sales[[#This Row],[quantity]]&lt;=7,"2-7",Table_Sales[[#This Row],[quantity]]&lt;=10,"8-10",TRUE,"11 and above")</f>
        <v>2-7</v>
      </c>
      <c r="J1000" t="str" cm="1">
        <f t="array" ref="J1000">_xlfn.IFS(Table_Sales[[#This Row],[amount]]&lt;1000,"Under 1000",Table_Sales[[#This Row],[amount]]&lt;3000,"1000 - 2999",Table_Sales[[#This Row],[amount]]&lt;5000,"3000 - 4999",TRUE,"5000 &amp; above")</f>
        <v>Under 1000</v>
      </c>
      <c r="K1000">
        <f>IF(COUNTIFS(INDEX(Table_Sales[order_id],1):Table_Sales[[#This Row],[order_id]],Table_Sales[[#This Row],[order_id]])=1,1,0)</f>
        <v>0</v>
      </c>
      <c r="L100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001" spans="1:12" x14ac:dyDescent="0.25">
      <c r="A1001" t="s">
        <v>359</v>
      </c>
      <c r="B1001" s="1">
        <v>154</v>
      </c>
      <c r="C1001" s="1">
        <v>39</v>
      </c>
      <c r="D1001">
        <v>3</v>
      </c>
      <c r="E1001" t="s">
        <v>23</v>
      </c>
      <c r="F1001" t="s">
        <v>30</v>
      </c>
      <c r="G1001" t="s">
        <v>10</v>
      </c>
      <c r="H1001">
        <f>IF(Table_Sales[[#This Row],[profit]]&lt;0,1,0)</f>
        <v>0</v>
      </c>
      <c r="I1001" t="str" cm="1">
        <f t="array" ref="I1001">_xlfn.IFS(Table_Sales[[#This Row],[quantity]]&lt;=3,"1-3",Table_Sales[[#This Row],[quantity]]&lt;=7,"2-7",Table_Sales[[#This Row],[quantity]]&lt;=10,"8-10",TRUE,"11 and above")</f>
        <v>1-3</v>
      </c>
      <c r="J1001" t="str" cm="1">
        <f t="array" ref="J1001">_xlfn.IFS(Table_Sales[[#This Row],[amount]]&lt;1000,"Under 1000",Table_Sales[[#This Row],[amount]]&lt;3000,"1000 - 2999",Table_Sales[[#This Row],[amount]]&lt;5000,"3000 - 4999",TRUE,"5000 &amp; above")</f>
        <v>Under 1000</v>
      </c>
      <c r="K1001">
        <f>IF(COUNTIFS(INDEX(Table_Sales[order_id],1):Table_Sales[[#This Row],[order_id]],Table_Sales[[#This Row],[order_id]])=1,1,0)</f>
        <v>0</v>
      </c>
      <c r="L100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002" spans="1:12" x14ac:dyDescent="0.25">
      <c r="A1002" t="s">
        <v>457</v>
      </c>
      <c r="B1002" s="1">
        <v>52</v>
      </c>
      <c r="C1002" s="1">
        <v>18</v>
      </c>
      <c r="D1002">
        <v>2</v>
      </c>
      <c r="E1002" t="s">
        <v>23</v>
      </c>
      <c r="F1002" t="s">
        <v>57</v>
      </c>
      <c r="G1002" t="s">
        <v>10</v>
      </c>
      <c r="H1002">
        <f>IF(Table_Sales[[#This Row],[profit]]&lt;0,1,0)</f>
        <v>0</v>
      </c>
      <c r="I1002" t="str" cm="1">
        <f t="array" ref="I1002">_xlfn.IFS(Table_Sales[[#This Row],[quantity]]&lt;=3,"1-3",Table_Sales[[#This Row],[quantity]]&lt;=7,"2-7",Table_Sales[[#This Row],[quantity]]&lt;=10,"8-10",TRUE,"11 and above")</f>
        <v>1-3</v>
      </c>
      <c r="J1002" t="str" cm="1">
        <f t="array" ref="J1002">_xlfn.IFS(Table_Sales[[#This Row],[amount]]&lt;1000,"Under 1000",Table_Sales[[#This Row],[amount]]&lt;3000,"1000 - 2999",Table_Sales[[#This Row],[amount]]&lt;5000,"3000 - 4999",TRUE,"5000 &amp; above")</f>
        <v>Under 1000</v>
      </c>
      <c r="K1002">
        <f>IF(COUNTIFS(INDEX(Table_Sales[order_id],1):Table_Sales[[#This Row],[order_id]],Table_Sales[[#This Row],[order_id]])=1,1,0)</f>
        <v>1</v>
      </c>
      <c r="L100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003" spans="1:12" x14ac:dyDescent="0.25">
      <c r="A1003" t="s">
        <v>385</v>
      </c>
      <c r="B1003" s="1">
        <v>1599</v>
      </c>
      <c r="C1003" s="1">
        <v>37</v>
      </c>
      <c r="D1003">
        <v>6</v>
      </c>
      <c r="E1003" t="s">
        <v>8</v>
      </c>
      <c r="F1003" t="s">
        <v>9</v>
      </c>
      <c r="G1003" t="s">
        <v>28</v>
      </c>
      <c r="H1003">
        <f>IF(Table_Sales[[#This Row],[profit]]&lt;0,1,0)</f>
        <v>0</v>
      </c>
      <c r="I1003" t="str" cm="1">
        <f t="array" ref="I1003">_xlfn.IFS(Table_Sales[[#This Row],[quantity]]&lt;=3,"1-3",Table_Sales[[#This Row],[quantity]]&lt;=7,"2-7",Table_Sales[[#This Row],[quantity]]&lt;=10,"8-10",TRUE,"11 and above")</f>
        <v>2-7</v>
      </c>
      <c r="J1003" t="str" cm="1">
        <f t="array" ref="J1003">_xlfn.IFS(Table_Sales[[#This Row],[amount]]&lt;1000,"Under 1000",Table_Sales[[#This Row],[amount]]&lt;3000,"1000 - 2999",Table_Sales[[#This Row],[amount]]&lt;5000,"3000 - 4999",TRUE,"5000 &amp; above")</f>
        <v>1000 - 2999</v>
      </c>
      <c r="K1003">
        <f>IF(COUNTIFS(INDEX(Table_Sales[order_id],1):Table_Sales[[#This Row],[order_id]],Table_Sales[[#This Row],[order_id]])=1,1,0)</f>
        <v>0</v>
      </c>
      <c r="L100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004" spans="1:12" x14ac:dyDescent="0.25">
      <c r="A1004" t="s">
        <v>255</v>
      </c>
      <c r="B1004" s="1">
        <v>338</v>
      </c>
      <c r="C1004" s="1">
        <v>41</v>
      </c>
      <c r="D1004">
        <v>7</v>
      </c>
      <c r="E1004" t="s">
        <v>23</v>
      </c>
      <c r="F1004" t="s">
        <v>30</v>
      </c>
      <c r="G1004" t="s">
        <v>28</v>
      </c>
      <c r="H1004">
        <f>IF(Table_Sales[[#This Row],[profit]]&lt;0,1,0)</f>
        <v>0</v>
      </c>
      <c r="I1004" t="str" cm="1">
        <f t="array" ref="I1004">_xlfn.IFS(Table_Sales[[#This Row],[quantity]]&lt;=3,"1-3",Table_Sales[[#This Row],[quantity]]&lt;=7,"2-7",Table_Sales[[#This Row],[quantity]]&lt;=10,"8-10",TRUE,"11 and above")</f>
        <v>2-7</v>
      </c>
      <c r="J1004" t="str" cm="1">
        <f t="array" ref="J1004">_xlfn.IFS(Table_Sales[[#This Row],[amount]]&lt;1000,"Under 1000",Table_Sales[[#This Row],[amount]]&lt;3000,"1000 - 2999",Table_Sales[[#This Row],[amount]]&lt;5000,"3000 - 4999",TRUE,"5000 &amp; above")</f>
        <v>Under 1000</v>
      </c>
      <c r="K1004">
        <f>IF(COUNTIFS(INDEX(Table_Sales[order_id],1):Table_Sales[[#This Row],[order_id]],Table_Sales[[#This Row],[order_id]])=1,1,0)</f>
        <v>0</v>
      </c>
      <c r="L100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005" spans="1:12" x14ac:dyDescent="0.25">
      <c r="A1005" t="s">
        <v>292</v>
      </c>
      <c r="B1005" s="1">
        <v>51</v>
      </c>
      <c r="C1005" s="1">
        <v>-49</v>
      </c>
      <c r="D1005">
        <v>2</v>
      </c>
      <c r="E1005" t="s">
        <v>8</v>
      </c>
      <c r="F1005" t="s">
        <v>9</v>
      </c>
      <c r="G1005" t="s">
        <v>10</v>
      </c>
      <c r="H1005">
        <f>IF(Table_Sales[[#This Row],[profit]]&lt;0,1,0)</f>
        <v>1</v>
      </c>
      <c r="I1005" t="str" cm="1">
        <f t="array" ref="I1005">_xlfn.IFS(Table_Sales[[#This Row],[quantity]]&lt;=3,"1-3",Table_Sales[[#This Row],[quantity]]&lt;=7,"2-7",Table_Sales[[#This Row],[quantity]]&lt;=10,"8-10",TRUE,"11 and above")</f>
        <v>1-3</v>
      </c>
      <c r="J1005" t="str" cm="1">
        <f t="array" ref="J1005">_xlfn.IFS(Table_Sales[[#This Row],[amount]]&lt;1000,"Under 1000",Table_Sales[[#This Row],[amount]]&lt;3000,"1000 - 2999",Table_Sales[[#This Row],[amount]]&lt;5000,"3000 - 4999",TRUE,"5000 &amp; above")</f>
        <v>Under 1000</v>
      </c>
      <c r="K1005">
        <f>IF(COUNTIFS(INDEX(Table_Sales[order_id],1):Table_Sales[[#This Row],[order_id]],Table_Sales[[#This Row],[order_id]])=1,1,0)</f>
        <v>0</v>
      </c>
      <c r="L100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006" spans="1:12" x14ac:dyDescent="0.25">
      <c r="A1006" t="s">
        <v>290</v>
      </c>
      <c r="B1006" s="1">
        <v>224</v>
      </c>
      <c r="C1006" s="1">
        <v>-81</v>
      </c>
      <c r="D1006">
        <v>3</v>
      </c>
      <c r="E1006" t="s">
        <v>12</v>
      </c>
      <c r="F1006" t="s">
        <v>13</v>
      </c>
      <c r="G1006" t="s">
        <v>10</v>
      </c>
      <c r="H1006">
        <f>IF(Table_Sales[[#This Row],[profit]]&lt;0,1,0)</f>
        <v>1</v>
      </c>
      <c r="I1006" t="str" cm="1">
        <f t="array" ref="I1006">_xlfn.IFS(Table_Sales[[#This Row],[quantity]]&lt;=3,"1-3",Table_Sales[[#This Row],[quantity]]&lt;=7,"2-7",Table_Sales[[#This Row],[quantity]]&lt;=10,"8-10",TRUE,"11 and above")</f>
        <v>1-3</v>
      </c>
      <c r="J1006" t="str" cm="1">
        <f t="array" ref="J1006">_xlfn.IFS(Table_Sales[[#This Row],[amount]]&lt;1000,"Under 1000",Table_Sales[[#This Row],[amount]]&lt;3000,"1000 - 2999",Table_Sales[[#This Row],[amount]]&lt;5000,"3000 - 4999",TRUE,"5000 &amp; above")</f>
        <v>Under 1000</v>
      </c>
      <c r="K1006">
        <f>IF(COUNTIFS(INDEX(Table_Sales[order_id],1):Table_Sales[[#This Row],[order_id]],Table_Sales[[#This Row],[order_id]])=1,1,0)</f>
        <v>0</v>
      </c>
      <c r="L100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007" spans="1:12" x14ac:dyDescent="0.25">
      <c r="A1007" t="s">
        <v>458</v>
      </c>
      <c r="B1007" s="1">
        <v>207</v>
      </c>
      <c r="C1007" s="1">
        <v>37</v>
      </c>
      <c r="D1007">
        <v>4</v>
      </c>
      <c r="E1007" t="s">
        <v>23</v>
      </c>
      <c r="F1007" t="s">
        <v>30</v>
      </c>
      <c r="G1007" t="s">
        <v>10</v>
      </c>
      <c r="H1007">
        <f>IF(Table_Sales[[#This Row],[profit]]&lt;0,1,0)</f>
        <v>0</v>
      </c>
      <c r="I1007" t="str" cm="1">
        <f t="array" ref="I1007">_xlfn.IFS(Table_Sales[[#This Row],[quantity]]&lt;=3,"1-3",Table_Sales[[#This Row],[quantity]]&lt;=7,"2-7",Table_Sales[[#This Row],[quantity]]&lt;=10,"8-10",TRUE,"11 and above")</f>
        <v>2-7</v>
      </c>
      <c r="J1007" t="str" cm="1">
        <f t="array" ref="J1007">_xlfn.IFS(Table_Sales[[#This Row],[amount]]&lt;1000,"Under 1000",Table_Sales[[#This Row],[amount]]&lt;3000,"1000 - 2999",Table_Sales[[#This Row],[amount]]&lt;5000,"3000 - 4999",TRUE,"5000 &amp; above")</f>
        <v>Under 1000</v>
      </c>
      <c r="K1007">
        <f>IF(COUNTIFS(INDEX(Table_Sales[order_id],1):Table_Sales[[#This Row],[order_id]],Table_Sales[[#This Row],[order_id]])=1,1,0)</f>
        <v>1</v>
      </c>
      <c r="L100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008" spans="1:12" x14ac:dyDescent="0.25">
      <c r="A1008" t="s">
        <v>459</v>
      </c>
      <c r="B1008" s="1">
        <v>51</v>
      </c>
      <c r="C1008" s="1">
        <v>14</v>
      </c>
      <c r="D1008">
        <v>2</v>
      </c>
      <c r="E1008" t="s">
        <v>23</v>
      </c>
      <c r="F1008" t="s">
        <v>57</v>
      </c>
      <c r="G1008" t="s">
        <v>10</v>
      </c>
      <c r="H1008">
        <f>IF(Table_Sales[[#This Row],[profit]]&lt;0,1,0)</f>
        <v>0</v>
      </c>
      <c r="I1008" t="str" cm="1">
        <f t="array" ref="I1008">_xlfn.IFS(Table_Sales[[#This Row],[quantity]]&lt;=3,"1-3",Table_Sales[[#This Row],[quantity]]&lt;=7,"2-7",Table_Sales[[#This Row],[quantity]]&lt;=10,"8-10",TRUE,"11 and above")</f>
        <v>1-3</v>
      </c>
      <c r="J1008" t="str" cm="1">
        <f t="array" ref="J1008">_xlfn.IFS(Table_Sales[[#This Row],[amount]]&lt;1000,"Under 1000",Table_Sales[[#This Row],[amount]]&lt;3000,"1000 - 2999",Table_Sales[[#This Row],[amount]]&lt;5000,"3000 - 4999",TRUE,"5000 &amp; above")</f>
        <v>Under 1000</v>
      </c>
      <c r="K1008">
        <f>IF(COUNTIFS(INDEX(Table_Sales[order_id],1):Table_Sales[[#This Row],[order_id]],Table_Sales[[#This Row],[order_id]])=1,1,0)</f>
        <v>1</v>
      </c>
      <c r="L100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009" spans="1:12" x14ac:dyDescent="0.25">
      <c r="A1009" t="s">
        <v>128</v>
      </c>
      <c r="B1009" s="1">
        <v>82</v>
      </c>
      <c r="C1009" s="1">
        <v>8</v>
      </c>
      <c r="D1009">
        <v>3</v>
      </c>
      <c r="E1009" t="s">
        <v>8</v>
      </c>
      <c r="F1009" t="s">
        <v>73</v>
      </c>
      <c r="G1009" t="s">
        <v>14</v>
      </c>
      <c r="H1009">
        <f>IF(Table_Sales[[#This Row],[profit]]&lt;0,1,0)</f>
        <v>0</v>
      </c>
      <c r="I1009" t="str" cm="1">
        <f t="array" ref="I1009">_xlfn.IFS(Table_Sales[[#This Row],[quantity]]&lt;=3,"1-3",Table_Sales[[#This Row],[quantity]]&lt;=7,"2-7",Table_Sales[[#This Row],[quantity]]&lt;=10,"8-10",TRUE,"11 and above")</f>
        <v>1-3</v>
      </c>
      <c r="J1009" t="str" cm="1">
        <f t="array" ref="J1009">_xlfn.IFS(Table_Sales[[#This Row],[amount]]&lt;1000,"Under 1000",Table_Sales[[#This Row],[amount]]&lt;3000,"1000 - 2999",Table_Sales[[#This Row],[amount]]&lt;5000,"3000 - 4999",TRUE,"5000 &amp; above")</f>
        <v>Under 1000</v>
      </c>
      <c r="K1009">
        <f>IF(COUNTIFS(INDEX(Table_Sales[order_id],1):Table_Sales[[#This Row],[order_id]],Table_Sales[[#This Row],[order_id]])=1,1,0)</f>
        <v>0</v>
      </c>
      <c r="L100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010" spans="1:12" x14ac:dyDescent="0.25">
      <c r="A1010" t="s">
        <v>137</v>
      </c>
      <c r="B1010" s="1">
        <v>50</v>
      </c>
      <c r="C1010" s="1">
        <v>-17</v>
      </c>
      <c r="D1010">
        <v>2</v>
      </c>
      <c r="E1010" t="s">
        <v>23</v>
      </c>
      <c r="F1010" t="s">
        <v>57</v>
      </c>
      <c r="G1010" t="s">
        <v>10</v>
      </c>
      <c r="H1010">
        <f>IF(Table_Sales[[#This Row],[profit]]&lt;0,1,0)</f>
        <v>1</v>
      </c>
      <c r="I1010" t="str" cm="1">
        <f t="array" ref="I1010">_xlfn.IFS(Table_Sales[[#This Row],[quantity]]&lt;=3,"1-3",Table_Sales[[#This Row],[quantity]]&lt;=7,"2-7",Table_Sales[[#This Row],[quantity]]&lt;=10,"8-10",TRUE,"11 and above")</f>
        <v>1-3</v>
      </c>
      <c r="J1010" t="str" cm="1">
        <f t="array" ref="J1010">_xlfn.IFS(Table_Sales[[#This Row],[amount]]&lt;1000,"Under 1000",Table_Sales[[#This Row],[amount]]&lt;3000,"1000 - 2999",Table_Sales[[#This Row],[amount]]&lt;5000,"3000 - 4999",TRUE,"5000 &amp; above")</f>
        <v>Under 1000</v>
      </c>
      <c r="K1010">
        <f>IF(COUNTIFS(INDEX(Table_Sales[order_id],1):Table_Sales[[#This Row],[order_id]],Table_Sales[[#This Row],[order_id]])=1,1,0)</f>
        <v>0</v>
      </c>
      <c r="L101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011" spans="1:12" x14ac:dyDescent="0.25">
      <c r="A1011" t="s">
        <v>37</v>
      </c>
      <c r="B1011" s="1">
        <v>263</v>
      </c>
      <c r="C1011" s="1">
        <v>-31</v>
      </c>
      <c r="D1011">
        <v>9</v>
      </c>
      <c r="E1011" t="s">
        <v>8</v>
      </c>
      <c r="F1011" t="s">
        <v>9</v>
      </c>
      <c r="G1011" t="s">
        <v>82</v>
      </c>
      <c r="H1011">
        <f>IF(Table_Sales[[#This Row],[profit]]&lt;0,1,0)</f>
        <v>1</v>
      </c>
      <c r="I1011" t="str" cm="1">
        <f t="array" ref="I1011">_xlfn.IFS(Table_Sales[[#This Row],[quantity]]&lt;=3,"1-3",Table_Sales[[#This Row],[quantity]]&lt;=7,"2-7",Table_Sales[[#This Row],[quantity]]&lt;=10,"8-10",TRUE,"11 and above")</f>
        <v>8-10</v>
      </c>
      <c r="J1011" t="str" cm="1">
        <f t="array" ref="J1011">_xlfn.IFS(Table_Sales[[#This Row],[amount]]&lt;1000,"Under 1000",Table_Sales[[#This Row],[amount]]&lt;3000,"1000 - 2999",Table_Sales[[#This Row],[amount]]&lt;5000,"3000 - 4999",TRUE,"5000 &amp; above")</f>
        <v>Under 1000</v>
      </c>
      <c r="K1011">
        <f>IF(COUNTIFS(INDEX(Table_Sales[order_id],1):Table_Sales[[#This Row],[order_id]],Table_Sales[[#This Row],[order_id]])=1,1,0)</f>
        <v>0</v>
      </c>
      <c r="L101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012" spans="1:12" x14ac:dyDescent="0.25">
      <c r="A1012" t="s">
        <v>241</v>
      </c>
      <c r="B1012" s="1">
        <v>50</v>
      </c>
      <c r="C1012" s="1">
        <v>7</v>
      </c>
      <c r="D1012">
        <v>6</v>
      </c>
      <c r="E1012" t="s">
        <v>23</v>
      </c>
      <c r="F1012" t="s">
        <v>43</v>
      </c>
      <c r="G1012" t="s">
        <v>10</v>
      </c>
      <c r="H1012">
        <f>IF(Table_Sales[[#This Row],[profit]]&lt;0,1,0)</f>
        <v>0</v>
      </c>
      <c r="I1012" t="str" cm="1">
        <f t="array" ref="I1012">_xlfn.IFS(Table_Sales[[#This Row],[quantity]]&lt;=3,"1-3",Table_Sales[[#This Row],[quantity]]&lt;=7,"2-7",Table_Sales[[#This Row],[quantity]]&lt;=10,"8-10",TRUE,"11 and above")</f>
        <v>2-7</v>
      </c>
      <c r="J1012" t="str" cm="1">
        <f t="array" ref="J1012">_xlfn.IFS(Table_Sales[[#This Row],[amount]]&lt;1000,"Under 1000",Table_Sales[[#This Row],[amount]]&lt;3000,"1000 - 2999",Table_Sales[[#This Row],[amount]]&lt;5000,"3000 - 4999",TRUE,"5000 &amp; above")</f>
        <v>Under 1000</v>
      </c>
      <c r="K1012">
        <f>IF(COUNTIFS(INDEX(Table_Sales[order_id],1):Table_Sales[[#This Row],[order_id]],Table_Sales[[#This Row],[order_id]])=1,1,0)</f>
        <v>0</v>
      </c>
      <c r="L101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013" spans="1:12" x14ac:dyDescent="0.25">
      <c r="A1013" t="s">
        <v>400</v>
      </c>
      <c r="B1013" s="1">
        <v>245</v>
      </c>
      <c r="C1013" s="1">
        <v>-3</v>
      </c>
      <c r="D1013">
        <v>4</v>
      </c>
      <c r="E1013" t="s">
        <v>8</v>
      </c>
      <c r="F1013" t="s">
        <v>21</v>
      </c>
      <c r="G1013" t="s">
        <v>28</v>
      </c>
      <c r="H1013">
        <f>IF(Table_Sales[[#This Row],[profit]]&lt;0,1,0)</f>
        <v>1</v>
      </c>
      <c r="I1013" t="str" cm="1">
        <f t="array" ref="I1013">_xlfn.IFS(Table_Sales[[#This Row],[quantity]]&lt;=3,"1-3",Table_Sales[[#This Row],[quantity]]&lt;=7,"2-7",Table_Sales[[#This Row],[quantity]]&lt;=10,"8-10",TRUE,"11 and above")</f>
        <v>2-7</v>
      </c>
      <c r="J1013" t="str" cm="1">
        <f t="array" ref="J1013">_xlfn.IFS(Table_Sales[[#This Row],[amount]]&lt;1000,"Under 1000",Table_Sales[[#This Row],[amount]]&lt;3000,"1000 - 2999",Table_Sales[[#This Row],[amount]]&lt;5000,"3000 - 4999",TRUE,"5000 &amp; above")</f>
        <v>Under 1000</v>
      </c>
      <c r="K1013">
        <f>IF(COUNTIFS(INDEX(Table_Sales[order_id],1):Table_Sales[[#This Row],[order_id]],Table_Sales[[#This Row],[order_id]])=1,1,0)</f>
        <v>0</v>
      </c>
      <c r="L101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014" spans="1:12" x14ac:dyDescent="0.25">
      <c r="A1014" t="s">
        <v>157</v>
      </c>
      <c r="B1014" s="1">
        <v>82</v>
      </c>
      <c r="C1014" s="1">
        <v>24</v>
      </c>
      <c r="D1014">
        <v>6</v>
      </c>
      <c r="E1014" t="s">
        <v>23</v>
      </c>
      <c r="F1014" t="s">
        <v>30</v>
      </c>
      <c r="G1014" t="s">
        <v>14</v>
      </c>
      <c r="H1014">
        <f>IF(Table_Sales[[#This Row],[profit]]&lt;0,1,0)</f>
        <v>0</v>
      </c>
      <c r="I1014" t="str" cm="1">
        <f t="array" ref="I1014">_xlfn.IFS(Table_Sales[[#This Row],[quantity]]&lt;=3,"1-3",Table_Sales[[#This Row],[quantity]]&lt;=7,"2-7",Table_Sales[[#This Row],[quantity]]&lt;=10,"8-10",TRUE,"11 and above")</f>
        <v>2-7</v>
      </c>
      <c r="J1014" t="str" cm="1">
        <f t="array" ref="J1014">_xlfn.IFS(Table_Sales[[#This Row],[amount]]&lt;1000,"Under 1000",Table_Sales[[#This Row],[amount]]&lt;3000,"1000 - 2999",Table_Sales[[#This Row],[amount]]&lt;5000,"3000 - 4999",TRUE,"5000 &amp; above")</f>
        <v>Under 1000</v>
      </c>
      <c r="K1014">
        <f>IF(COUNTIFS(INDEX(Table_Sales[order_id],1):Table_Sales[[#This Row],[order_id]],Table_Sales[[#This Row],[order_id]])=1,1,0)</f>
        <v>0</v>
      </c>
      <c r="L101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015" spans="1:12" x14ac:dyDescent="0.25">
      <c r="A1015" t="s">
        <v>144</v>
      </c>
      <c r="B1015" s="1">
        <v>229</v>
      </c>
      <c r="C1015" s="1">
        <v>-41</v>
      </c>
      <c r="D1015">
        <v>8</v>
      </c>
      <c r="E1015" t="s">
        <v>8</v>
      </c>
      <c r="F1015" t="s">
        <v>73</v>
      </c>
      <c r="G1015" t="s">
        <v>10</v>
      </c>
      <c r="H1015">
        <f>IF(Table_Sales[[#This Row],[profit]]&lt;0,1,0)</f>
        <v>1</v>
      </c>
      <c r="I1015" t="str" cm="1">
        <f t="array" ref="I1015">_xlfn.IFS(Table_Sales[[#This Row],[quantity]]&lt;=3,"1-3",Table_Sales[[#This Row],[quantity]]&lt;=7,"2-7",Table_Sales[[#This Row],[quantity]]&lt;=10,"8-10",TRUE,"11 and above")</f>
        <v>8-10</v>
      </c>
      <c r="J1015" t="str" cm="1">
        <f t="array" ref="J1015">_xlfn.IFS(Table_Sales[[#This Row],[amount]]&lt;1000,"Under 1000",Table_Sales[[#This Row],[amount]]&lt;3000,"1000 - 2999",Table_Sales[[#This Row],[amount]]&lt;5000,"3000 - 4999",TRUE,"5000 &amp; above")</f>
        <v>Under 1000</v>
      </c>
      <c r="K1015">
        <f>IF(COUNTIFS(INDEX(Table_Sales[order_id],1):Table_Sales[[#This Row],[order_id]],Table_Sales[[#This Row],[order_id]])=1,1,0)</f>
        <v>0</v>
      </c>
      <c r="L101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016" spans="1:12" x14ac:dyDescent="0.25">
      <c r="A1016" t="s">
        <v>179</v>
      </c>
      <c r="B1016" s="1">
        <v>50</v>
      </c>
      <c r="C1016" s="1">
        <v>14</v>
      </c>
      <c r="D1016">
        <v>1</v>
      </c>
      <c r="E1016" t="s">
        <v>8</v>
      </c>
      <c r="F1016" t="s">
        <v>9</v>
      </c>
      <c r="G1016" t="s">
        <v>10</v>
      </c>
      <c r="H1016">
        <f>IF(Table_Sales[[#This Row],[profit]]&lt;0,1,0)</f>
        <v>0</v>
      </c>
      <c r="I1016" t="str" cm="1">
        <f t="array" ref="I1016">_xlfn.IFS(Table_Sales[[#This Row],[quantity]]&lt;=3,"1-3",Table_Sales[[#This Row],[quantity]]&lt;=7,"2-7",Table_Sales[[#This Row],[quantity]]&lt;=10,"8-10",TRUE,"11 and above")</f>
        <v>1-3</v>
      </c>
      <c r="J1016" t="str" cm="1">
        <f t="array" ref="J1016">_xlfn.IFS(Table_Sales[[#This Row],[amount]]&lt;1000,"Under 1000",Table_Sales[[#This Row],[amount]]&lt;3000,"1000 - 2999",Table_Sales[[#This Row],[amount]]&lt;5000,"3000 - 4999",TRUE,"5000 &amp; above")</f>
        <v>Under 1000</v>
      </c>
      <c r="K1016">
        <f>IF(COUNTIFS(INDEX(Table_Sales[order_id],1):Table_Sales[[#This Row],[order_id]],Table_Sales[[#This Row],[order_id]])=1,1,0)</f>
        <v>0</v>
      </c>
      <c r="L101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017" spans="1:12" x14ac:dyDescent="0.25">
      <c r="A1017" t="s">
        <v>211</v>
      </c>
      <c r="B1017" s="1">
        <v>220</v>
      </c>
      <c r="C1017" s="1">
        <v>40</v>
      </c>
      <c r="D1017">
        <v>2</v>
      </c>
      <c r="E1017" t="s">
        <v>8</v>
      </c>
      <c r="F1017" t="s">
        <v>73</v>
      </c>
      <c r="G1017" t="s">
        <v>10</v>
      </c>
      <c r="H1017">
        <f>IF(Table_Sales[[#This Row],[profit]]&lt;0,1,0)</f>
        <v>0</v>
      </c>
      <c r="I1017" t="str" cm="1">
        <f t="array" ref="I1017">_xlfn.IFS(Table_Sales[[#This Row],[quantity]]&lt;=3,"1-3",Table_Sales[[#This Row],[quantity]]&lt;=7,"2-7",Table_Sales[[#This Row],[quantity]]&lt;=10,"8-10",TRUE,"11 and above")</f>
        <v>1-3</v>
      </c>
      <c r="J1017" t="str" cm="1">
        <f t="array" ref="J1017">_xlfn.IFS(Table_Sales[[#This Row],[amount]]&lt;1000,"Under 1000",Table_Sales[[#This Row],[amount]]&lt;3000,"1000 - 2999",Table_Sales[[#This Row],[amount]]&lt;5000,"3000 - 4999",TRUE,"5000 &amp; above")</f>
        <v>Under 1000</v>
      </c>
      <c r="K1017">
        <f>IF(COUNTIFS(INDEX(Table_Sales[order_id],1):Table_Sales[[#This Row],[order_id]],Table_Sales[[#This Row],[order_id]])=1,1,0)</f>
        <v>0</v>
      </c>
      <c r="L101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018" spans="1:12" x14ac:dyDescent="0.25">
      <c r="A1018" t="s">
        <v>29</v>
      </c>
      <c r="B1018" s="1">
        <v>263</v>
      </c>
      <c r="C1018" s="1">
        <v>-63</v>
      </c>
      <c r="D1018">
        <v>2</v>
      </c>
      <c r="E1018" t="s">
        <v>8</v>
      </c>
      <c r="F1018" t="s">
        <v>9</v>
      </c>
      <c r="G1018" t="s">
        <v>82</v>
      </c>
      <c r="H1018">
        <f>IF(Table_Sales[[#This Row],[profit]]&lt;0,1,0)</f>
        <v>1</v>
      </c>
      <c r="I1018" t="str" cm="1">
        <f t="array" ref="I1018">_xlfn.IFS(Table_Sales[[#This Row],[quantity]]&lt;=3,"1-3",Table_Sales[[#This Row],[quantity]]&lt;=7,"2-7",Table_Sales[[#This Row],[quantity]]&lt;=10,"8-10",TRUE,"11 and above")</f>
        <v>1-3</v>
      </c>
      <c r="J1018" t="str" cm="1">
        <f t="array" ref="J1018">_xlfn.IFS(Table_Sales[[#This Row],[amount]]&lt;1000,"Under 1000",Table_Sales[[#This Row],[amount]]&lt;3000,"1000 - 2999",Table_Sales[[#This Row],[amount]]&lt;5000,"3000 - 4999",TRUE,"5000 &amp; above")</f>
        <v>Under 1000</v>
      </c>
      <c r="K1018">
        <f>IF(COUNTIFS(INDEX(Table_Sales[order_id],1):Table_Sales[[#This Row],[order_id]],Table_Sales[[#This Row],[order_id]])=1,1,0)</f>
        <v>0</v>
      </c>
      <c r="L101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019" spans="1:12" x14ac:dyDescent="0.25">
      <c r="A1019" t="s">
        <v>17</v>
      </c>
      <c r="B1019" s="1">
        <v>81</v>
      </c>
      <c r="C1019" s="1">
        <v>-41</v>
      </c>
      <c r="D1019">
        <v>5</v>
      </c>
      <c r="E1019" t="s">
        <v>23</v>
      </c>
      <c r="F1019" t="s">
        <v>63</v>
      </c>
      <c r="G1019" t="s">
        <v>14</v>
      </c>
      <c r="H1019">
        <f>IF(Table_Sales[[#This Row],[profit]]&lt;0,1,0)</f>
        <v>1</v>
      </c>
      <c r="I1019" t="str" cm="1">
        <f t="array" ref="I1019">_xlfn.IFS(Table_Sales[[#This Row],[quantity]]&lt;=3,"1-3",Table_Sales[[#This Row],[quantity]]&lt;=7,"2-7",Table_Sales[[#This Row],[quantity]]&lt;=10,"8-10",TRUE,"11 and above")</f>
        <v>2-7</v>
      </c>
      <c r="J1019" t="str" cm="1">
        <f t="array" ref="J1019">_xlfn.IFS(Table_Sales[[#This Row],[amount]]&lt;1000,"Under 1000",Table_Sales[[#This Row],[amount]]&lt;3000,"1000 - 2999",Table_Sales[[#This Row],[amount]]&lt;5000,"3000 - 4999",TRUE,"5000 &amp; above")</f>
        <v>Under 1000</v>
      </c>
      <c r="K1019">
        <f>IF(COUNTIFS(INDEX(Table_Sales[order_id],1):Table_Sales[[#This Row],[order_id]],Table_Sales[[#This Row],[order_id]])=1,1,0)</f>
        <v>0</v>
      </c>
      <c r="L101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020" spans="1:12" x14ac:dyDescent="0.25">
      <c r="A1020" t="s">
        <v>460</v>
      </c>
      <c r="B1020" s="1">
        <v>50</v>
      </c>
      <c r="C1020" s="1">
        <v>-17</v>
      </c>
      <c r="D1020">
        <v>2</v>
      </c>
      <c r="E1020" t="s">
        <v>23</v>
      </c>
      <c r="F1020" t="s">
        <v>57</v>
      </c>
      <c r="G1020" t="s">
        <v>10</v>
      </c>
      <c r="H1020">
        <f>IF(Table_Sales[[#This Row],[profit]]&lt;0,1,0)</f>
        <v>1</v>
      </c>
      <c r="I1020" t="str" cm="1">
        <f t="array" ref="I1020">_xlfn.IFS(Table_Sales[[#This Row],[quantity]]&lt;=3,"1-3",Table_Sales[[#This Row],[quantity]]&lt;=7,"2-7",Table_Sales[[#This Row],[quantity]]&lt;=10,"8-10",TRUE,"11 and above")</f>
        <v>1-3</v>
      </c>
      <c r="J1020" t="str" cm="1">
        <f t="array" ref="J1020">_xlfn.IFS(Table_Sales[[#This Row],[amount]]&lt;1000,"Under 1000",Table_Sales[[#This Row],[amount]]&lt;3000,"1000 - 2999",Table_Sales[[#This Row],[amount]]&lt;5000,"3000 - 4999",TRUE,"5000 &amp; above")</f>
        <v>Under 1000</v>
      </c>
      <c r="K1020">
        <f>IF(COUNTIFS(INDEX(Table_Sales[order_id],1):Table_Sales[[#This Row],[order_id]],Table_Sales[[#This Row],[order_id]])=1,1,0)</f>
        <v>1</v>
      </c>
      <c r="L102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021" spans="1:12" x14ac:dyDescent="0.25">
      <c r="A1021" t="s">
        <v>17</v>
      </c>
      <c r="B1021" s="1">
        <v>49</v>
      </c>
      <c r="C1021" s="1">
        <v>5</v>
      </c>
      <c r="D1021">
        <v>4</v>
      </c>
      <c r="E1021" t="s">
        <v>23</v>
      </c>
      <c r="F1021" t="s">
        <v>30</v>
      </c>
      <c r="G1021" t="s">
        <v>10</v>
      </c>
      <c r="H1021">
        <f>IF(Table_Sales[[#This Row],[profit]]&lt;0,1,0)</f>
        <v>0</v>
      </c>
      <c r="I1021" t="str" cm="1">
        <f t="array" ref="I1021">_xlfn.IFS(Table_Sales[[#This Row],[quantity]]&lt;=3,"1-3",Table_Sales[[#This Row],[quantity]]&lt;=7,"2-7",Table_Sales[[#This Row],[quantity]]&lt;=10,"8-10",TRUE,"11 and above")</f>
        <v>2-7</v>
      </c>
      <c r="J1021" t="str" cm="1">
        <f t="array" ref="J1021">_xlfn.IFS(Table_Sales[[#This Row],[amount]]&lt;1000,"Under 1000",Table_Sales[[#This Row],[amount]]&lt;3000,"1000 - 2999",Table_Sales[[#This Row],[amount]]&lt;5000,"3000 - 4999",TRUE,"5000 &amp; above")</f>
        <v>Under 1000</v>
      </c>
      <c r="K1021">
        <f>IF(COUNTIFS(INDEX(Table_Sales[order_id],1):Table_Sales[[#This Row],[order_id]],Table_Sales[[#This Row],[order_id]])=1,1,0)</f>
        <v>0</v>
      </c>
      <c r="L102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022" spans="1:12" x14ac:dyDescent="0.25">
      <c r="A1022" t="s">
        <v>31</v>
      </c>
      <c r="B1022" s="1">
        <v>237</v>
      </c>
      <c r="C1022" s="1">
        <v>47</v>
      </c>
      <c r="D1022">
        <v>9</v>
      </c>
      <c r="E1022" t="s">
        <v>23</v>
      </c>
      <c r="F1022" t="s">
        <v>81</v>
      </c>
      <c r="G1022" t="s">
        <v>28</v>
      </c>
      <c r="H1022">
        <f>IF(Table_Sales[[#This Row],[profit]]&lt;0,1,0)</f>
        <v>0</v>
      </c>
      <c r="I1022" t="str" cm="1">
        <f t="array" ref="I1022">_xlfn.IFS(Table_Sales[[#This Row],[quantity]]&lt;=3,"1-3",Table_Sales[[#This Row],[quantity]]&lt;=7,"2-7",Table_Sales[[#This Row],[quantity]]&lt;=10,"8-10",TRUE,"11 and above")</f>
        <v>8-10</v>
      </c>
      <c r="J1022" t="str" cm="1">
        <f t="array" ref="J1022">_xlfn.IFS(Table_Sales[[#This Row],[amount]]&lt;1000,"Under 1000",Table_Sales[[#This Row],[amount]]&lt;3000,"1000 - 2999",Table_Sales[[#This Row],[amount]]&lt;5000,"3000 - 4999",TRUE,"5000 &amp; above")</f>
        <v>Under 1000</v>
      </c>
      <c r="K1022">
        <f>IF(COUNTIFS(INDEX(Table_Sales[order_id],1):Table_Sales[[#This Row],[order_id]],Table_Sales[[#This Row],[order_id]])=1,1,0)</f>
        <v>0</v>
      </c>
      <c r="L102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023" spans="1:12" x14ac:dyDescent="0.25">
      <c r="A1023" t="s">
        <v>461</v>
      </c>
      <c r="B1023" s="1">
        <v>264</v>
      </c>
      <c r="C1023" s="1">
        <v>-30</v>
      </c>
      <c r="D1023">
        <v>3</v>
      </c>
      <c r="E1023" t="s">
        <v>12</v>
      </c>
      <c r="F1023" t="s">
        <v>131</v>
      </c>
      <c r="G1023" t="s">
        <v>82</v>
      </c>
      <c r="H1023">
        <f>IF(Table_Sales[[#This Row],[profit]]&lt;0,1,0)</f>
        <v>1</v>
      </c>
      <c r="I1023" t="str" cm="1">
        <f t="array" ref="I1023">_xlfn.IFS(Table_Sales[[#This Row],[quantity]]&lt;=3,"1-3",Table_Sales[[#This Row],[quantity]]&lt;=7,"2-7",Table_Sales[[#This Row],[quantity]]&lt;=10,"8-10",TRUE,"11 and above")</f>
        <v>1-3</v>
      </c>
      <c r="J1023" t="str" cm="1">
        <f t="array" ref="J1023">_xlfn.IFS(Table_Sales[[#This Row],[amount]]&lt;1000,"Under 1000",Table_Sales[[#This Row],[amount]]&lt;3000,"1000 - 2999",Table_Sales[[#This Row],[amount]]&lt;5000,"3000 - 4999",TRUE,"5000 &amp; above")</f>
        <v>Under 1000</v>
      </c>
      <c r="K1023">
        <f>IF(COUNTIFS(INDEX(Table_Sales[order_id],1):Table_Sales[[#This Row],[order_id]],Table_Sales[[#This Row],[order_id]])=1,1,0)</f>
        <v>1</v>
      </c>
      <c r="L102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024" spans="1:12" x14ac:dyDescent="0.25">
      <c r="A1024" t="s">
        <v>119</v>
      </c>
      <c r="B1024" s="1">
        <v>49</v>
      </c>
      <c r="C1024" s="1">
        <v>3</v>
      </c>
      <c r="D1024">
        <v>1</v>
      </c>
      <c r="E1024" t="s">
        <v>23</v>
      </c>
      <c r="F1024" t="s">
        <v>142</v>
      </c>
      <c r="G1024" t="s">
        <v>10</v>
      </c>
      <c r="H1024">
        <f>IF(Table_Sales[[#This Row],[profit]]&lt;0,1,0)</f>
        <v>0</v>
      </c>
      <c r="I1024" t="str" cm="1">
        <f t="array" ref="I1024">_xlfn.IFS(Table_Sales[[#This Row],[quantity]]&lt;=3,"1-3",Table_Sales[[#This Row],[quantity]]&lt;=7,"2-7",Table_Sales[[#This Row],[quantity]]&lt;=10,"8-10",TRUE,"11 and above")</f>
        <v>1-3</v>
      </c>
      <c r="J1024" t="str" cm="1">
        <f t="array" ref="J1024">_xlfn.IFS(Table_Sales[[#This Row],[amount]]&lt;1000,"Under 1000",Table_Sales[[#This Row],[amount]]&lt;3000,"1000 - 2999",Table_Sales[[#This Row],[amount]]&lt;5000,"3000 - 4999",TRUE,"5000 &amp; above")</f>
        <v>Under 1000</v>
      </c>
      <c r="K1024">
        <f>IF(COUNTIFS(INDEX(Table_Sales[order_id],1):Table_Sales[[#This Row],[order_id]],Table_Sales[[#This Row],[order_id]])=1,1,0)</f>
        <v>0</v>
      </c>
      <c r="L102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025" spans="1:12" x14ac:dyDescent="0.25">
      <c r="A1025" t="s">
        <v>307</v>
      </c>
      <c r="B1025" s="1">
        <v>63</v>
      </c>
      <c r="C1025" s="1">
        <v>-24</v>
      </c>
      <c r="D1025">
        <v>6</v>
      </c>
      <c r="E1025" t="s">
        <v>23</v>
      </c>
      <c r="F1025" t="s">
        <v>32</v>
      </c>
      <c r="G1025" t="s">
        <v>10</v>
      </c>
      <c r="H1025">
        <f>IF(Table_Sales[[#This Row],[profit]]&lt;0,1,0)</f>
        <v>1</v>
      </c>
      <c r="I1025" t="str" cm="1">
        <f t="array" ref="I1025">_xlfn.IFS(Table_Sales[[#This Row],[quantity]]&lt;=3,"1-3",Table_Sales[[#This Row],[quantity]]&lt;=7,"2-7",Table_Sales[[#This Row],[quantity]]&lt;=10,"8-10",TRUE,"11 and above")</f>
        <v>2-7</v>
      </c>
      <c r="J1025" t="str" cm="1">
        <f t="array" ref="J1025">_xlfn.IFS(Table_Sales[[#This Row],[amount]]&lt;1000,"Under 1000",Table_Sales[[#This Row],[amount]]&lt;3000,"1000 - 2999",Table_Sales[[#This Row],[amount]]&lt;5000,"3000 - 4999",TRUE,"5000 &amp; above")</f>
        <v>Under 1000</v>
      </c>
      <c r="K1025">
        <f>IF(COUNTIFS(INDEX(Table_Sales[order_id],1):Table_Sales[[#This Row],[order_id]],Table_Sales[[#This Row],[order_id]])=1,1,0)</f>
        <v>0</v>
      </c>
      <c r="L102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026" spans="1:12" x14ac:dyDescent="0.25">
      <c r="A1026" t="s">
        <v>152</v>
      </c>
      <c r="B1026" s="1">
        <v>81</v>
      </c>
      <c r="C1026" s="1">
        <v>-51</v>
      </c>
      <c r="D1026">
        <v>7</v>
      </c>
      <c r="E1026" t="s">
        <v>23</v>
      </c>
      <c r="F1026" t="s">
        <v>57</v>
      </c>
      <c r="G1026" t="s">
        <v>14</v>
      </c>
      <c r="H1026">
        <f>IF(Table_Sales[[#This Row],[profit]]&lt;0,1,0)</f>
        <v>1</v>
      </c>
      <c r="I1026" t="str" cm="1">
        <f t="array" ref="I1026">_xlfn.IFS(Table_Sales[[#This Row],[quantity]]&lt;=3,"1-3",Table_Sales[[#This Row],[quantity]]&lt;=7,"2-7",Table_Sales[[#This Row],[quantity]]&lt;=10,"8-10",TRUE,"11 and above")</f>
        <v>2-7</v>
      </c>
      <c r="J1026" t="str" cm="1">
        <f t="array" ref="J1026">_xlfn.IFS(Table_Sales[[#This Row],[amount]]&lt;1000,"Under 1000",Table_Sales[[#This Row],[amount]]&lt;3000,"1000 - 2999",Table_Sales[[#This Row],[amount]]&lt;5000,"3000 - 4999",TRUE,"5000 &amp; above")</f>
        <v>Under 1000</v>
      </c>
      <c r="K1026">
        <f>IF(COUNTIFS(INDEX(Table_Sales[order_id],1):Table_Sales[[#This Row],[order_id]],Table_Sales[[#This Row],[order_id]])=1,1,0)</f>
        <v>0</v>
      </c>
      <c r="L102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027" spans="1:12" x14ac:dyDescent="0.25">
      <c r="A1027" t="s">
        <v>162</v>
      </c>
      <c r="B1027" s="1">
        <v>264</v>
      </c>
      <c r="C1027" s="1">
        <v>71</v>
      </c>
      <c r="D1027">
        <v>10</v>
      </c>
      <c r="E1027" t="s">
        <v>12</v>
      </c>
      <c r="F1027" t="s">
        <v>131</v>
      </c>
      <c r="G1027" t="s">
        <v>82</v>
      </c>
      <c r="H1027">
        <f>IF(Table_Sales[[#This Row],[profit]]&lt;0,1,0)</f>
        <v>0</v>
      </c>
      <c r="I1027" t="str" cm="1">
        <f t="array" ref="I1027">_xlfn.IFS(Table_Sales[[#This Row],[quantity]]&lt;=3,"1-3",Table_Sales[[#This Row],[quantity]]&lt;=7,"2-7",Table_Sales[[#This Row],[quantity]]&lt;=10,"8-10",TRUE,"11 and above")</f>
        <v>8-10</v>
      </c>
      <c r="J1027" t="str" cm="1">
        <f t="array" ref="J1027">_xlfn.IFS(Table_Sales[[#This Row],[amount]]&lt;1000,"Under 1000",Table_Sales[[#This Row],[amount]]&lt;3000,"1000 - 2999",Table_Sales[[#This Row],[amount]]&lt;5000,"3000 - 4999",TRUE,"5000 &amp; above")</f>
        <v>Under 1000</v>
      </c>
      <c r="K1027">
        <f>IF(COUNTIFS(INDEX(Table_Sales[order_id],1):Table_Sales[[#This Row],[order_id]],Table_Sales[[#This Row],[order_id]])=1,1,0)</f>
        <v>0</v>
      </c>
      <c r="L102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028" spans="1:12" x14ac:dyDescent="0.25">
      <c r="A1028" t="s">
        <v>328</v>
      </c>
      <c r="B1028" s="1">
        <v>48</v>
      </c>
      <c r="C1028" s="1">
        <v>11</v>
      </c>
      <c r="D1028">
        <v>2</v>
      </c>
      <c r="E1028" t="s">
        <v>23</v>
      </c>
      <c r="F1028" t="s">
        <v>142</v>
      </c>
      <c r="G1028" t="s">
        <v>10</v>
      </c>
      <c r="H1028">
        <f>IF(Table_Sales[[#This Row],[profit]]&lt;0,1,0)</f>
        <v>0</v>
      </c>
      <c r="I1028" t="str" cm="1">
        <f t="array" ref="I1028">_xlfn.IFS(Table_Sales[[#This Row],[quantity]]&lt;=3,"1-3",Table_Sales[[#This Row],[quantity]]&lt;=7,"2-7",Table_Sales[[#This Row],[quantity]]&lt;=10,"8-10",TRUE,"11 and above")</f>
        <v>1-3</v>
      </c>
      <c r="J1028" t="str" cm="1">
        <f t="array" ref="J1028">_xlfn.IFS(Table_Sales[[#This Row],[amount]]&lt;1000,"Under 1000",Table_Sales[[#This Row],[amount]]&lt;3000,"1000 - 2999",Table_Sales[[#This Row],[amount]]&lt;5000,"3000 - 4999",TRUE,"5000 &amp; above")</f>
        <v>Under 1000</v>
      </c>
      <c r="K1028">
        <f>IF(COUNTIFS(INDEX(Table_Sales[order_id],1):Table_Sales[[#This Row],[order_id]],Table_Sales[[#This Row],[order_id]])=1,1,0)</f>
        <v>0</v>
      </c>
      <c r="L102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029" spans="1:12" x14ac:dyDescent="0.25">
      <c r="A1029" t="s">
        <v>321</v>
      </c>
      <c r="B1029" s="1">
        <v>48</v>
      </c>
      <c r="C1029" s="1">
        <v>15</v>
      </c>
      <c r="D1029">
        <v>1</v>
      </c>
      <c r="E1029" t="s">
        <v>23</v>
      </c>
      <c r="F1029" t="s">
        <v>30</v>
      </c>
      <c r="G1029" t="s">
        <v>10</v>
      </c>
      <c r="H1029">
        <f>IF(Table_Sales[[#This Row],[profit]]&lt;0,1,0)</f>
        <v>0</v>
      </c>
      <c r="I1029" t="str" cm="1">
        <f t="array" ref="I1029">_xlfn.IFS(Table_Sales[[#This Row],[quantity]]&lt;=3,"1-3",Table_Sales[[#This Row],[quantity]]&lt;=7,"2-7",Table_Sales[[#This Row],[quantity]]&lt;=10,"8-10",TRUE,"11 and above")</f>
        <v>1-3</v>
      </c>
      <c r="J1029" t="str" cm="1">
        <f t="array" ref="J1029">_xlfn.IFS(Table_Sales[[#This Row],[amount]]&lt;1000,"Under 1000",Table_Sales[[#This Row],[amount]]&lt;3000,"1000 - 2999",Table_Sales[[#This Row],[amount]]&lt;5000,"3000 - 4999",TRUE,"5000 &amp; above")</f>
        <v>Under 1000</v>
      </c>
      <c r="K1029">
        <f>IF(COUNTIFS(INDEX(Table_Sales[order_id],1):Table_Sales[[#This Row],[order_id]],Table_Sales[[#This Row],[order_id]])=1,1,0)</f>
        <v>0</v>
      </c>
      <c r="L102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030" spans="1:12" x14ac:dyDescent="0.25">
      <c r="A1030" t="s">
        <v>135</v>
      </c>
      <c r="B1030" s="1">
        <v>245</v>
      </c>
      <c r="C1030" s="1">
        <v>-78</v>
      </c>
      <c r="D1030">
        <v>2</v>
      </c>
      <c r="E1030" t="s">
        <v>8</v>
      </c>
      <c r="F1030" t="s">
        <v>18</v>
      </c>
      <c r="G1030" t="s">
        <v>28</v>
      </c>
      <c r="H1030">
        <f>IF(Table_Sales[[#This Row],[profit]]&lt;0,1,0)</f>
        <v>1</v>
      </c>
      <c r="I1030" t="str" cm="1">
        <f t="array" ref="I1030">_xlfn.IFS(Table_Sales[[#This Row],[quantity]]&lt;=3,"1-3",Table_Sales[[#This Row],[quantity]]&lt;=7,"2-7",Table_Sales[[#This Row],[quantity]]&lt;=10,"8-10",TRUE,"11 and above")</f>
        <v>1-3</v>
      </c>
      <c r="J1030" t="str" cm="1">
        <f t="array" ref="J1030">_xlfn.IFS(Table_Sales[[#This Row],[amount]]&lt;1000,"Under 1000",Table_Sales[[#This Row],[amount]]&lt;3000,"1000 - 2999",Table_Sales[[#This Row],[amount]]&lt;5000,"3000 - 4999",TRUE,"5000 &amp; above")</f>
        <v>Under 1000</v>
      </c>
      <c r="K1030">
        <f>IF(COUNTIFS(INDEX(Table_Sales[order_id],1):Table_Sales[[#This Row],[order_id]],Table_Sales[[#This Row],[order_id]])=1,1,0)</f>
        <v>0</v>
      </c>
      <c r="L103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031" spans="1:12" x14ac:dyDescent="0.25">
      <c r="A1031" t="s">
        <v>59</v>
      </c>
      <c r="B1031" s="1">
        <v>146</v>
      </c>
      <c r="C1031" s="1">
        <v>42</v>
      </c>
      <c r="D1031">
        <v>5</v>
      </c>
      <c r="E1031" t="s">
        <v>23</v>
      </c>
      <c r="F1031" t="s">
        <v>30</v>
      </c>
      <c r="G1031" t="s">
        <v>28</v>
      </c>
      <c r="H1031">
        <f>IF(Table_Sales[[#This Row],[profit]]&lt;0,1,0)</f>
        <v>0</v>
      </c>
      <c r="I1031" t="str" cm="1">
        <f t="array" ref="I1031">_xlfn.IFS(Table_Sales[[#This Row],[quantity]]&lt;=3,"1-3",Table_Sales[[#This Row],[quantity]]&lt;=7,"2-7",Table_Sales[[#This Row],[quantity]]&lt;=10,"8-10",TRUE,"11 and above")</f>
        <v>2-7</v>
      </c>
      <c r="J1031" t="str" cm="1">
        <f t="array" ref="J1031">_xlfn.IFS(Table_Sales[[#This Row],[amount]]&lt;1000,"Under 1000",Table_Sales[[#This Row],[amount]]&lt;3000,"1000 - 2999",Table_Sales[[#This Row],[amount]]&lt;5000,"3000 - 4999",TRUE,"5000 &amp; above")</f>
        <v>Under 1000</v>
      </c>
      <c r="K1031">
        <f>IF(COUNTIFS(INDEX(Table_Sales[order_id],1):Table_Sales[[#This Row],[order_id]],Table_Sales[[#This Row],[order_id]])=1,1,0)</f>
        <v>0</v>
      </c>
      <c r="L103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032" spans="1:12" x14ac:dyDescent="0.25">
      <c r="A1032" t="s">
        <v>125</v>
      </c>
      <c r="B1032" s="1">
        <v>245</v>
      </c>
      <c r="C1032" s="1">
        <v>10</v>
      </c>
      <c r="D1032">
        <v>2</v>
      </c>
      <c r="E1032" t="s">
        <v>12</v>
      </c>
      <c r="F1032" t="s">
        <v>16</v>
      </c>
      <c r="G1032" t="s">
        <v>10</v>
      </c>
      <c r="H1032">
        <f>IF(Table_Sales[[#This Row],[profit]]&lt;0,1,0)</f>
        <v>0</v>
      </c>
      <c r="I1032" t="str" cm="1">
        <f t="array" ref="I1032">_xlfn.IFS(Table_Sales[[#This Row],[quantity]]&lt;=3,"1-3",Table_Sales[[#This Row],[quantity]]&lt;=7,"2-7",Table_Sales[[#This Row],[quantity]]&lt;=10,"8-10",TRUE,"11 and above")</f>
        <v>1-3</v>
      </c>
      <c r="J1032" t="str" cm="1">
        <f t="array" ref="J1032">_xlfn.IFS(Table_Sales[[#This Row],[amount]]&lt;1000,"Under 1000",Table_Sales[[#This Row],[amount]]&lt;3000,"1000 - 2999",Table_Sales[[#This Row],[amount]]&lt;5000,"3000 - 4999",TRUE,"5000 &amp; above")</f>
        <v>Under 1000</v>
      </c>
      <c r="K1032">
        <f>IF(COUNTIFS(INDEX(Table_Sales[order_id],1):Table_Sales[[#This Row],[order_id]],Table_Sales[[#This Row],[order_id]])=1,1,0)</f>
        <v>0</v>
      </c>
      <c r="L103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033" spans="1:12" x14ac:dyDescent="0.25">
      <c r="A1033" t="s">
        <v>264</v>
      </c>
      <c r="B1033" s="1">
        <v>245</v>
      </c>
      <c r="C1033" s="1">
        <v>91</v>
      </c>
      <c r="D1033">
        <v>2</v>
      </c>
      <c r="E1033" t="s">
        <v>12</v>
      </c>
      <c r="F1033" t="s">
        <v>16</v>
      </c>
      <c r="G1033" t="s">
        <v>28</v>
      </c>
      <c r="H1033">
        <f>IF(Table_Sales[[#This Row],[profit]]&lt;0,1,0)</f>
        <v>0</v>
      </c>
      <c r="I1033" t="str" cm="1">
        <f t="array" ref="I1033">_xlfn.IFS(Table_Sales[[#This Row],[quantity]]&lt;=3,"1-3",Table_Sales[[#This Row],[quantity]]&lt;=7,"2-7",Table_Sales[[#This Row],[quantity]]&lt;=10,"8-10",TRUE,"11 and above")</f>
        <v>1-3</v>
      </c>
      <c r="J1033" t="str" cm="1">
        <f t="array" ref="J1033">_xlfn.IFS(Table_Sales[[#This Row],[amount]]&lt;1000,"Under 1000",Table_Sales[[#This Row],[amount]]&lt;3000,"1000 - 2999",Table_Sales[[#This Row],[amount]]&lt;5000,"3000 - 4999",TRUE,"5000 &amp; above")</f>
        <v>Under 1000</v>
      </c>
      <c r="K1033">
        <f>IF(COUNTIFS(INDEX(Table_Sales[order_id],1):Table_Sales[[#This Row],[order_id]],Table_Sales[[#This Row],[order_id]])=1,1,0)</f>
        <v>0</v>
      </c>
      <c r="L103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034" spans="1:12" x14ac:dyDescent="0.25">
      <c r="A1034" t="s">
        <v>395</v>
      </c>
      <c r="B1034" s="1">
        <v>80</v>
      </c>
      <c r="C1034" s="1">
        <v>3</v>
      </c>
      <c r="D1034">
        <v>3</v>
      </c>
      <c r="E1034" t="s">
        <v>23</v>
      </c>
      <c r="F1034" t="s">
        <v>57</v>
      </c>
      <c r="G1034" t="s">
        <v>14</v>
      </c>
      <c r="H1034">
        <f>IF(Table_Sales[[#This Row],[profit]]&lt;0,1,0)</f>
        <v>0</v>
      </c>
      <c r="I1034" t="str" cm="1">
        <f t="array" ref="I1034">_xlfn.IFS(Table_Sales[[#This Row],[quantity]]&lt;=3,"1-3",Table_Sales[[#This Row],[quantity]]&lt;=7,"2-7",Table_Sales[[#This Row],[quantity]]&lt;=10,"8-10",TRUE,"11 and above")</f>
        <v>1-3</v>
      </c>
      <c r="J1034" t="str" cm="1">
        <f t="array" ref="J1034">_xlfn.IFS(Table_Sales[[#This Row],[amount]]&lt;1000,"Under 1000",Table_Sales[[#This Row],[amount]]&lt;3000,"1000 - 2999",Table_Sales[[#This Row],[amount]]&lt;5000,"3000 - 4999",TRUE,"5000 &amp; above")</f>
        <v>Under 1000</v>
      </c>
      <c r="K1034">
        <f>IF(COUNTIFS(INDEX(Table_Sales[order_id],1):Table_Sales[[#This Row],[order_id]],Table_Sales[[#This Row],[order_id]])=1,1,0)</f>
        <v>0</v>
      </c>
      <c r="L103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035" spans="1:12" x14ac:dyDescent="0.25">
      <c r="A1035" t="s">
        <v>196</v>
      </c>
      <c r="B1035" s="1">
        <v>269</v>
      </c>
      <c r="C1035" s="1">
        <v>33</v>
      </c>
      <c r="D1035">
        <v>5</v>
      </c>
      <c r="E1035" t="s">
        <v>12</v>
      </c>
      <c r="F1035" t="s">
        <v>13</v>
      </c>
      <c r="G1035" t="s">
        <v>82</v>
      </c>
      <c r="H1035">
        <f>IF(Table_Sales[[#This Row],[profit]]&lt;0,1,0)</f>
        <v>0</v>
      </c>
      <c r="I1035" t="str" cm="1">
        <f t="array" ref="I1035">_xlfn.IFS(Table_Sales[[#This Row],[quantity]]&lt;=3,"1-3",Table_Sales[[#This Row],[quantity]]&lt;=7,"2-7",Table_Sales[[#This Row],[quantity]]&lt;=10,"8-10",TRUE,"11 and above")</f>
        <v>2-7</v>
      </c>
      <c r="J1035" t="str" cm="1">
        <f t="array" ref="J1035">_xlfn.IFS(Table_Sales[[#This Row],[amount]]&lt;1000,"Under 1000",Table_Sales[[#This Row],[amount]]&lt;3000,"1000 - 2999",Table_Sales[[#This Row],[amount]]&lt;5000,"3000 - 4999",TRUE,"5000 &amp; above")</f>
        <v>Under 1000</v>
      </c>
      <c r="K1035">
        <f>IF(COUNTIFS(INDEX(Table_Sales[order_id],1):Table_Sales[[#This Row],[order_id]],Table_Sales[[#This Row],[order_id]])=1,1,0)</f>
        <v>0</v>
      </c>
      <c r="L103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036" spans="1:12" x14ac:dyDescent="0.25">
      <c r="A1036" t="s">
        <v>462</v>
      </c>
      <c r="B1036" s="1">
        <v>80</v>
      </c>
      <c r="C1036" s="1">
        <v>22</v>
      </c>
      <c r="D1036">
        <v>3</v>
      </c>
      <c r="E1036" t="s">
        <v>23</v>
      </c>
      <c r="F1036" t="s">
        <v>57</v>
      </c>
      <c r="G1036" t="s">
        <v>14</v>
      </c>
      <c r="H1036">
        <f>IF(Table_Sales[[#This Row],[profit]]&lt;0,1,0)</f>
        <v>0</v>
      </c>
      <c r="I1036" t="str" cm="1">
        <f t="array" ref="I1036">_xlfn.IFS(Table_Sales[[#This Row],[quantity]]&lt;=3,"1-3",Table_Sales[[#This Row],[quantity]]&lt;=7,"2-7",Table_Sales[[#This Row],[quantity]]&lt;=10,"8-10",TRUE,"11 and above")</f>
        <v>1-3</v>
      </c>
      <c r="J1036" t="str" cm="1">
        <f t="array" ref="J1036">_xlfn.IFS(Table_Sales[[#This Row],[amount]]&lt;1000,"Under 1000",Table_Sales[[#This Row],[amount]]&lt;3000,"1000 - 2999",Table_Sales[[#This Row],[amount]]&lt;5000,"3000 - 4999",TRUE,"5000 &amp; above")</f>
        <v>Under 1000</v>
      </c>
      <c r="K1036">
        <f>IF(COUNTIFS(INDEX(Table_Sales[order_id],1):Table_Sales[[#This Row],[order_id]],Table_Sales[[#This Row],[order_id]])=1,1,0)</f>
        <v>1</v>
      </c>
      <c r="L103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037" spans="1:12" x14ac:dyDescent="0.25">
      <c r="A1037" t="s">
        <v>230</v>
      </c>
      <c r="B1037" s="1">
        <v>284</v>
      </c>
      <c r="C1037" s="1">
        <v>44</v>
      </c>
      <c r="D1037">
        <v>6</v>
      </c>
      <c r="E1037" t="s">
        <v>23</v>
      </c>
      <c r="F1037" t="s">
        <v>30</v>
      </c>
      <c r="G1037" t="s">
        <v>10</v>
      </c>
      <c r="H1037">
        <f>IF(Table_Sales[[#This Row],[profit]]&lt;0,1,0)</f>
        <v>0</v>
      </c>
      <c r="I1037" t="str" cm="1">
        <f t="array" ref="I1037">_xlfn.IFS(Table_Sales[[#This Row],[quantity]]&lt;=3,"1-3",Table_Sales[[#This Row],[quantity]]&lt;=7,"2-7",Table_Sales[[#This Row],[quantity]]&lt;=10,"8-10",TRUE,"11 and above")</f>
        <v>2-7</v>
      </c>
      <c r="J1037" t="str" cm="1">
        <f t="array" ref="J1037">_xlfn.IFS(Table_Sales[[#This Row],[amount]]&lt;1000,"Under 1000",Table_Sales[[#This Row],[amount]]&lt;3000,"1000 - 2999",Table_Sales[[#This Row],[amount]]&lt;5000,"3000 - 4999",TRUE,"5000 &amp; above")</f>
        <v>Under 1000</v>
      </c>
      <c r="K1037">
        <f>IF(COUNTIFS(INDEX(Table_Sales[order_id],1):Table_Sales[[#This Row],[order_id]],Table_Sales[[#This Row],[order_id]])=1,1,0)</f>
        <v>0</v>
      </c>
      <c r="L103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038" spans="1:12" x14ac:dyDescent="0.25">
      <c r="A1038" t="s">
        <v>463</v>
      </c>
      <c r="B1038" s="1">
        <v>313</v>
      </c>
      <c r="C1038" s="1">
        <v>44</v>
      </c>
      <c r="D1038">
        <v>3</v>
      </c>
      <c r="E1038" t="s">
        <v>8</v>
      </c>
      <c r="F1038" t="s">
        <v>9</v>
      </c>
      <c r="G1038" t="s">
        <v>10</v>
      </c>
      <c r="H1038">
        <f>IF(Table_Sales[[#This Row],[profit]]&lt;0,1,0)</f>
        <v>0</v>
      </c>
      <c r="I1038" t="str" cm="1">
        <f t="array" ref="I1038">_xlfn.IFS(Table_Sales[[#This Row],[quantity]]&lt;=3,"1-3",Table_Sales[[#This Row],[quantity]]&lt;=7,"2-7",Table_Sales[[#This Row],[quantity]]&lt;=10,"8-10",TRUE,"11 and above")</f>
        <v>1-3</v>
      </c>
      <c r="J1038" t="str" cm="1">
        <f t="array" ref="J1038">_xlfn.IFS(Table_Sales[[#This Row],[amount]]&lt;1000,"Under 1000",Table_Sales[[#This Row],[amount]]&lt;3000,"1000 - 2999",Table_Sales[[#This Row],[amount]]&lt;5000,"3000 - 4999",TRUE,"5000 &amp; above")</f>
        <v>Under 1000</v>
      </c>
      <c r="K1038">
        <f>IF(COUNTIFS(INDEX(Table_Sales[order_id],1):Table_Sales[[#This Row],[order_id]],Table_Sales[[#This Row],[order_id]])=1,1,0)</f>
        <v>1</v>
      </c>
      <c r="L103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039" spans="1:12" x14ac:dyDescent="0.25">
      <c r="A1039" t="s">
        <v>464</v>
      </c>
      <c r="B1039" s="1">
        <v>80</v>
      </c>
      <c r="C1039" s="1">
        <v>-26</v>
      </c>
      <c r="D1039">
        <v>9</v>
      </c>
      <c r="E1039" t="s">
        <v>23</v>
      </c>
      <c r="F1039" t="s">
        <v>43</v>
      </c>
      <c r="G1039" t="s">
        <v>14</v>
      </c>
      <c r="H1039">
        <f>IF(Table_Sales[[#This Row],[profit]]&lt;0,1,0)</f>
        <v>1</v>
      </c>
      <c r="I1039" t="str" cm="1">
        <f t="array" ref="I1039">_xlfn.IFS(Table_Sales[[#This Row],[quantity]]&lt;=3,"1-3",Table_Sales[[#This Row],[quantity]]&lt;=7,"2-7",Table_Sales[[#This Row],[quantity]]&lt;=10,"8-10",TRUE,"11 and above")</f>
        <v>8-10</v>
      </c>
      <c r="J1039" t="str" cm="1">
        <f t="array" ref="J1039">_xlfn.IFS(Table_Sales[[#This Row],[amount]]&lt;1000,"Under 1000",Table_Sales[[#This Row],[amount]]&lt;3000,"1000 - 2999",Table_Sales[[#This Row],[amount]]&lt;5000,"3000 - 4999",TRUE,"5000 &amp; above")</f>
        <v>Under 1000</v>
      </c>
      <c r="K1039">
        <f>IF(COUNTIFS(INDEX(Table_Sales[order_id],1):Table_Sales[[#This Row],[order_id]],Table_Sales[[#This Row],[order_id]])=1,1,0)</f>
        <v>1</v>
      </c>
      <c r="L103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040" spans="1:12" x14ac:dyDescent="0.25">
      <c r="A1040" t="s">
        <v>465</v>
      </c>
      <c r="B1040" s="1">
        <v>48</v>
      </c>
      <c r="C1040" s="1">
        <v>-8</v>
      </c>
      <c r="D1040">
        <v>8</v>
      </c>
      <c r="E1040" t="s">
        <v>23</v>
      </c>
      <c r="F1040" t="s">
        <v>57</v>
      </c>
      <c r="G1040" t="s">
        <v>10</v>
      </c>
      <c r="H1040">
        <f>IF(Table_Sales[[#This Row],[profit]]&lt;0,1,0)</f>
        <v>1</v>
      </c>
      <c r="I1040" t="str" cm="1">
        <f t="array" ref="I1040">_xlfn.IFS(Table_Sales[[#This Row],[quantity]]&lt;=3,"1-3",Table_Sales[[#This Row],[quantity]]&lt;=7,"2-7",Table_Sales[[#This Row],[quantity]]&lt;=10,"8-10",TRUE,"11 and above")</f>
        <v>8-10</v>
      </c>
      <c r="J1040" t="str" cm="1">
        <f t="array" ref="J1040">_xlfn.IFS(Table_Sales[[#This Row],[amount]]&lt;1000,"Under 1000",Table_Sales[[#This Row],[amount]]&lt;3000,"1000 - 2999",Table_Sales[[#This Row],[amount]]&lt;5000,"3000 - 4999",TRUE,"5000 &amp; above")</f>
        <v>Under 1000</v>
      </c>
      <c r="K1040">
        <f>IF(COUNTIFS(INDEX(Table_Sales[order_id],1):Table_Sales[[#This Row],[order_id]],Table_Sales[[#This Row],[order_id]])=1,1,0)</f>
        <v>1</v>
      </c>
      <c r="L104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041" spans="1:12" x14ac:dyDescent="0.25">
      <c r="A1041" t="s">
        <v>466</v>
      </c>
      <c r="B1041" s="1">
        <v>87</v>
      </c>
      <c r="C1041" s="1">
        <v>16</v>
      </c>
      <c r="D1041">
        <v>2</v>
      </c>
      <c r="E1041" t="s">
        <v>23</v>
      </c>
      <c r="F1041" t="s">
        <v>26</v>
      </c>
      <c r="G1041" t="s">
        <v>28</v>
      </c>
      <c r="H1041">
        <f>IF(Table_Sales[[#This Row],[profit]]&lt;0,1,0)</f>
        <v>0</v>
      </c>
      <c r="I1041" t="str" cm="1">
        <f t="array" ref="I1041">_xlfn.IFS(Table_Sales[[#This Row],[quantity]]&lt;=3,"1-3",Table_Sales[[#This Row],[quantity]]&lt;=7,"2-7",Table_Sales[[#This Row],[quantity]]&lt;=10,"8-10",TRUE,"11 and above")</f>
        <v>1-3</v>
      </c>
      <c r="J1041" t="str" cm="1">
        <f t="array" ref="J1041">_xlfn.IFS(Table_Sales[[#This Row],[amount]]&lt;1000,"Under 1000",Table_Sales[[#This Row],[amount]]&lt;3000,"1000 - 2999",Table_Sales[[#This Row],[amount]]&lt;5000,"3000 - 4999",TRUE,"5000 &amp; above")</f>
        <v>Under 1000</v>
      </c>
      <c r="K1041">
        <f>IF(COUNTIFS(INDEX(Table_Sales[order_id],1):Table_Sales[[#This Row],[order_id]],Table_Sales[[#This Row],[order_id]])=1,1,0)</f>
        <v>1</v>
      </c>
      <c r="L104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042" spans="1:12" x14ac:dyDescent="0.25">
      <c r="A1042" t="s">
        <v>288</v>
      </c>
      <c r="B1042" s="1">
        <v>47</v>
      </c>
      <c r="C1042" s="1">
        <v>-114</v>
      </c>
      <c r="D1042">
        <v>5</v>
      </c>
      <c r="E1042" t="s">
        <v>12</v>
      </c>
      <c r="F1042" t="s">
        <v>131</v>
      </c>
      <c r="G1042" t="s">
        <v>10</v>
      </c>
      <c r="H1042">
        <f>IF(Table_Sales[[#This Row],[profit]]&lt;0,1,0)</f>
        <v>1</v>
      </c>
      <c r="I1042" t="str" cm="1">
        <f t="array" ref="I1042">_xlfn.IFS(Table_Sales[[#This Row],[quantity]]&lt;=3,"1-3",Table_Sales[[#This Row],[quantity]]&lt;=7,"2-7",Table_Sales[[#This Row],[quantity]]&lt;=10,"8-10",TRUE,"11 and above")</f>
        <v>2-7</v>
      </c>
      <c r="J1042" t="str" cm="1">
        <f t="array" ref="J1042">_xlfn.IFS(Table_Sales[[#This Row],[amount]]&lt;1000,"Under 1000",Table_Sales[[#This Row],[amount]]&lt;3000,"1000 - 2999",Table_Sales[[#This Row],[amount]]&lt;5000,"3000 - 4999",TRUE,"5000 &amp; above")</f>
        <v>Under 1000</v>
      </c>
      <c r="K1042">
        <f>IF(COUNTIFS(INDEX(Table_Sales[order_id],1):Table_Sales[[#This Row],[order_id]],Table_Sales[[#This Row],[order_id]])=1,1,0)</f>
        <v>0</v>
      </c>
      <c r="L104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043" spans="1:12" x14ac:dyDescent="0.25">
      <c r="A1043" t="s">
        <v>394</v>
      </c>
      <c r="B1043" s="1">
        <v>140</v>
      </c>
      <c r="C1043" s="1">
        <v>28</v>
      </c>
      <c r="D1043">
        <v>2</v>
      </c>
      <c r="E1043" t="s">
        <v>8</v>
      </c>
      <c r="F1043" t="s">
        <v>21</v>
      </c>
      <c r="G1043" t="s">
        <v>10</v>
      </c>
      <c r="H1043">
        <f>IF(Table_Sales[[#This Row],[profit]]&lt;0,1,0)</f>
        <v>0</v>
      </c>
      <c r="I1043" t="str" cm="1">
        <f t="array" ref="I1043">_xlfn.IFS(Table_Sales[[#This Row],[quantity]]&lt;=3,"1-3",Table_Sales[[#This Row],[quantity]]&lt;=7,"2-7",Table_Sales[[#This Row],[quantity]]&lt;=10,"8-10",TRUE,"11 and above")</f>
        <v>1-3</v>
      </c>
      <c r="J1043" t="str" cm="1">
        <f t="array" ref="J1043">_xlfn.IFS(Table_Sales[[#This Row],[amount]]&lt;1000,"Under 1000",Table_Sales[[#This Row],[amount]]&lt;3000,"1000 - 2999",Table_Sales[[#This Row],[amount]]&lt;5000,"3000 - 4999",TRUE,"5000 &amp; above")</f>
        <v>Under 1000</v>
      </c>
      <c r="K1043">
        <f>IF(COUNTIFS(INDEX(Table_Sales[order_id],1):Table_Sales[[#This Row],[order_id]],Table_Sales[[#This Row],[order_id]])=1,1,0)</f>
        <v>0</v>
      </c>
      <c r="L104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044" spans="1:12" x14ac:dyDescent="0.25">
      <c r="A1044" t="s">
        <v>173</v>
      </c>
      <c r="B1044" s="1">
        <v>47</v>
      </c>
      <c r="C1044" s="1">
        <v>1</v>
      </c>
      <c r="D1044">
        <v>2</v>
      </c>
      <c r="E1044" t="s">
        <v>23</v>
      </c>
      <c r="F1044" t="s">
        <v>57</v>
      </c>
      <c r="G1044" t="s">
        <v>10</v>
      </c>
      <c r="H1044">
        <f>IF(Table_Sales[[#This Row],[profit]]&lt;0,1,0)</f>
        <v>0</v>
      </c>
      <c r="I1044" t="str" cm="1">
        <f t="array" ref="I1044">_xlfn.IFS(Table_Sales[[#This Row],[quantity]]&lt;=3,"1-3",Table_Sales[[#This Row],[quantity]]&lt;=7,"2-7",Table_Sales[[#This Row],[quantity]]&lt;=10,"8-10",TRUE,"11 and above")</f>
        <v>1-3</v>
      </c>
      <c r="J1044" t="str" cm="1">
        <f t="array" ref="J1044">_xlfn.IFS(Table_Sales[[#This Row],[amount]]&lt;1000,"Under 1000",Table_Sales[[#This Row],[amount]]&lt;3000,"1000 - 2999",Table_Sales[[#This Row],[amount]]&lt;5000,"3000 - 4999",TRUE,"5000 &amp; above")</f>
        <v>Under 1000</v>
      </c>
      <c r="K1044">
        <f>IF(COUNTIFS(INDEX(Table_Sales[order_id],1):Table_Sales[[#This Row],[order_id]],Table_Sales[[#This Row],[order_id]])=1,1,0)</f>
        <v>0</v>
      </c>
      <c r="L104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045" spans="1:12" x14ac:dyDescent="0.25">
      <c r="A1045" t="s">
        <v>191</v>
      </c>
      <c r="B1045" s="1">
        <v>79</v>
      </c>
      <c r="C1045" s="1">
        <v>-2</v>
      </c>
      <c r="D1045">
        <v>2</v>
      </c>
      <c r="E1045" t="s">
        <v>12</v>
      </c>
      <c r="F1045" t="s">
        <v>131</v>
      </c>
      <c r="G1045" t="s">
        <v>14</v>
      </c>
      <c r="H1045">
        <f>IF(Table_Sales[[#This Row],[profit]]&lt;0,1,0)</f>
        <v>1</v>
      </c>
      <c r="I1045" t="str" cm="1">
        <f t="array" ref="I1045">_xlfn.IFS(Table_Sales[[#This Row],[quantity]]&lt;=3,"1-3",Table_Sales[[#This Row],[quantity]]&lt;=7,"2-7",Table_Sales[[#This Row],[quantity]]&lt;=10,"8-10",TRUE,"11 and above")</f>
        <v>1-3</v>
      </c>
      <c r="J1045" t="str" cm="1">
        <f t="array" ref="J1045">_xlfn.IFS(Table_Sales[[#This Row],[amount]]&lt;1000,"Under 1000",Table_Sales[[#This Row],[amount]]&lt;3000,"1000 - 2999",Table_Sales[[#This Row],[amount]]&lt;5000,"3000 - 4999",TRUE,"5000 &amp; above")</f>
        <v>Under 1000</v>
      </c>
      <c r="K1045">
        <f>IF(COUNTIFS(INDEX(Table_Sales[order_id],1):Table_Sales[[#This Row],[order_id]],Table_Sales[[#This Row],[order_id]])=1,1,0)</f>
        <v>0</v>
      </c>
      <c r="L104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046" spans="1:12" x14ac:dyDescent="0.25">
      <c r="A1046" t="s">
        <v>163</v>
      </c>
      <c r="B1046" s="1">
        <v>78</v>
      </c>
      <c r="C1046" s="1">
        <v>-64</v>
      </c>
      <c r="D1046">
        <v>7</v>
      </c>
      <c r="E1046" t="s">
        <v>23</v>
      </c>
      <c r="F1046" t="s">
        <v>57</v>
      </c>
      <c r="G1046" t="s">
        <v>14</v>
      </c>
      <c r="H1046">
        <f>IF(Table_Sales[[#This Row],[profit]]&lt;0,1,0)</f>
        <v>1</v>
      </c>
      <c r="I1046" t="str" cm="1">
        <f t="array" ref="I1046">_xlfn.IFS(Table_Sales[[#This Row],[quantity]]&lt;=3,"1-3",Table_Sales[[#This Row],[quantity]]&lt;=7,"2-7",Table_Sales[[#This Row],[quantity]]&lt;=10,"8-10",TRUE,"11 and above")</f>
        <v>2-7</v>
      </c>
      <c r="J1046" t="str" cm="1">
        <f t="array" ref="J1046">_xlfn.IFS(Table_Sales[[#This Row],[amount]]&lt;1000,"Under 1000",Table_Sales[[#This Row],[amount]]&lt;3000,"1000 - 2999",Table_Sales[[#This Row],[amount]]&lt;5000,"3000 - 4999",TRUE,"5000 &amp; above")</f>
        <v>Under 1000</v>
      </c>
      <c r="K1046">
        <f>IF(COUNTIFS(INDEX(Table_Sales[order_id],1):Table_Sales[[#This Row],[order_id]],Table_Sales[[#This Row],[order_id]])=1,1,0)</f>
        <v>0</v>
      </c>
      <c r="L104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047" spans="1:12" x14ac:dyDescent="0.25">
      <c r="A1047" t="s">
        <v>208</v>
      </c>
      <c r="B1047" s="1">
        <v>47</v>
      </c>
      <c r="C1047" s="1">
        <v>-3</v>
      </c>
      <c r="D1047">
        <v>2</v>
      </c>
      <c r="E1047" t="s">
        <v>23</v>
      </c>
      <c r="F1047" t="s">
        <v>57</v>
      </c>
      <c r="G1047" t="s">
        <v>10</v>
      </c>
      <c r="H1047">
        <f>IF(Table_Sales[[#This Row],[profit]]&lt;0,1,0)</f>
        <v>1</v>
      </c>
      <c r="I1047" t="str" cm="1">
        <f t="array" ref="I1047">_xlfn.IFS(Table_Sales[[#This Row],[quantity]]&lt;=3,"1-3",Table_Sales[[#This Row],[quantity]]&lt;=7,"2-7",Table_Sales[[#This Row],[quantity]]&lt;=10,"8-10",TRUE,"11 and above")</f>
        <v>1-3</v>
      </c>
      <c r="J1047" t="str" cm="1">
        <f t="array" ref="J1047">_xlfn.IFS(Table_Sales[[#This Row],[amount]]&lt;1000,"Under 1000",Table_Sales[[#This Row],[amount]]&lt;3000,"1000 - 2999",Table_Sales[[#This Row],[amount]]&lt;5000,"3000 - 4999",TRUE,"5000 &amp; above")</f>
        <v>Under 1000</v>
      </c>
      <c r="K1047">
        <f>IF(COUNTIFS(INDEX(Table_Sales[order_id],1):Table_Sales[[#This Row],[order_id]],Table_Sales[[#This Row],[order_id]])=1,1,0)</f>
        <v>0</v>
      </c>
      <c r="L104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048" spans="1:12" x14ac:dyDescent="0.25">
      <c r="A1048" t="s">
        <v>329</v>
      </c>
      <c r="B1048" s="1">
        <v>185</v>
      </c>
      <c r="C1048" s="1">
        <v>48</v>
      </c>
      <c r="D1048">
        <v>4</v>
      </c>
      <c r="E1048" t="s">
        <v>23</v>
      </c>
      <c r="F1048" t="s">
        <v>57</v>
      </c>
      <c r="G1048" t="s">
        <v>28</v>
      </c>
      <c r="H1048">
        <f>IF(Table_Sales[[#This Row],[profit]]&lt;0,1,0)</f>
        <v>0</v>
      </c>
      <c r="I1048" t="str" cm="1">
        <f t="array" ref="I1048">_xlfn.IFS(Table_Sales[[#This Row],[quantity]]&lt;=3,"1-3",Table_Sales[[#This Row],[quantity]]&lt;=7,"2-7",Table_Sales[[#This Row],[quantity]]&lt;=10,"8-10",TRUE,"11 and above")</f>
        <v>2-7</v>
      </c>
      <c r="J1048" t="str" cm="1">
        <f t="array" ref="J1048">_xlfn.IFS(Table_Sales[[#This Row],[amount]]&lt;1000,"Under 1000",Table_Sales[[#This Row],[amount]]&lt;3000,"1000 - 2999",Table_Sales[[#This Row],[amount]]&lt;5000,"3000 - 4999",TRUE,"5000 &amp; above")</f>
        <v>Under 1000</v>
      </c>
      <c r="K1048">
        <f>IF(COUNTIFS(INDEX(Table_Sales[order_id],1):Table_Sales[[#This Row],[order_id]],Table_Sales[[#This Row],[order_id]])=1,1,0)</f>
        <v>0</v>
      </c>
      <c r="L104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049" spans="1:12" x14ac:dyDescent="0.25">
      <c r="A1049" t="s">
        <v>204</v>
      </c>
      <c r="B1049" s="1">
        <v>77</v>
      </c>
      <c r="C1049" s="1">
        <v>36</v>
      </c>
      <c r="D1049">
        <v>2</v>
      </c>
      <c r="E1049" t="s">
        <v>23</v>
      </c>
      <c r="F1049" t="s">
        <v>142</v>
      </c>
      <c r="G1049" t="s">
        <v>14</v>
      </c>
      <c r="H1049">
        <f>IF(Table_Sales[[#This Row],[profit]]&lt;0,1,0)</f>
        <v>0</v>
      </c>
      <c r="I1049" t="str" cm="1">
        <f t="array" ref="I1049">_xlfn.IFS(Table_Sales[[#This Row],[quantity]]&lt;=3,"1-3",Table_Sales[[#This Row],[quantity]]&lt;=7,"2-7",Table_Sales[[#This Row],[quantity]]&lt;=10,"8-10",TRUE,"11 and above")</f>
        <v>1-3</v>
      </c>
      <c r="J1049" t="str" cm="1">
        <f t="array" ref="J1049">_xlfn.IFS(Table_Sales[[#This Row],[amount]]&lt;1000,"Under 1000",Table_Sales[[#This Row],[amount]]&lt;3000,"1000 - 2999",Table_Sales[[#This Row],[amount]]&lt;5000,"3000 - 4999",TRUE,"5000 &amp; above")</f>
        <v>Under 1000</v>
      </c>
      <c r="K1049">
        <f>IF(COUNTIFS(INDEX(Table_Sales[order_id],1):Table_Sales[[#This Row],[order_id]],Table_Sales[[#This Row],[order_id]])=1,1,0)</f>
        <v>0</v>
      </c>
      <c r="L104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050" spans="1:12" x14ac:dyDescent="0.25">
      <c r="A1050" t="s">
        <v>467</v>
      </c>
      <c r="B1050" s="1">
        <v>259</v>
      </c>
      <c r="C1050" s="1">
        <v>47</v>
      </c>
      <c r="D1050">
        <v>5</v>
      </c>
      <c r="E1050" t="s">
        <v>23</v>
      </c>
      <c r="F1050" t="s">
        <v>30</v>
      </c>
      <c r="G1050" t="s">
        <v>28</v>
      </c>
      <c r="H1050">
        <f>IF(Table_Sales[[#This Row],[profit]]&lt;0,1,0)</f>
        <v>0</v>
      </c>
      <c r="I1050" t="str" cm="1">
        <f t="array" ref="I1050">_xlfn.IFS(Table_Sales[[#This Row],[quantity]]&lt;=3,"1-3",Table_Sales[[#This Row],[quantity]]&lt;=7,"2-7",Table_Sales[[#This Row],[quantity]]&lt;=10,"8-10",TRUE,"11 and above")</f>
        <v>2-7</v>
      </c>
      <c r="J1050" t="str" cm="1">
        <f t="array" ref="J1050">_xlfn.IFS(Table_Sales[[#This Row],[amount]]&lt;1000,"Under 1000",Table_Sales[[#This Row],[amount]]&lt;3000,"1000 - 2999",Table_Sales[[#This Row],[amount]]&lt;5000,"3000 - 4999",TRUE,"5000 &amp; above")</f>
        <v>Under 1000</v>
      </c>
      <c r="K1050">
        <f>IF(COUNTIFS(INDEX(Table_Sales[order_id],1):Table_Sales[[#This Row],[order_id]],Table_Sales[[#This Row],[order_id]])=1,1,0)</f>
        <v>1</v>
      </c>
      <c r="L105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051" spans="1:12" x14ac:dyDescent="0.25">
      <c r="A1051" t="s">
        <v>468</v>
      </c>
      <c r="B1051" s="1">
        <v>75</v>
      </c>
      <c r="C1051" s="1">
        <v>0</v>
      </c>
      <c r="D1051">
        <v>7</v>
      </c>
      <c r="E1051" t="s">
        <v>23</v>
      </c>
      <c r="F1051" t="s">
        <v>26</v>
      </c>
      <c r="G1051" t="s">
        <v>14</v>
      </c>
      <c r="H1051">
        <f>IF(Table_Sales[[#This Row],[profit]]&lt;0,1,0)</f>
        <v>0</v>
      </c>
      <c r="I1051" t="str" cm="1">
        <f t="array" ref="I1051">_xlfn.IFS(Table_Sales[[#This Row],[quantity]]&lt;=3,"1-3",Table_Sales[[#This Row],[quantity]]&lt;=7,"2-7",Table_Sales[[#This Row],[quantity]]&lt;=10,"8-10",TRUE,"11 and above")</f>
        <v>2-7</v>
      </c>
      <c r="J1051" t="str" cm="1">
        <f t="array" ref="J1051">_xlfn.IFS(Table_Sales[[#This Row],[amount]]&lt;1000,"Under 1000",Table_Sales[[#This Row],[amount]]&lt;3000,"1000 - 2999",Table_Sales[[#This Row],[amount]]&lt;5000,"3000 - 4999",TRUE,"5000 &amp; above")</f>
        <v>Under 1000</v>
      </c>
      <c r="K1051">
        <f>IF(COUNTIFS(INDEX(Table_Sales[order_id],1):Table_Sales[[#This Row],[order_id]],Table_Sales[[#This Row],[order_id]])=1,1,0)</f>
        <v>1</v>
      </c>
      <c r="L105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052" spans="1:12" x14ac:dyDescent="0.25">
      <c r="A1052" t="s">
        <v>469</v>
      </c>
      <c r="B1052" s="1">
        <v>75</v>
      </c>
      <c r="C1052" s="1">
        <v>0</v>
      </c>
      <c r="D1052">
        <v>3</v>
      </c>
      <c r="E1052" t="s">
        <v>23</v>
      </c>
      <c r="F1052" t="s">
        <v>142</v>
      </c>
      <c r="G1052" t="s">
        <v>14</v>
      </c>
      <c r="H1052">
        <f>IF(Table_Sales[[#This Row],[profit]]&lt;0,1,0)</f>
        <v>0</v>
      </c>
      <c r="I1052" t="str" cm="1">
        <f t="array" ref="I1052">_xlfn.IFS(Table_Sales[[#This Row],[quantity]]&lt;=3,"1-3",Table_Sales[[#This Row],[quantity]]&lt;=7,"2-7",Table_Sales[[#This Row],[quantity]]&lt;=10,"8-10",TRUE,"11 and above")</f>
        <v>1-3</v>
      </c>
      <c r="J1052" t="str" cm="1">
        <f t="array" ref="J1052">_xlfn.IFS(Table_Sales[[#This Row],[amount]]&lt;1000,"Under 1000",Table_Sales[[#This Row],[amount]]&lt;3000,"1000 - 2999",Table_Sales[[#This Row],[amount]]&lt;5000,"3000 - 4999",TRUE,"5000 &amp; above")</f>
        <v>Under 1000</v>
      </c>
      <c r="K1052">
        <f>IF(COUNTIFS(INDEX(Table_Sales[order_id],1):Table_Sales[[#This Row],[order_id]],Table_Sales[[#This Row],[order_id]])=1,1,0)</f>
        <v>1</v>
      </c>
      <c r="L105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053" spans="1:12" x14ac:dyDescent="0.25">
      <c r="A1053" t="s">
        <v>193</v>
      </c>
      <c r="B1053" s="1">
        <v>46</v>
      </c>
      <c r="C1053" s="1">
        <v>0</v>
      </c>
      <c r="D1053">
        <v>4</v>
      </c>
      <c r="E1053" t="s">
        <v>23</v>
      </c>
      <c r="F1053" t="s">
        <v>63</v>
      </c>
      <c r="G1053" t="s">
        <v>10</v>
      </c>
      <c r="H1053">
        <f>IF(Table_Sales[[#This Row],[profit]]&lt;0,1,0)</f>
        <v>0</v>
      </c>
      <c r="I1053" t="str" cm="1">
        <f t="array" ref="I1053">_xlfn.IFS(Table_Sales[[#This Row],[quantity]]&lt;=3,"1-3",Table_Sales[[#This Row],[quantity]]&lt;=7,"2-7",Table_Sales[[#This Row],[quantity]]&lt;=10,"8-10",TRUE,"11 and above")</f>
        <v>2-7</v>
      </c>
      <c r="J1053" t="str" cm="1">
        <f t="array" ref="J1053">_xlfn.IFS(Table_Sales[[#This Row],[amount]]&lt;1000,"Under 1000",Table_Sales[[#This Row],[amount]]&lt;3000,"1000 - 2999",Table_Sales[[#This Row],[amount]]&lt;5000,"3000 - 4999",TRUE,"5000 &amp; above")</f>
        <v>Under 1000</v>
      </c>
      <c r="K1053">
        <f>IF(COUNTIFS(INDEX(Table_Sales[order_id],1):Table_Sales[[#This Row],[order_id]],Table_Sales[[#This Row],[order_id]])=1,1,0)</f>
        <v>0</v>
      </c>
      <c r="L105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054" spans="1:12" x14ac:dyDescent="0.25">
      <c r="A1054" t="s">
        <v>194</v>
      </c>
      <c r="B1054" s="1">
        <v>46</v>
      </c>
      <c r="C1054" s="1">
        <v>13</v>
      </c>
      <c r="D1054">
        <v>3</v>
      </c>
      <c r="E1054" t="s">
        <v>23</v>
      </c>
      <c r="F1054" t="s">
        <v>30</v>
      </c>
      <c r="G1054" t="s">
        <v>10</v>
      </c>
      <c r="H1054">
        <f>IF(Table_Sales[[#This Row],[profit]]&lt;0,1,0)</f>
        <v>0</v>
      </c>
      <c r="I1054" t="str" cm="1">
        <f t="array" ref="I1054">_xlfn.IFS(Table_Sales[[#This Row],[quantity]]&lt;=3,"1-3",Table_Sales[[#This Row],[quantity]]&lt;=7,"2-7",Table_Sales[[#This Row],[quantity]]&lt;=10,"8-10",TRUE,"11 and above")</f>
        <v>1-3</v>
      </c>
      <c r="J1054" t="str" cm="1">
        <f t="array" ref="J1054">_xlfn.IFS(Table_Sales[[#This Row],[amount]]&lt;1000,"Under 1000",Table_Sales[[#This Row],[amount]]&lt;3000,"1000 - 2999",Table_Sales[[#This Row],[amount]]&lt;5000,"3000 - 4999",TRUE,"5000 &amp; above")</f>
        <v>Under 1000</v>
      </c>
      <c r="K1054">
        <f>IF(COUNTIFS(INDEX(Table_Sales[order_id],1):Table_Sales[[#This Row],[order_id]],Table_Sales[[#This Row],[order_id]])=1,1,0)</f>
        <v>0</v>
      </c>
      <c r="L105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055" spans="1:12" x14ac:dyDescent="0.25">
      <c r="A1055" t="s">
        <v>15</v>
      </c>
      <c r="B1055" s="1">
        <v>200</v>
      </c>
      <c r="C1055" s="1">
        <v>13</v>
      </c>
      <c r="D1055">
        <v>5</v>
      </c>
      <c r="E1055" t="s">
        <v>8</v>
      </c>
      <c r="F1055" t="s">
        <v>21</v>
      </c>
      <c r="G1055" t="s">
        <v>10</v>
      </c>
      <c r="H1055">
        <f>IF(Table_Sales[[#This Row],[profit]]&lt;0,1,0)</f>
        <v>0</v>
      </c>
      <c r="I1055" t="str" cm="1">
        <f t="array" ref="I1055">_xlfn.IFS(Table_Sales[[#This Row],[quantity]]&lt;=3,"1-3",Table_Sales[[#This Row],[quantity]]&lt;=7,"2-7",Table_Sales[[#This Row],[quantity]]&lt;=10,"8-10",TRUE,"11 and above")</f>
        <v>2-7</v>
      </c>
      <c r="J1055" t="str" cm="1">
        <f t="array" ref="J1055">_xlfn.IFS(Table_Sales[[#This Row],[amount]]&lt;1000,"Under 1000",Table_Sales[[#This Row],[amount]]&lt;3000,"1000 - 2999",Table_Sales[[#This Row],[amount]]&lt;5000,"3000 - 4999",TRUE,"5000 &amp; above")</f>
        <v>Under 1000</v>
      </c>
      <c r="K1055">
        <f>IF(COUNTIFS(INDEX(Table_Sales[order_id],1):Table_Sales[[#This Row],[order_id]],Table_Sales[[#This Row],[order_id]])=1,1,0)</f>
        <v>0</v>
      </c>
      <c r="L105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056" spans="1:12" x14ac:dyDescent="0.25">
      <c r="A1056" t="s">
        <v>470</v>
      </c>
      <c r="B1056" s="1">
        <v>46</v>
      </c>
      <c r="C1056" s="1">
        <v>-14</v>
      </c>
      <c r="D1056">
        <v>1</v>
      </c>
      <c r="E1056" t="s">
        <v>8</v>
      </c>
      <c r="F1056" t="s">
        <v>21</v>
      </c>
      <c r="G1056" t="s">
        <v>10</v>
      </c>
      <c r="H1056">
        <f>IF(Table_Sales[[#This Row],[profit]]&lt;0,1,0)</f>
        <v>1</v>
      </c>
      <c r="I1056" t="str" cm="1">
        <f t="array" ref="I1056">_xlfn.IFS(Table_Sales[[#This Row],[quantity]]&lt;=3,"1-3",Table_Sales[[#This Row],[quantity]]&lt;=7,"2-7",Table_Sales[[#This Row],[quantity]]&lt;=10,"8-10",TRUE,"11 and above")</f>
        <v>1-3</v>
      </c>
      <c r="J1056" t="str" cm="1">
        <f t="array" ref="J1056">_xlfn.IFS(Table_Sales[[#This Row],[amount]]&lt;1000,"Under 1000",Table_Sales[[#This Row],[amount]]&lt;3000,"1000 - 2999",Table_Sales[[#This Row],[amount]]&lt;5000,"3000 - 4999",TRUE,"5000 &amp; above")</f>
        <v>Under 1000</v>
      </c>
      <c r="K1056">
        <f>IF(COUNTIFS(INDEX(Table_Sales[order_id],1):Table_Sales[[#This Row],[order_id]],Table_Sales[[#This Row],[order_id]])=1,1,0)</f>
        <v>1</v>
      </c>
      <c r="L105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057" spans="1:12" x14ac:dyDescent="0.25">
      <c r="A1057" t="s">
        <v>471</v>
      </c>
      <c r="B1057" s="1">
        <v>126</v>
      </c>
      <c r="C1057" s="1">
        <v>52</v>
      </c>
      <c r="D1057">
        <v>4</v>
      </c>
      <c r="E1057" t="s">
        <v>23</v>
      </c>
      <c r="F1057" t="s">
        <v>30</v>
      </c>
      <c r="G1057" t="s">
        <v>28</v>
      </c>
      <c r="H1057">
        <f>IF(Table_Sales[[#This Row],[profit]]&lt;0,1,0)</f>
        <v>0</v>
      </c>
      <c r="I1057" t="str" cm="1">
        <f t="array" ref="I1057">_xlfn.IFS(Table_Sales[[#This Row],[quantity]]&lt;=3,"1-3",Table_Sales[[#This Row],[quantity]]&lt;=7,"2-7",Table_Sales[[#This Row],[quantity]]&lt;=10,"8-10",TRUE,"11 and above")</f>
        <v>2-7</v>
      </c>
      <c r="J1057" t="str" cm="1">
        <f t="array" ref="J1057">_xlfn.IFS(Table_Sales[[#This Row],[amount]]&lt;1000,"Under 1000",Table_Sales[[#This Row],[amount]]&lt;3000,"1000 - 2999",Table_Sales[[#This Row],[amount]]&lt;5000,"3000 - 4999",TRUE,"5000 &amp; above")</f>
        <v>Under 1000</v>
      </c>
      <c r="K1057">
        <f>IF(COUNTIFS(INDEX(Table_Sales[order_id],1):Table_Sales[[#This Row],[order_id]],Table_Sales[[#This Row],[order_id]])=1,1,0)</f>
        <v>1</v>
      </c>
      <c r="L105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058" spans="1:12" x14ac:dyDescent="0.25">
      <c r="A1058" t="s">
        <v>269</v>
      </c>
      <c r="B1058" s="1">
        <v>74</v>
      </c>
      <c r="C1058" s="1">
        <v>29</v>
      </c>
      <c r="D1058">
        <v>3</v>
      </c>
      <c r="E1058" t="s">
        <v>23</v>
      </c>
      <c r="F1058" t="s">
        <v>57</v>
      </c>
      <c r="G1058" t="s">
        <v>14</v>
      </c>
      <c r="H1058">
        <f>IF(Table_Sales[[#This Row],[profit]]&lt;0,1,0)</f>
        <v>0</v>
      </c>
      <c r="I1058" t="str" cm="1">
        <f t="array" ref="I1058">_xlfn.IFS(Table_Sales[[#This Row],[quantity]]&lt;=3,"1-3",Table_Sales[[#This Row],[quantity]]&lt;=7,"2-7",Table_Sales[[#This Row],[quantity]]&lt;=10,"8-10",TRUE,"11 and above")</f>
        <v>1-3</v>
      </c>
      <c r="J1058" t="str" cm="1">
        <f t="array" ref="J1058">_xlfn.IFS(Table_Sales[[#This Row],[amount]]&lt;1000,"Under 1000",Table_Sales[[#This Row],[amount]]&lt;3000,"1000 - 2999",Table_Sales[[#This Row],[amount]]&lt;5000,"3000 - 4999",TRUE,"5000 &amp; above")</f>
        <v>Under 1000</v>
      </c>
      <c r="K1058">
        <f>IF(COUNTIFS(INDEX(Table_Sales[order_id],1):Table_Sales[[#This Row],[order_id]],Table_Sales[[#This Row],[order_id]])=1,1,0)</f>
        <v>0</v>
      </c>
      <c r="L105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059" spans="1:12" x14ac:dyDescent="0.25">
      <c r="A1059" t="s">
        <v>236</v>
      </c>
      <c r="B1059" s="1">
        <v>45</v>
      </c>
      <c r="C1059" s="1">
        <v>13</v>
      </c>
      <c r="D1059">
        <v>4</v>
      </c>
      <c r="E1059" t="s">
        <v>23</v>
      </c>
      <c r="F1059" t="s">
        <v>43</v>
      </c>
      <c r="G1059" t="s">
        <v>10</v>
      </c>
      <c r="H1059">
        <f>IF(Table_Sales[[#This Row],[profit]]&lt;0,1,0)</f>
        <v>0</v>
      </c>
      <c r="I1059" t="str" cm="1">
        <f t="array" ref="I1059">_xlfn.IFS(Table_Sales[[#This Row],[quantity]]&lt;=3,"1-3",Table_Sales[[#This Row],[quantity]]&lt;=7,"2-7",Table_Sales[[#This Row],[quantity]]&lt;=10,"8-10",TRUE,"11 and above")</f>
        <v>2-7</v>
      </c>
      <c r="J1059" t="str" cm="1">
        <f t="array" ref="J1059">_xlfn.IFS(Table_Sales[[#This Row],[amount]]&lt;1000,"Under 1000",Table_Sales[[#This Row],[amount]]&lt;3000,"1000 - 2999",Table_Sales[[#This Row],[amount]]&lt;5000,"3000 - 4999",TRUE,"5000 &amp; above")</f>
        <v>Under 1000</v>
      </c>
      <c r="K1059">
        <f>IF(COUNTIFS(INDEX(Table_Sales[order_id],1):Table_Sales[[#This Row],[order_id]],Table_Sales[[#This Row],[order_id]])=1,1,0)</f>
        <v>0</v>
      </c>
      <c r="L105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060" spans="1:12" x14ac:dyDescent="0.25">
      <c r="A1060" t="s">
        <v>212</v>
      </c>
      <c r="B1060" s="1">
        <v>74</v>
      </c>
      <c r="C1060" s="1">
        <v>9</v>
      </c>
      <c r="D1060">
        <v>3</v>
      </c>
      <c r="E1060" t="s">
        <v>23</v>
      </c>
      <c r="F1060" t="s">
        <v>142</v>
      </c>
      <c r="G1060" t="s">
        <v>28</v>
      </c>
      <c r="H1060">
        <f>IF(Table_Sales[[#This Row],[profit]]&lt;0,1,0)</f>
        <v>0</v>
      </c>
      <c r="I1060" t="str" cm="1">
        <f t="array" ref="I1060">_xlfn.IFS(Table_Sales[[#This Row],[quantity]]&lt;=3,"1-3",Table_Sales[[#This Row],[quantity]]&lt;=7,"2-7",Table_Sales[[#This Row],[quantity]]&lt;=10,"8-10",TRUE,"11 and above")</f>
        <v>1-3</v>
      </c>
      <c r="J1060" t="str" cm="1">
        <f t="array" ref="J1060">_xlfn.IFS(Table_Sales[[#This Row],[amount]]&lt;1000,"Under 1000",Table_Sales[[#This Row],[amount]]&lt;3000,"1000 - 2999",Table_Sales[[#This Row],[amount]]&lt;5000,"3000 - 4999",TRUE,"5000 &amp; above")</f>
        <v>Under 1000</v>
      </c>
      <c r="K1060">
        <f>IF(COUNTIFS(INDEX(Table_Sales[order_id],1):Table_Sales[[#This Row],[order_id]],Table_Sales[[#This Row],[order_id]])=1,1,0)</f>
        <v>0</v>
      </c>
      <c r="L106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061" spans="1:12" x14ac:dyDescent="0.25">
      <c r="A1061" t="s">
        <v>292</v>
      </c>
      <c r="B1061" s="1">
        <v>129</v>
      </c>
      <c r="C1061" s="1">
        <v>11</v>
      </c>
      <c r="D1061">
        <v>2</v>
      </c>
      <c r="E1061" t="s">
        <v>8</v>
      </c>
      <c r="F1061" t="s">
        <v>21</v>
      </c>
      <c r="G1061" t="s">
        <v>28</v>
      </c>
      <c r="H1061">
        <f>IF(Table_Sales[[#This Row],[profit]]&lt;0,1,0)</f>
        <v>0</v>
      </c>
      <c r="I1061" t="str" cm="1">
        <f t="array" ref="I1061">_xlfn.IFS(Table_Sales[[#This Row],[quantity]]&lt;=3,"1-3",Table_Sales[[#This Row],[quantity]]&lt;=7,"2-7",Table_Sales[[#This Row],[quantity]]&lt;=10,"8-10",TRUE,"11 and above")</f>
        <v>1-3</v>
      </c>
      <c r="J1061" t="str" cm="1">
        <f t="array" ref="J1061">_xlfn.IFS(Table_Sales[[#This Row],[amount]]&lt;1000,"Under 1000",Table_Sales[[#This Row],[amount]]&lt;3000,"1000 - 2999",Table_Sales[[#This Row],[amount]]&lt;5000,"3000 - 4999",TRUE,"5000 &amp; above")</f>
        <v>Under 1000</v>
      </c>
      <c r="K1061">
        <f>IF(COUNTIFS(INDEX(Table_Sales[order_id],1):Table_Sales[[#This Row],[order_id]],Table_Sales[[#This Row],[order_id]])=1,1,0)</f>
        <v>0</v>
      </c>
      <c r="L106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062" spans="1:12" x14ac:dyDescent="0.25">
      <c r="A1062" t="s">
        <v>329</v>
      </c>
      <c r="B1062" s="1">
        <v>122</v>
      </c>
      <c r="C1062" s="1">
        <v>50</v>
      </c>
      <c r="D1062">
        <v>7</v>
      </c>
      <c r="E1062" t="s">
        <v>23</v>
      </c>
      <c r="F1062" t="s">
        <v>57</v>
      </c>
      <c r="G1062" t="s">
        <v>28</v>
      </c>
      <c r="H1062">
        <f>IF(Table_Sales[[#This Row],[profit]]&lt;0,1,0)</f>
        <v>0</v>
      </c>
      <c r="I1062" t="str" cm="1">
        <f t="array" ref="I1062">_xlfn.IFS(Table_Sales[[#This Row],[quantity]]&lt;=3,"1-3",Table_Sales[[#This Row],[quantity]]&lt;=7,"2-7",Table_Sales[[#This Row],[quantity]]&lt;=10,"8-10",TRUE,"11 and above")</f>
        <v>2-7</v>
      </c>
      <c r="J1062" t="str" cm="1">
        <f t="array" ref="J1062">_xlfn.IFS(Table_Sales[[#This Row],[amount]]&lt;1000,"Under 1000",Table_Sales[[#This Row],[amount]]&lt;3000,"1000 - 2999",Table_Sales[[#This Row],[amount]]&lt;5000,"3000 - 4999",TRUE,"5000 &amp; above")</f>
        <v>Under 1000</v>
      </c>
      <c r="K1062">
        <f>IF(COUNTIFS(INDEX(Table_Sales[order_id],1):Table_Sales[[#This Row],[order_id]],Table_Sales[[#This Row],[order_id]])=1,1,0)</f>
        <v>0</v>
      </c>
      <c r="L106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063" spans="1:12" x14ac:dyDescent="0.25">
      <c r="A1063" t="s">
        <v>224</v>
      </c>
      <c r="B1063" s="1">
        <v>74</v>
      </c>
      <c r="C1063" s="1">
        <v>-51</v>
      </c>
      <c r="D1063">
        <v>3</v>
      </c>
      <c r="E1063" t="s">
        <v>23</v>
      </c>
      <c r="F1063" t="s">
        <v>57</v>
      </c>
      <c r="G1063" t="s">
        <v>28</v>
      </c>
      <c r="H1063">
        <f>IF(Table_Sales[[#This Row],[profit]]&lt;0,1,0)</f>
        <v>1</v>
      </c>
      <c r="I1063" t="str" cm="1">
        <f t="array" ref="I1063">_xlfn.IFS(Table_Sales[[#This Row],[quantity]]&lt;=3,"1-3",Table_Sales[[#This Row],[quantity]]&lt;=7,"2-7",Table_Sales[[#This Row],[quantity]]&lt;=10,"8-10",TRUE,"11 and above")</f>
        <v>1-3</v>
      </c>
      <c r="J1063" t="str" cm="1">
        <f t="array" ref="J1063">_xlfn.IFS(Table_Sales[[#This Row],[amount]]&lt;1000,"Under 1000",Table_Sales[[#This Row],[amount]]&lt;3000,"1000 - 2999",Table_Sales[[#This Row],[amount]]&lt;5000,"3000 - 4999",TRUE,"5000 &amp; above")</f>
        <v>Under 1000</v>
      </c>
      <c r="K1063">
        <f>IF(COUNTIFS(INDEX(Table_Sales[order_id],1):Table_Sales[[#This Row],[order_id]],Table_Sales[[#This Row],[order_id]])=1,1,0)</f>
        <v>0</v>
      </c>
      <c r="L106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064" spans="1:12" x14ac:dyDescent="0.25">
      <c r="A1064" t="s">
        <v>261</v>
      </c>
      <c r="B1064" s="1">
        <v>278</v>
      </c>
      <c r="C1064" s="1">
        <v>39</v>
      </c>
      <c r="D1064">
        <v>5</v>
      </c>
      <c r="E1064" t="s">
        <v>12</v>
      </c>
      <c r="F1064" t="s">
        <v>13</v>
      </c>
      <c r="G1064" t="s">
        <v>82</v>
      </c>
      <c r="H1064">
        <f>IF(Table_Sales[[#This Row],[profit]]&lt;0,1,0)</f>
        <v>0</v>
      </c>
      <c r="I1064" t="str" cm="1">
        <f t="array" ref="I1064">_xlfn.IFS(Table_Sales[[#This Row],[quantity]]&lt;=3,"1-3",Table_Sales[[#This Row],[quantity]]&lt;=7,"2-7",Table_Sales[[#This Row],[quantity]]&lt;=10,"8-10",TRUE,"11 and above")</f>
        <v>2-7</v>
      </c>
      <c r="J1064" t="str" cm="1">
        <f t="array" ref="J1064">_xlfn.IFS(Table_Sales[[#This Row],[amount]]&lt;1000,"Under 1000",Table_Sales[[#This Row],[amount]]&lt;3000,"1000 - 2999",Table_Sales[[#This Row],[amount]]&lt;5000,"3000 - 4999",TRUE,"5000 &amp; above")</f>
        <v>Under 1000</v>
      </c>
      <c r="K1064">
        <f>IF(COUNTIFS(INDEX(Table_Sales[order_id],1):Table_Sales[[#This Row],[order_id]],Table_Sales[[#This Row],[order_id]])=1,1,0)</f>
        <v>0</v>
      </c>
      <c r="L106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065" spans="1:12" x14ac:dyDescent="0.25">
      <c r="A1065" t="s">
        <v>472</v>
      </c>
      <c r="B1065" s="1">
        <v>282</v>
      </c>
      <c r="C1065" s="1">
        <v>14</v>
      </c>
      <c r="D1065">
        <v>4</v>
      </c>
      <c r="E1065" t="s">
        <v>23</v>
      </c>
      <c r="F1065" t="s">
        <v>24</v>
      </c>
      <c r="G1065" t="s">
        <v>82</v>
      </c>
      <c r="H1065">
        <f>IF(Table_Sales[[#This Row],[profit]]&lt;0,1,0)</f>
        <v>0</v>
      </c>
      <c r="I1065" t="str" cm="1">
        <f t="array" ref="I1065">_xlfn.IFS(Table_Sales[[#This Row],[quantity]]&lt;=3,"1-3",Table_Sales[[#This Row],[quantity]]&lt;=7,"2-7",Table_Sales[[#This Row],[quantity]]&lt;=10,"8-10",TRUE,"11 and above")</f>
        <v>2-7</v>
      </c>
      <c r="J1065" t="str" cm="1">
        <f t="array" ref="J1065">_xlfn.IFS(Table_Sales[[#This Row],[amount]]&lt;1000,"Under 1000",Table_Sales[[#This Row],[amount]]&lt;3000,"1000 - 2999",Table_Sales[[#This Row],[amount]]&lt;5000,"3000 - 4999",TRUE,"5000 &amp; above")</f>
        <v>Under 1000</v>
      </c>
      <c r="K1065">
        <f>IF(COUNTIFS(INDEX(Table_Sales[order_id],1):Table_Sales[[#This Row],[order_id]],Table_Sales[[#This Row],[order_id]])=1,1,0)</f>
        <v>1</v>
      </c>
      <c r="L106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066" spans="1:12" x14ac:dyDescent="0.25">
      <c r="A1066" t="s">
        <v>166</v>
      </c>
      <c r="B1066" s="1">
        <v>45</v>
      </c>
      <c r="C1066" s="1">
        <v>0</v>
      </c>
      <c r="D1066">
        <v>2</v>
      </c>
      <c r="E1066" t="s">
        <v>23</v>
      </c>
      <c r="F1066" t="s">
        <v>81</v>
      </c>
      <c r="G1066" t="s">
        <v>10</v>
      </c>
      <c r="H1066">
        <f>IF(Table_Sales[[#This Row],[profit]]&lt;0,1,0)</f>
        <v>0</v>
      </c>
      <c r="I1066" t="str" cm="1">
        <f t="array" ref="I1066">_xlfn.IFS(Table_Sales[[#This Row],[quantity]]&lt;=3,"1-3",Table_Sales[[#This Row],[quantity]]&lt;=7,"2-7",Table_Sales[[#This Row],[quantity]]&lt;=10,"8-10",TRUE,"11 and above")</f>
        <v>1-3</v>
      </c>
      <c r="J1066" t="str" cm="1">
        <f t="array" ref="J1066">_xlfn.IFS(Table_Sales[[#This Row],[amount]]&lt;1000,"Under 1000",Table_Sales[[#This Row],[amount]]&lt;3000,"1000 - 2999",Table_Sales[[#This Row],[amount]]&lt;5000,"3000 - 4999",TRUE,"5000 &amp; above")</f>
        <v>Under 1000</v>
      </c>
      <c r="K1066">
        <f>IF(COUNTIFS(INDEX(Table_Sales[order_id],1):Table_Sales[[#This Row],[order_id]],Table_Sales[[#This Row],[order_id]])=1,1,0)</f>
        <v>0</v>
      </c>
      <c r="L106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067" spans="1:12" x14ac:dyDescent="0.25">
      <c r="A1067" t="s">
        <v>79</v>
      </c>
      <c r="B1067" s="1">
        <v>45</v>
      </c>
      <c r="C1067" s="1">
        <v>6</v>
      </c>
      <c r="D1067">
        <v>3</v>
      </c>
      <c r="E1067" t="s">
        <v>23</v>
      </c>
      <c r="F1067" t="s">
        <v>142</v>
      </c>
      <c r="G1067" t="s">
        <v>10</v>
      </c>
      <c r="H1067">
        <f>IF(Table_Sales[[#This Row],[profit]]&lt;0,1,0)</f>
        <v>0</v>
      </c>
      <c r="I1067" t="str" cm="1">
        <f t="array" ref="I1067">_xlfn.IFS(Table_Sales[[#This Row],[quantity]]&lt;=3,"1-3",Table_Sales[[#This Row],[quantity]]&lt;=7,"2-7",Table_Sales[[#This Row],[quantity]]&lt;=10,"8-10",TRUE,"11 and above")</f>
        <v>1-3</v>
      </c>
      <c r="J1067" t="str" cm="1">
        <f t="array" ref="J1067">_xlfn.IFS(Table_Sales[[#This Row],[amount]]&lt;1000,"Under 1000",Table_Sales[[#This Row],[amount]]&lt;3000,"1000 - 2999",Table_Sales[[#This Row],[amount]]&lt;5000,"3000 - 4999",TRUE,"5000 &amp; above")</f>
        <v>Under 1000</v>
      </c>
      <c r="K1067">
        <f>IF(COUNTIFS(INDEX(Table_Sales[order_id],1):Table_Sales[[#This Row],[order_id]],Table_Sales[[#This Row],[order_id]])=1,1,0)</f>
        <v>0</v>
      </c>
      <c r="L106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068" spans="1:12" x14ac:dyDescent="0.25">
      <c r="A1068" t="s">
        <v>424</v>
      </c>
      <c r="B1068" s="1">
        <v>45</v>
      </c>
      <c r="C1068" s="1">
        <v>16</v>
      </c>
      <c r="D1068">
        <v>3</v>
      </c>
      <c r="E1068" t="s">
        <v>23</v>
      </c>
      <c r="F1068" t="s">
        <v>57</v>
      </c>
      <c r="G1068" t="s">
        <v>10</v>
      </c>
      <c r="H1068">
        <f>IF(Table_Sales[[#This Row],[profit]]&lt;0,1,0)</f>
        <v>0</v>
      </c>
      <c r="I1068" t="str" cm="1">
        <f t="array" ref="I1068">_xlfn.IFS(Table_Sales[[#This Row],[quantity]]&lt;=3,"1-3",Table_Sales[[#This Row],[quantity]]&lt;=7,"2-7",Table_Sales[[#This Row],[quantity]]&lt;=10,"8-10",TRUE,"11 and above")</f>
        <v>1-3</v>
      </c>
      <c r="J1068" t="str" cm="1">
        <f t="array" ref="J1068">_xlfn.IFS(Table_Sales[[#This Row],[amount]]&lt;1000,"Under 1000",Table_Sales[[#This Row],[amount]]&lt;3000,"1000 - 2999",Table_Sales[[#This Row],[amount]]&lt;5000,"3000 - 4999",TRUE,"5000 &amp; above")</f>
        <v>Under 1000</v>
      </c>
      <c r="K1068">
        <f>IF(COUNTIFS(INDEX(Table_Sales[order_id],1):Table_Sales[[#This Row],[order_id]],Table_Sales[[#This Row],[order_id]])=1,1,0)</f>
        <v>0</v>
      </c>
      <c r="L106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069" spans="1:12" x14ac:dyDescent="0.25">
      <c r="A1069" t="s">
        <v>473</v>
      </c>
      <c r="B1069" s="1">
        <v>73</v>
      </c>
      <c r="C1069" s="1">
        <v>-36</v>
      </c>
      <c r="D1069">
        <v>3</v>
      </c>
      <c r="E1069" t="s">
        <v>12</v>
      </c>
      <c r="F1069" t="s">
        <v>13</v>
      </c>
      <c r="G1069" t="s">
        <v>28</v>
      </c>
      <c r="H1069">
        <f>IF(Table_Sales[[#This Row],[profit]]&lt;0,1,0)</f>
        <v>1</v>
      </c>
      <c r="I1069" t="str" cm="1">
        <f t="array" ref="I1069">_xlfn.IFS(Table_Sales[[#This Row],[quantity]]&lt;=3,"1-3",Table_Sales[[#This Row],[quantity]]&lt;=7,"2-7",Table_Sales[[#This Row],[quantity]]&lt;=10,"8-10",TRUE,"11 and above")</f>
        <v>1-3</v>
      </c>
      <c r="J1069" t="str" cm="1">
        <f t="array" ref="J1069">_xlfn.IFS(Table_Sales[[#This Row],[amount]]&lt;1000,"Under 1000",Table_Sales[[#This Row],[amount]]&lt;3000,"1000 - 2999",Table_Sales[[#This Row],[amount]]&lt;5000,"3000 - 4999",TRUE,"5000 &amp; above")</f>
        <v>Under 1000</v>
      </c>
      <c r="K1069">
        <f>IF(COUNTIFS(INDEX(Table_Sales[order_id],1):Table_Sales[[#This Row],[order_id]],Table_Sales[[#This Row],[order_id]])=1,1,0)</f>
        <v>1</v>
      </c>
      <c r="L106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070" spans="1:12" x14ac:dyDescent="0.25">
      <c r="A1070" t="s">
        <v>113</v>
      </c>
      <c r="B1070" s="1">
        <v>45</v>
      </c>
      <c r="C1070" s="1">
        <v>12</v>
      </c>
      <c r="D1070">
        <v>4</v>
      </c>
      <c r="E1070" t="s">
        <v>23</v>
      </c>
      <c r="F1070" t="s">
        <v>30</v>
      </c>
      <c r="G1070" t="s">
        <v>10</v>
      </c>
      <c r="H1070">
        <f>IF(Table_Sales[[#This Row],[profit]]&lt;0,1,0)</f>
        <v>0</v>
      </c>
      <c r="I1070" t="str" cm="1">
        <f t="array" ref="I1070">_xlfn.IFS(Table_Sales[[#This Row],[quantity]]&lt;=3,"1-3",Table_Sales[[#This Row],[quantity]]&lt;=7,"2-7",Table_Sales[[#This Row],[quantity]]&lt;=10,"8-10",TRUE,"11 and above")</f>
        <v>2-7</v>
      </c>
      <c r="J1070" t="str" cm="1">
        <f t="array" ref="J1070">_xlfn.IFS(Table_Sales[[#This Row],[amount]]&lt;1000,"Under 1000",Table_Sales[[#This Row],[amount]]&lt;3000,"1000 - 2999",Table_Sales[[#This Row],[amount]]&lt;5000,"3000 - 4999",TRUE,"5000 &amp; above")</f>
        <v>Under 1000</v>
      </c>
      <c r="K1070">
        <f>IF(COUNTIFS(INDEX(Table_Sales[order_id],1):Table_Sales[[#This Row],[order_id]],Table_Sales[[#This Row],[order_id]])=1,1,0)</f>
        <v>0</v>
      </c>
      <c r="L107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071" spans="1:12" x14ac:dyDescent="0.25">
      <c r="A1071" t="s">
        <v>344</v>
      </c>
      <c r="B1071" s="1">
        <v>72</v>
      </c>
      <c r="C1071" s="1">
        <v>-6</v>
      </c>
      <c r="D1071">
        <v>3</v>
      </c>
      <c r="E1071" t="s">
        <v>23</v>
      </c>
      <c r="F1071" t="s">
        <v>26</v>
      </c>
      <c r="G1071" t="s">
        <v>28</v>
      </c>
      <c r="H1071">
        <f>IF(Table_Sales[[#This Row],[profit]]&lt;0,1,0)</f>
        <v>1</v>
      </c>
      <c r="I1071" t="str" cm="1">
        <f t="array" ref="I1071">_xlfn.IFS(Table_Sales[[#This Row],[quantity]]&lt;=3,"1-3",Table_Sales[[#This Row],[quantity]]&lt;=7,"2-7",Table_Sales[[#This Row],[quantity]]&lt;=10,"8-10",TRUE,"11 and above")</f>
        <v>1-3</v>
      </c>
      <c r="J1071" t="str" cm="1">
        <f t="array" ref="J1071">_xlfn.IFS(Table_Sales[[#This Row],[amount]]&lt;1000,"Under 1000",Table_Sales[[#This Row],[amount]]&lt;3000,"1000 - 2999",Table_Sales[[#This Row],[amount]]&lt;5000,"3000 - 4999",TRUE,"5000 &amp; above")</f>
        <v>Under 1000</v>
      </c>
      <c r="K1071">
        <f>IF(COUNTIFS(INDEX(Table_Sales[order_id],1):Table_Sales[[#This Row],[order_id]],Table_Sales[[#This Row],[order_id]])=1,1,0)</f>
        <v>0</v>
      </c>
      <c r="L107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072" spans="1:12" x14ac:dyDescent="0.25">
      <c r="A1072" t="s">
        <v>403</v>
      </c>
      <c r="B1072" s="1">
        <v>71</v>
      </c>
      <c r="C1072" s="1">
        <v>-44</v>
      </c>
      <c r="D1072">
        <v>5</v>
      </c>
      <c r="E1072" t="s">
        <v>8</v>
      </c>
      <c r="F1072" t="s">
        <v>73</v>
      </c>
      <c r="G1072" t="s">
        <v>28</v>
      </c>
      <c r="H1072">
        <f>IF(Table_Sales[[#This Row],[profit]]&lt;0,1,0)</f>
        <v>1</v>
      </c>
      <c r="I1072" t="str" cm="1">
        <f t="array" ref="I1072">_xlfn.IFS(Table_Sales[[#This Row],[quantity]]&lt;=3,"1-3",Table_Sales[[#This Row],[quantity]]&lt;=7,"2-7",Table_Sales[[#This Row],[quantity]]&lt;=10,"8-10",TRUE,"11 and above")</f>
        <v>2-7</v>
      </c>
      <c r="J1072" t="str" cm="1">
        <f t="array" ref="J1072">_xlfn.IFS(Table_Sales[[#This Row],[amount]]&lt;1000,"Under 1000",Table_Sales[[#This Row],[amount]]&lt;3000,"1000 - 2999",Table_Sales[[#This Row],[amount]]&lt;5000,"3000 - 4999",TRUE,"5000 &amp; above")</f>
        <v>Under 1000</v>
      </c>
      <c r="K1072">
        <f>IF(COUNTIFS(INDEX(Table_Sales[order_id],1):Table_Sales[[#This Row],[order_id]],Table_Sales[[#This Row],[order_id]])=1,1,0)</f>
        <v>0</v>
      </c>
      <c r="L107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073" spans="1:12" x14ac:dyDescent="0.25">
      <c r="A1073" t="s">
        <v>461</v>
      </c>
      <c r="B1073" s="1">
        <v>45</v>
      </c>
      <c r="C1073" s="1">
        <v>-2</v>
      </c>
      <c r="D1073">
        <v>4</v>
      </c>
      <c r="E1073" t="s">
        <v>23</v>
      </c>
      <c r="F1073" t="s">
        <v>142</v>
      </c>
      <c r="G1073" t="s">
        <v>10</v>
      </c>
      <c r="H1073">
        <f>IF(Table_Sales[[#This Row],[profit]]&lt;0,1,0)</f>
        <v>1</v>
      </c>
      <c r="I1073" t="str" cm="1">
        <f t="array" ref="I1073">_xlfn.IFS(Table_Sales[[#This Row],[quantity]]&lt;=3,"1-3",Table_Sales[[#This Row],[quantity]]&lt;=7,"2-7",Table_Sales[[#This Row],[quantity]]&lt;=10,"8-10",TRUE,"11 and above")</f>
        <v>2-7</v>
      </c>
      <c r="J1073" t="str" cm="1">
        <f t="array" ref="J1073">_xlfn.IFS(Table_Sales[[#This Row],[amount]]&lt;1000,"Under 1000",Table_Sales[[#This Row],[amount]]&lt;3000,"1000 - 2999",Table_Sales[[#This Row],[amount]]&lt;5000,"3000 - 4999",TRUE,"5000 &amp; above")</f>
        <v>Under 1000</v>
      </c>
      <c r="K1073">
        <f>IF(COUNTIFS(INDEX(Table_Sales[order_id],1):Table_Sales[[#This Row],[order_id]],Table_Sales[[#This Row],[order_id]])=1,1,0)</f>
        <v>0</v>
      </c>
      <c r="L107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074" spans="1:12" x14ac:dyDescent="0.25">
      <c r="A1074" t="s">
        <v>173</v>
      </c>
      <c r="B1074" s="1">
        <v>286</v>
      </c>
      <c r="C1074" s="1">
        <v>140</v>
      </c>
      <c r="D1074">
        <v>6</v>
      </c>
      <c r="E1074" t="s">
        <v>23</v>
      </c>
      <c r="F1074" t="s">
        <v>142</v>
      </c>
      <c r="G1074" t="s">
        <v>82</v>
      </c>
      <c r="H1074">
        <f>IF(Table_Sales[[#This Row],[profit]]&lt;0,1,0)</f>
        <v>0</v>
      </c>
      <c r="I1074" t="str" cm="1">
        <f t="array" ref="I1074">_xlfn.IFS(Table_Sales[[#This Row],[quantity]]&lt;=3,"1-3",Table_Sales[[#This Row],[quantity]]&lt;=7,"2-7",Table_Sales[[#This Row],[quantity]]&lt;=10,"8-10",TRUE,"11 and above")</f>
        <v>2-7</v>
      </c>
      <c r="J1074" t="str" cm="1">
        <f t="array" ref="J1074">_xlfn.IFS(Table_Sales[[#This Row],[amount]]&lt;1000,"Under 1000",Table_Sales[[#This Row],[amount]]&lt;3000,"1000 - 2999",Table_Sales[[#This Row],[amount]]&lt;5000,"3000 - 4999",TRUE,"5000 &amp; above")</f>
        <v>Under 1000</v>
      </c>
      <c r="K1074">
        <f>IF(COUNTIFS(INDEX(Table_Sales[order_id],1):Table_Sales[[#This Row],[order_id]],Table_Sales[[#This Row],[order_id]])=1,1,0)</f>
        <v>0</v>
      </c>
      <c r="L107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075" spans="1:12" x14ac:dyDescent="0.25">
      <c r="A1075" t="s">
        <v>474</v>
      </c>
      <c r="B1075" s="1">
        <v>294</v>
      </c>
      <c r="C1075" s="1">
        <v>138</v>
      </c>
      <c r="D1075">
        <v>2</v>
      </c>
      <c r="E1075" t="s">
        <v>8</v>
      </c>
      <c r="F1075" t="s">
        <v>18</v>
      </c>
      <c r="G1075" t="s">
        <v>82</v>
      </c>
      <c r="H1075">
        <f>IF(Table_Sales[[#This Row],[profit]]&lt;0,1,0)</f>
        <v>0</v>
      </c>
      <c r="I1075" t="str" cm="1">
        <f t="array" ref="I1075">_xlfn.IFS(Table_Sales[[#This Row],[quantity]]&lt;=3,"1-3",Table_Sales[[#This Row],[quantity]]&lt;=7,"2-7",Table_Sales[[#This Row],[quantity]]&lt;=10,"8-10",TRUE,"11 and above")</f>
        <v>1-3</v>
      </c>
      <c r="J1075" t="str" cm="1">
        <f t="array" ref="J1075">_xlfn.IFS(Table_Sales[[#This Row],[amount]]&lt;1000,"Under 1000",Table_Sales[[#This Row],[amount]]&lt;3000,"1000 - 2999",Table_Sales[[#This Row],[amount]]&lt;5000,"3000 - 4999",TRUE,"5000 &amp; above")</f>
        <v>Under 1000</v>
      </c>
      <c r="K1075">
        <f>IF(COUNTIFS(INDEX(Table_Sales[order_id],1):Table_Sales[[#This Row],[order_id]],Table_Sales[[#This Row],[order_id]])=1,1,0)</f>
        <v>1</v>
      </c>
      <c r="L107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076" spans="1:12" x14ac:dyDescent="0.25">
      <c r="A1076" t="s">
        <v>159</v>
      </c>
      <c r="B1076" s="1">
        <v>223</v>
      </c>
      <c r="C1076" s="1">
        <v>4</v>
      </c>
      <c r="D1076">
        <v>3</v>
      </c>
      <c r="E1076" t="s">
        <v>8</v>
      </c>
      <c r="F1076" t="s">
        <v>21</v>
      </c>
      <c r="G1076" t="s">
        <v>10</v>
      </c>
      <c r="H1076">
        <f>IF(Table_Sales[[#This Row],[profit]]&lt;0,1,0)</f>
        <v>0</v>
      </c>
      <c r="I1076" t="str" cm="1">
        <f t="array" ref="I1076">_xlfn.IFS(Table_Sales[[#This Row],[quantity]]&lt;=3,"1-3",Table_Sales[[#This Row],[quantity]]&lt;=7,"2-7",Table_Sales[[#This Row],[quantity]]&lt;=10,"8-10",TRUE,"11 and above")</f>
        <v>1-3</v>
      </c>
      <c r="J1076" t="str" cm="1">
        <f t="array" ref="J1076">_xlfn.IFS(Table_Sales[[#This Row],[amount]]&lt;1000,"Under 1000",Table_Sales[[#This Row],[amount]]&lt;3000,"1000 - 2999",Table_Sales[[#This Row],[amount]]&lt;5000,"3000 - 4999",TRUE,"5000 &amp; above")</f>
        <v>Under 1000</v>
      </c>
      <c r="K1076">
        <f>IF(COUNTIFS(INDEX(Table_Sales[order_id],1):Table_Sales[[#This Row],[order_id]],Table_Sales[[#This Row],[order_id]])=1,1,0)</f>
        <v>0</v>
      </c>
      <c r="L107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077" spans="1:12" x14ac:dyDescent="0.25">
      <c r="A1077" t="s">
        <v>475</v>
      </c>
      <c r="B1077" s="1">
        <v>20</v>
      </c>
      <c r="C1077" s="1">
        <v>-2</v>
      </c>
      <c r="D1077">
        <v>1</v>
      </c>
      <c r="E1077" t="s">
        <v>8</v>
      </c>
      <c r="F1077" t="s">
        <v>73</v>
      </c>
      <c r="G1077" t="s">
        <v>28</v>
      </c>
      <c r="H1077">
        <f>IF(Table_Sales[[#This Row],[profit]]&lt;0,1,0)</f>
        <v>1</v>
      </c>
      <c r="I1077" t="str" cm="1">
        <f t="array" ref="I1077">_xlfn.IFS(Table_Sales[[#This Row],[quantity]]&lt;=3,"1-3",Table_Sales[[#This Row],[quantity]]&lt;=7,"2-7",Table_Sales[[#This Row],[quantity]]&lt;=10,"8-10",TRUE,"11 and above")</f>
        <v>1-3</v>
      </c>
      <c r="J1077" t="str" cm="1">
        <f t="array" ref="J1077">_xlfn.IFS(Table_Sales[[#This Row],[amount]]&lt;1000,"Under 1000",Table_Sales[[#This Row],[amount]]&lt;3000,"1000 - 2999",Table_Sales[[#This Row],[amount]]&lt;5000,"3000 - 4999",TRUE,"5000 &amp; above")</f>
        <v>Under 1000</v>
      </c>
      <c r="K1077">
        <f>IF(COUNTIFS(INDEX(Table_Sales[order_id],1):Table_Sales[[#This Row],[order_id]],Table_Sales[[#This Row],[order_id]])=1,1,0)</f>
        <v>1</v>
      </c>
      <c r="L107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078" spans="1:12" x14ac:dyDescent="0.25">
      <c r="A1078" t="s">
        <v>275</v>
      </c>
      <c r="B1078" s="1">
        <v>302</v>
      </c>
      <c r="C1078" s="1">
        <v>75</v>
      </c>
      <c r="D1078">
        <v>6</v>
      </c>
      <c r="E1078" t="s">
        <v>12</v>
      </c>
      <c r="F1078" t="s">
        <v>131</v>
      </c>
      <c r="G1078" t="s">
        <v>82</v>
      </c>
      <c r="H1078">
        <f>IF(Table_Sales[[#This Row],[profit]]&lt;0,1,0)</f>
        <v>0</v>
      </c>
      <c r="I1078" t="str" cm="1">
        <f t="array" ref="I1078">_xlfn.IFS(Table_Sales[[#This Row],[quantity]]&lt;=3,"1-3",Table_Sales[[#This Row],[quantity]]&lt;=7,"2-7",Table_Sales[[#This Row],[quantity]]&lt;=10,"8-10",TRUE,"11 and above")</f>
        <v>2-7</v>
      </c>
      <c r="J1078" t="str" cm="1">
        <f t="array" ref="J1078">_xlfn.IFS(Table_Sales[[#This Row],[amount]]&lt;1000,"Under 1000",Table_Sales[[#This Row],[amount]]&lt;3000,"1000 - 2999",Table_Sales[[#This Row],[amount]]&lt;5000,"3000 - 4999",TRUE,"5000 &amp; above")</f>
        <v>Under 1000</v>
      </c>
      <c r="K1078">
        <f>IF(COUNTIFS(INDEX(Table_Sales[order_id],1):Table_Sales[[#This Row],[order_id]],Table_Sales[[#This Row],[order_id]])=1,1,0)</f>
        <v>0</v>
      </c>
      <c r="L107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079" spans="1:12" x14ac:dyDescent="0.25">
      <c r="A1079" t="s">
        <v>301</v>
      </c>
      <c r="B1079" s="1">
        <v>113</v>
      </c>
      <c r="C1079" s="1">
        <v>28</v>
      </c>
      <c r="D1079">
        <v>2</v>
      </c>
      <c r="E1079" t="s">
        <v>23</v>
      </c>
      <c r="F1079" t="s">
        <v>26</v>
      </c>
      <c r="G1079" t="s">
        <v>28</v>
      </c>
      <c r="H1079">
        <f>IF(Table_Sales[[#This Row],[profit]]&lt;0,1,0)</f>
        <v>0</v>
      </c>
      <c r="I1079" t="str" cm="1">
        <f t="array" ref="I1079">_xlfn.IFS(Table_Sales[[#This Row],[quantity]]&lt;=3,"1-3",Table_Sales[[#This Row],[quantity]]&lt;=7,"2-7",Table_Sales[[#This Row],[quantity]]&lt;=10,"8-10",TRUE,"11 and above")</f>
        <v>1-3</v>
      </c>
      <c r="J1079" t="str" cm="1">
        <f t="array" ref="J1079">_xlfn.IFS(Table_Sales[[#This Row],[amount]]&lt;1000,"Under 1000",Table_Sales[[#This Row],[amount]]&lt;3000,"1000 - 2999",Table_Sales[[#This Row],[amount]]&lt;5000,"3000 - 4999",TRUE,"5000 &amp; above")</f>
        <v>Under 1000</v>
      </c>
      <c r="K1079">
        <f>IF(COUNTIFS(INDEX(Table_Sales[order_id],1):Table_Sales[[#This Row],[order_id]],Table_Sales[[#This Row],[order_id]])=1,1,0)</f>
        <v>0</v>
      </c>
      <c r="L107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080" spans="1:12" x14ac:dyDescent="0.25">
      <c r="A1080" t="s">
        <v>132</v>
      </c>
      <c r="B1080" s="1">
        <v>44</v>
      </c>
      <c r="C1080" s="1">
        <v>2</v>
      </c>
      <c r="D1080">
        <v>3</v>
      </c>
      <c r="E1080" t="s">
        <v>23</v>
      </c>
      <c r="F1080" t="s">
        <v>30</v>
      </c>
      <c r="G1080" t="s">
        <v>10</v>
      </c>
      <c r="H1080">
        <f>IF(Table_Sales[[#This Row],[profit]]&lt;0,1,0)</f>
        <v>0</v>
      </c>
      <c r="I1080" t="str" cm="1">
        <f t="array" ref="I1080">_xlfn.IFS(Table_Sales[[#This Row],[quantity]]&lt;=3,"1-3",Table_Sales[[#This Row],[quantity]]&lt;=7,"2-7",Table_Sales[[#This Row],[quantity]]&lt;=10,"8-10",TRUE,"11 and above")</f>
        <v>1-3</v>
      </c>
      <c r="J1080" t="str" cm="1">
        <f t="array" ref="J1080">_xlfn.IFS(Table_Sales[[#This Row],[amount]]&lt;1000,"Under 1000",Table_Sales[[#This Row],[amount]]&lt;3000,"1000 - 2999",Table_Sales[[#This Row],[amount]]&lt;5000,"3000 - 4999",TRUE,"5000 &amp; above")</f>
        <v>Under 1000</v>
      </c>
      <c r="K1080">
        <f>IF(COUNTIFS(INDEX(Table_Sales[order_id],1):Table_Sales[[#This Row],[order_id]],Table_Sales[[#This Row],[order_id]])=1,1,0)</f>
        <v>0</v>
      </c>
      <c r="L108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081" spans="1:12" x14ac:dyDescent="0.25">
      <c r="A1081" t="s">
        <v>476</v>
      </c>
      <c r="B1081" s="1">
        <v>305</v>
      </c>
      <c r="C1081" s="1">
        <v>-270</v>
      </c>
      <c r="D1081">
        <v>5</v>
      </c>
      <c r="E1081" t="s">
        <v>8</v>
      </c>
      <c r="F1081" t="s">
        <v>9</v>
      </c>
      <c r="G1081" t="s">
        <v>82</v>
      </c>
      <c r="H1081">
        <f>IF(Table_Sales[[#This Row],[profit]]&lt;0,1,0)</f>
        <v>1</v>
      </c>
      <c r="I1081" t="str" cm="1">
        <f t="array" ref="I1081">_xlfn.IFS(Table_Sales[[#This Row],[quantity]]&lt;=3,"1-3",Table_Sales[[#This Row],[quantity]]&lt;=7,"2-7",Table_Sales[[#This Row],[quantity]]&lt;=10,"8-10",TRUE,"11 and above")</f>
        <v>2-7</v>
      </c>
      <c r="J1081" t="str" cm="1">
        <f t="array" ref="J1081">_xlfn.IFS(Table_Sales[[#This Row],[amount]]&lt;1000,"Under 1000",Table_Sales[[#This Row],[amount]]&lt;3000,"1000 - 2999",Table_Sales[[#This Row],[amount]]&lt;5000,"3000 - 4999",TRUE,"5000 &amp; above")</f>
        <v>Under 1000</v>
      </c>
      <c r="K1081">
        <f>IF(COUNTIFS(INDEX(Table_Sales[order_id],1):Table_Sales[[#This Row],[order_id]],Table_Sales[[#This Row],[order_id]])=1,1,0)</f>
        <v>1</v>
      </c>
      <c r="L108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082" spans="1:12" x14ac:dyDescent="0.25">
      <c r="A1082" t="s">
        <v>469</v>
      </c>
      <c r="B1082" s="1">
        <v>306</v>
      </c>
      <c r="C1082" s="1">
        <v>-147</v>
      </c>
      <c r="D1082">
        <v>3</v>
      </c>
      <c r="E1082" t="s">
        <v>23</v>
      </c>
      <c r="F1082" t="s">
        <v>26</v>
      </c>
      <c r="G1082" t="s">
        <v>82</v>
      </c>
      <c r="H1082">
        <f>IF(Table_Sales[[#This Row],[profit]]&lt;0,1,0)</f>
        <v>1</v>
      </c>
      <c r="I1082" t="str" cm="1">
        <f t="array" ref="I1082">_xlfn.IFS(Table_Sales[[#This Row],[quantity]]&lt;=3,"1-3",Table_Sales[[#This Row],[quantity]]&lt;=7,"2-7",Table_Sales[[#This Row],[quantity]]&lt;=10,"8-10",TRUE,"11 and above")</f>
        <v>1-3</v>
      </c>
      <c r="J1082" t="str" cm="1">
        <f t="array" ref="J1082">_xlfn.IFS(Table_Sales[[#This Row],[amount]]&lt;1000,"Under 1000",Table_Sales[[#This Row],[amount]]&lt;3000,"1000 - 2999",Table_Sales[[#This Row],[amount]]&lt;5000,"3000 - 4999",TRUE,"5000 &amp; above")</f>
        <v>Under 1000</v>
      </c>
      <c r="K1082">
        <f>IF(COUNTIFS(INDEX(Table_Sales[order_id],1):Table_Sales[[#This Row],[order_id]],Table_Sales[[#This Row],[order_id]])=1,1,0)</f>
        <v>0</v>
      </c>
      <c r="L108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083" spans="1:12" x14ac:dyDescent="0.25">
      <c r="A1083" t="s">
        <v>272</v>
      </c>
      <c r="B1083" s="1">
        <v>70</v>
      </c>
      <c r="C1083" s="1">
        <v>-64</v>
      </c>
      <c r="D1083">
        <v>5</v>
      </c>
      <c r="E1083" t="s">
        <v>23</v>
      </c>
      <c r="F1083" t="s">
        <v>57</v>
      </c>
      <c r="G1083" t="s">
        <v>28</v>
      </c>
      <c r="H1083">
        <f>IF(Table_Sales[[#This Row],[profit]]&lt;0,1,0)</f>
        <v>1</v>
      </c>
      <c r="I1083" t="str" cm="1">
        <f t="array" ref="I1083">_xlfn.IFS(Table_Sales[[#This Row],[quantity]]&lt;=3,"1-3",Table_Sales[[#This Row],[quantity]]&lt;=7,"2-7",Table_Sales[[#This Row],[quantity]]&lt;=10,"8-10",TRUE,"11 and above")</f>
        <v>2-7</v>
      </c>
      <c r="J1083" t="str" cm="1">
        <f t="array" ref="J1083">_xlfn.IFS(Table_Sales[[#This Row],[amount]]&lt;1000,"Under 1000",Table_Sales[[#This Row],[amount]]&lt;3000,"1000 - 2999",Table_Sales[[#This Row],[amount]]&lt;5000,"3000 - 4999",TRUE,"5000 &amp; above")</f>
        <v>Under 1000</v>
      </c>
      <c r="K1083">
        <f>IF(COUNTIFS(INDEX(Table_Sales[order_id],1):Table_Sales[[#This Row],[order_id]],Table_Sales[[#This Row],[order_id]])=1,1,0)</f>
        <v>0</v>
      </c>
      <c r="L108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084" spans="1:12" x14ac:dyDescent="0.25">
      <c r="A1084" t="s">
        <v>281</v>
      </c>
      <c r="B1084" s="1">
        <v>44</v>
      </c>
      <c r="C1084" s="1">
        <v>11</v>
      </c>
      <c r="D1084">
        <v>4</v>
      </c>
      <c r="E1084" t="s">
        <v>23</v>
      </c>
      <c r="F1084" t="s">
        <v>57</v>
      </c>
      <c r="G1084" t="s">
        <v>10</v>
      </c>
      <c r="H1084">
        <f>IF(Table_Sales[[#This Row],[profit]]&lt;0,1,0)</f>
        <v>0</v>
      </c>
      <c r="I1084" t="str" cm="1">
        <f t="array" ref="I1084">_xlfn.IFS(Table_Sales[[#This Row],[quantity]]&lt;=3,"1-3",Table_Sales[[#This Row],[quantity]]&lt;=7,"2-7",Table_Sales[[#This Row],[quantity]]&lt;=10,"8-10",TRUE,"11 and above")</f>
        <v>2-7</v>
      </c>
      <c r="J1084" t="str" cm="1">
        <f t="array" ref="J1084">_xlfn.IFS(Table_Sales[[#This Row],[amount]]&lt;1000,"Under 1000",Table_Sales[[#This Row],[amount]]&lt;3000,"1000 - 2999",Table_Sales[[#This Row],[amount]]&lt;5000,"3000 - 4999",TRUE,"5000 &amp; above")</f>
        <v>Under 1000</v>
      </c>
      <c r="K1084">
        <f>IF(COUNTIFS(INDEX(Table_Sales[order_id],1):Table_Sales[[#This Row],[order_id]],Table_Sales[[#This Row],[order_id]])=1,1,0)</f>
        <v>0</v>
      </c>
      <c r="L108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085" spans="1:12" x14ac:dyDescent="0.25">
      <c r="A1085" t="s">
        <v>133</v>
      </c>
      <c r="B1085" s="1">
        <v>44</v>
      </c>
      <c r="C1085" s="1">
        <v>14</v>
      </c>
      <c r="D1085">
        <v>3</v>
      </c>
      <c r="E1085" t="s">
        <v>23</v>
      </c>
      <c r="F1085" t="s">
        <v>30</v>
      </c>
      <c r="G1085" t="s">
        <v>10</v>
      </c>
      <c r="H1085">
        <f>IF(Table_Sales[[#This Row],[profit]]&lt;0,1,0)</f>
        <v>0</v>
      </c>
      <c r="I1085" t="str" cm="1">
        <f t="array" ref="I1085">_xlfn.IFS(Table_Sales[[#This Row],[quantity]]&lt;=3,"1-3",Table_Sales[[#This Row],[quantity]]&lt;=7,"2-7",Table_Sales[[#This Row],[quantity]]&lt;=10,"8-10",TRUE,"11 and above")</f>
        <v>1-3</v>
      </c>
      <c r="J1085" t="str" cm="1">
        <f t="array" ref="J1085">_xlfn.IFS(Table_Sales[[#This Row],[amount]]&lt;1000,"Under 1000",Table_Sales[[#This Row],[amount]]&lt;3000,"1000 - 2999",Table_Sales[[#This Row],[amount]]&lt;5000,"3000 - 4999",TRUE,"5000 &amp; above")</f>
        <v>Under 1000</v>
      </c>
      <c r="K1085">
        <f>IF(COUNTIFS(INDEX(Table_Sales[order_id],1):Table_Sales[[#This Row],[order_id]],Table_Sales[[#This Row],[order_id]])=1,1,0)</f>
        <v>0</v>
      </c>
      <c r="L108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086" spans="1:12" x14ac:dyDescent="0.25">
      <c r="A1086" t="s">
        <v>54</v>
      </c>
      <c r="B1086" s="1">
        <v>319</v>
      </c>
      <c r="C1086" s="1">
        <v>312</v>
      </c>
      <c r="D1086">
        <v>5</v>
      </c>
      <c r="E1086" t="s">
        <v>23</v>
      </c>
      <c r="F1086" t="s">
        <v>26</v>
      </c>
      <c r="G1086" t="s">
        <v>82</v>
      </c>
      <c r="H1086">
        <f>IF(Table_Sales[[#This Row],[profit]]&lt;0,1,0)</f>
        <v>0</v>
      </c>
      <c r="I1086" t="str" cm="1">
        <f t="array" ref="I1086">_xlfn.IFS(Table_Sales[[#This Row],[quantity]]&lt;=3,"1-3",Table_Sales[[#This Row],[quantity]]&lt;=7,"2-7",Table_Sales[[#This Row],[quantity]]&lt;=10,"8-10",TRUE,"11 and above")</f>
        <v>2-7</v>
      </c>
      <c r="J1086" t="str" cm="1">
        <f t="array" ref="J1086">_xlfn.IFS(Table_Sales[[#This Row],[amount]]&lt;1000,"Under 1000",Table_Sales[[#This Row],[amount]]&lt;3000,"1000 - 2999",Table_Sales[[#This Row],[amount]]&lt;5000,"3000 - 4999",TRUE,"5000 &amp; above")</f>
        <v>Under 1000</v>
      </c>
      <c r="K1086">
        <f>IF(COUNTIFS(INDEX(Table_Sales[order_id],1):Table_Sales[[#This Row],[order_id]],Table_Sales[[#This Row],[order_id]])=1,1,0)</f>
        <v>0</v>
      </c>
      <c r="L108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087" spans="1:12" x14ac:dyDescent="0.25">
      <c r="A1087" t="s">
        <v>249</v>
      </c>
      <c r="B1087" s="1">
        <v>287</v>
      </c>
      <c r="C1087" s="1">
        <v>-280</v>
      </c>
      <c r="D1087">
        <v>12</v>
      </c>
      <c r="E1087" t="s">
        <v>12</v>
      </c>
      <c r="F1087" t="s">
        <v>13</v>
      </c>
      <c r="G1087" t="s">
        <v>28</v>
      </c>
      <c r="H1087">
        <f>IF(Table_Sales[[#This Row],[profit]]&lt;0,1,0)</f>
        <v>1</v>
      </c>
      <c r="I1087" t="str" cm="1">
        <f t="array" ref="I1087">_xlfn.IFS(Table_Sales[[#This Row],[quantity]]&lt;=3,"1-3",Table_Sales[[#This Row],[quantity]]&lt;=7,"2-7",Table_Sales[[#This Row],[quantity]]&lt;=10,"8-10",TRUE,"11 and above")</f>
        <v>11 and above</v>
      </c>
      <c r="J1087" t="str" cm="1">
        <f t="array" ref="J1087">_xlfn.IFS(Table_Sales[[#This Row],[amount]]&lt;1000,"Under 1000",Table_Sales[[#This Row],[amount]]&lt;3000,"1000 - 2999",Table_Sales[[#This Row],[amount]]&lt;5000,"3000 - 4999",TRUE,"5000 &amp; above")</f>
        <v>Under 1000</v>
      </c>
      <c r="K1087">
        <f>IF(COUNTIFS(INDEX(Table_Sales[order_id],1):Table_Sales[[#This Row],[order_id]],Table_Sales[[#This Row],[order_id]])=1,1,0)</f>
        <v>0</v>
      </c>
      <c r="L108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088" spans="1:12" x14ac:dyDescent="0.25">
      <c r="A1088" t="s">
        <v>328</v>
      </c>
      <c r="B1088" s="1">
        <v>44</v>
      </c>
      <c r="C1088" s="1">
        <v>10</v>
      </c>
      <c r="D1088">
        <v>3</v>
      </c>
      <c r="E1088" t="s">
        <v>23</v>
      </c>
      <c r="F1088" t="s">
        <v>57</v>
      </c>
      <c r="G1088" t="s">
        <v>10</v>
      </c>
      <c r="H1088">
        <f>IF(Table_Sales[[#This Row],[profit]]&lt;0,1,0)</f>
        <v>0</v>
      </c>
      <c r="I1088" t="str" cm="1">
        <f t="array" ref="I1088">_xlfn.IFS(Table_Sales[[#This Row],[quantity]]&lt;=3,"1-3",Table_Sales[[#This Row],[quantity]]&lt;=7,"2-7",Table_Sales[[#This Row],[quantity]]&lt;=10,"8-10",TRUE,"11 and above")</f>
        <v>1-3</v>
      </c>
      <c r="J1088" t="str" cm="1">
        <f t="array" ref="J1088">_xlfn.IFS(Table_Sales[[#This Row],[amount]]&lt;1000,"Under 1000",Table_Sales[[#This Row],[amount]]&lt;3000,"1000 - 2999",Table_Sales[[#This Row],[amount]]&lt;5000,"3000 - 4999",TRUE,"5000 &amp; above")</f>
        <v>Under 1000</v>
      </c>
      <c r="K1088">
        <f>IF(COUNTIFS(INDEX(Table_Sales[order_id],1):Table_Sales[[#This Row],[order_id]],Table_Sales[[#This Row],[order_id]])=1,1,0)</f>
        <v>0</v>
      </c>
      <c r="L108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089" spans="1:12" x14ac:dyDescent="0.25">
      <c r="A1089" t="s">
        <v>143</v>
      </c>
      <c r="B1089" s="1">
        <v>288</v>
      </c>
      <c r="C1089" s="1">
        <v>-180</v>
      </c>
      <c r="D1089">
        <v>4</v>
      </c>
      <c r="E1089" t="s">
        <v>12</v>
      </c>
      <c r="F1089" t="s">
        <v>13</v>
      </c>
      <c r="G1089" t="s">
        <v>10</v>
      </c>
      <c r="H1089">
        <f>IF(Table_Sales[[#This Row],[profit]]&lt;0,1,0)</f>
        <v>1</v>
      </c>
      <c r="I1089" t="str" cm="1">
        <f t="array" ref="I1089">_xlfn.IFS(Table_Sales[[#This Row],[quantity]]&lt;=3,"1-3",Table_Sales[[#This Row],[quantity]]&lt;=7,"2-7",Table_Sales[[#This Row],[quantity]]&lt;=10,"8-10",TRUE,"11 and above")</f>
        <v>2-7</v>
      </c>
      <c r="J1089" t="str" cm="1">
        <f t="array" ref="J1089">_xlfn.IFS(Table_Sales[[#This Row],[amount]]&lt;1000,"Under 1000",Table_Sales[[#This Row],[amount]]&lt;3000,"1000 - 2999",Table_Sales[[#This Row],[amount]]&lt;5000,"3000 - 4999",TRUE,"5000 &amp; above")</f>
        <v>Under 1000</v>
      </c>
      <c r="K1089">
        <f>IF(COUNTIFS(INDEX(Table_Sales[order_id],1):Table_Sales[[#This Row],[order_id]],Table_Sales[[#This Row],[order_id]])=1,1,0)</f>
        <v>0</v>
      </c>
      <c r="L108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090" spans="1:12" x14ac:dyDescent="0.25">
      <c r="A1090" t="s">
        <v>80</v>
      </c>
      <c r="B1090" s="1">
        <v>49</v>
      </c>
      <c r="C1090" s="1">
        <v>-31</v>
      </c>
      <c r="D1090">
        <v>2</v>
      </c>
      <c r="E1090" t="s">
        <v>23</v>
      </c>
      <c r="F1090" t="s">
        <v>57</v>
      </c>
      <c r="G1090" t="s">
        <v>10</v>
      </c>
      <c r="H1090">
        <f>IF(Table_Sales[[#This Row],[profit]]&lt;0,1,0)</f>
        <v>1</v>
      </c>
      <c r="I1090" t="str" cm="1">
        <f t="array" ref="I1090">_xlfn.IFS(Table_Sales[[#This Row],[quantity]]&lt;=3,"1-3",Table_Sales[[#This Row],[quantity]]&lt;=7,"2-7",Table_Sales[[#This Row],[quantity]]&lt;=10,"8-10",TRUE,"11 and above")</f>
        <v>1-3</v>
      </c>
      <c r="J1090" t="str" cm="1">
        <f t="array" ref="J1090">_xlfn.IFS(Table_Sales[[#This Row],[amount]]&lt;1000,"Under 1000",Table_Sales[[#This Row],[amount]]&lt;3000,"1000 - 2999",Table_Sales[[#This Row],[amount]]&lt;5000,"3000 - 4999",TRUE,"5000 &amp; above")</f>
        <v>Under 1000</v>
      </c>
      <c r="K1090">
        <f>IF(COUNTIFS(INDEX(Table_Sales[order_id],1):Table_Sales[[#This Row],[order_id]],Table_Sales[[#This Row],[order_id]])=1,1,0)</f>
        <v>0</v>
      </c>
      <c r="L109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091" spans="1:12" x14ac:dyDescent="0.25">
      <c r="A1091" t="s">
        <v>192</v>
      </c>
      <c r="B1091" s="1">
        <v>43</v>
      </c>
      <c r="C1091" s="1">
        <v>-10</v>
      </c>
      <c r="D1091">
        <v>4</v>
      </c>
      <c r="E1091" t="s">
        <v>23</v>
      </c>
      <c r="F1091" t="s">
        <v>43</v>
      </c>
      <c r="G1091" t="s">
        <v>10</v>
      </c>
      <c r="H1091">
        <f>IF(Table_Sales[[#This Row],[profit]]&lt;0,1,0)</f>
        <v>1</v>
      </c>
      <c r="I1091" t="str" cm="1">
        <f t="array" ref="I1091">_xlfn.IFS(Table_Sales[[#This Row],[quantity]]&lt;=3,"1-3",Table_Sales[[#This Row],[quantity]]&lt;=7,"2-7",Table_Sales[[#This Row],[quantity]]&lt;=10,"8-10",TRUE,"11 and above")</f>
        <v>2-7</v>
      </c>
      <c r="J1091" t="str" cm="1">
        <f t="array" ref="J1091">_xlfn.IFS(Table_Sales[[#This Row],[amount]]&lt;1000,"Under 1000",Table_Sales[[#This Row],[amount]]&lt;3000,"1000 - 2999",Table_Sales[[#This Row],[amount]]&lt;5000,"3000 - 4999",TRUE,"5000 &amp; above")</f>
        <v>Under 1000</v>
      </c>
      <c r="K1091">
        <f>IF(COUNTIFS(INDEX(Table_Sales[order_id],1):Table_Sales[[#This Row],[order_id]],Table_Sales[[#This Row],[order_id]])=1,1,0)</f>
        <v>0</v>
      </c>
      <c r="L109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092" spans="1:12" x14ac:dyDescent="0.25">
      <c r="A1092" t="s">
        <v>185</v>
      </c>
      <c r="B1092" s="1">
        <v>43</v>
      </c>
      <c r="C1092" s="1">
        <v>5</v>
      </c>
      <c r="D1092">
        <v>3</v>
      </c>
      <c r="E1092" t="s">
        <v>23</v>
      </c>
      <c r="F1092" t="s">
        <v>57</v>
      </c>
      <c r="G1092" t="s">
        <v>10</v>
      </c>
      <c r="H1092">
        <f>IF(Table_Sales[[#This Row],[profit]]&lt;0,1,0)</f>
        <v>0</v>
      </c>
      <c r="I1092" t="str" cm="1">
        <f t="array" ref="I1092">_xlfn.IFS(Table_Sales[[#This Row],[quantity]]&lt;=3,"1-3",Table_Sales[[#This Row],[quantity]]&lt;=7,"2-7",Table_Sales[[#This Row],[quantity]]&lt;=10,"8-10",TRUE,"11 and above")</f>
        <v>1-3</v>
      </c>
      <c r="J1092" t="str" cm="1">
        <f t="array" ref="J1092">_xlfn.IFS(Table_Sales[[#This Row],[amount]]&lt;1000,"Under 1000",Table_Sales[[#This Row],[amount]]&lt;3000,"1000 - 2999",Table_Sales[[#This Row],[amount]]&lt;5000,"3000 - 4999",TRUE,"5000 &amp; above")</f>
        <v>Under 1000</v>
      </c>
      <c r="K1092">
        <f>IF(COUNTIFS(INDEX(Table_Sales[order_id],1):Table_Sales[[#This Row],[order_id]],Table_Sales[[#This Row],[order_id]])=1,1,0)</f>
        <v>0</v>
      </c>
      <c r="L109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093" spans="1:12" x14ac:dyDescent="0.25">
      <c r="A1093" t="s">
        <v>7</v>
      </c>
      <c r="B1093" s="1">
        <v>68</v>
      </c>
      <c r="C1093" s="1">
        <v>-27</v>
      </c>
      <c r="D1093">
        <v>3</v>
      </c>
      <c r="E1093" t="s">
        <v>8</v>
      </c>
      <c r="F1093" t="s">
        <v>73</v>
      </c>
      <c r="G1093" t="s">
        <v>28</v>
      </c>
      <c r="H1093">
        <f>IF(Table_Sales[[#This Row],[profit]]&lt;0,1,0)</f>
        <v>1</v>
      </c>
      <c r="I1093" t="str" cm="1">
        <f t="array" ref="I1093">_xlfn.IFS(Table_Sales[[#This Row],[quantity]]&lt;=3,"1-3",Table_Sales[[#This Row],[quantity]]&lt;=7,"2-7",Table_Sales[[#This Row],[quantity]]&lt;=10,"8-10",TRUE,"11 and above")</f>
        <v>1-3</v>
      </c>
      <c r="J1093" t="str" cm="1">
        <f t="array" ref="J1093">_xlfn.IFS(Table_Sales[[#This Row],[amount]]&lt;1000,"Under 1000",Table_Sales[[#This Row],[amount]]&lt;3000,"1000 - 2999",Table_Sales[[#This Row],[amount]]&lt;5000,"3000 - 4999",TRUE,"5000 &amp; above")</f>
        <v>Under 1000</v>
      </c>
      <c r="K1093">
        <f>IF(COUNTIFS(INDEX(Table_Sales[order_id],1):Table_Sales[[#This Row],[order_id]],Table_Sales[[#This Row],[order_id]])=1,1,0)</f>
        <v>0</v>
      </c>
      <c r="L109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094" spans="1:12" x14ac:dyDescent="0.25">
      <c r="A1094" t="s">
        <v>113</v>
      </c>
      <c r="B1094" s="1">
        <v>320</v>
      </c>
      <c r="C1094" s="1">
        <v>144</v>
      </c>
      <c r="D1094">
        <v>1</v>
      </c>
      <c r="E1094" t="s">
        <v>8</v>
      </c>
      <c r="F1094" t="s">
        <v>18</v>
      </c>
      <c r="G1094" t="s">
        <v>82</v>
      </c>
      <c r="H1094">
        <f>IF(Table_Sales[[#This Row],[profit]]&lt;0,1,0)</f>
        <v>0</v>
      </c>
      <c r="I1094" t="str" cm="1">
        <f t="array" ref="I1094">_xlfn.IFS(Table_Sales[[#This Row],[quantity]]&lt;=3,"1-3",Table_Sales[[#This Row],[quantity]]&lt;=7,"2-7",Table_Sales[[#This Row],[quantity]]&lt;=10,"8-10",TRUE,"11 and above")</f>
        <v>1-3</v>
      </c>
      <c r="J1094" t="str" cm="1">
        <f t="array" ref="J1094">_xlfn.IFS(Table_Sales[[#This Row],[amount]]&lt;1000,"Under 1000",Table_Sales[[#This Row],[amount]]&lt;3000,"1000 - 2999",Table_Sales[[#This Row],[amount]]&lt;5000,"3000 - 4999",TRUE,"5000 &amp; above")</f>
        <v>Under 1000</v>
      </c>
      <c r="K1094">
        <f>IF(COUNTIFS(INDEX(Table_Sales[order_id],1):Table_Sales[[#This Row],[order_id]],Table_Sales[[#This Row],[order_id]])=1,1,0)</f>
        <v>0</v>
      </c>
      <c r="L109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095" spans="1:12" x14ac:dyDescent="0.25">
      <c r="A1095" t="s">
        <v>129</v>
      </c>
      <c r="B1095" s="1">
        <v>67</v>
      </c>
      <c r="C1095" s="1">
        <v>2</v>
      </c>
      <c r="D1095">
        <v>4</v>
      </c>
      <c r="E1095" t="s">
        <v>23</v>
      </c>
      <c r="F1095" t="s">
        <v>81</v>
      </c>
      <c r="G1095" t="s">
        <v>28</v>
      </c>
      <c r="H1095">
        <f>IF(Table_Sales[[#This Row],[profit]]&lt;0,1,0)</f>
        <v>0</v>
      </c>
      <c r="I1095" t="str" cm="1">
        <f t="array" ref="I1095">_xlfn.IFS(Table_Sales[[#This Row],[quantity]]&lt;=3,"1-3",Table_Sales[[#This Row],[quantity]]&lt;=7,"2-7",Table_Sales[[#This Row],[quantity]]&lt;=10,"8-10",TRUE,"11 and above")</f>
        <v>2-7</v>
      </c>
      <c r="J1095" t="str" cm="1">
        <f t="array" ref="J1095">_xlfn.IFS(Table_Sales[[#This Row],[amount]]&lt;1000,"Under 1000",Table_Sales[[#This Row],[amount]]&lt;3000,"1000 - 2999",Table_Sales[[#This Row],[amount]]&lt;5000,"3000 - 4999",TRUE,"5000 &amp; above")</f>
        <v>Under 1000</v>
      </c>
      <c r="K1095">
        <f>IF(COUNTIFS(INDEX(Table_Sales[order_id],1):Table_Sales[[#This Row],[order_id]],Table_Sales[[#This Row],[order_id]])=1,1,0)</f>
        <v>0</v>
      </c>
      <c r="L109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096" spans="1:12" x14ac:dyDescent="0.25">
      <c r="A1096" t="s">
        <v>346</v>
      </c>
      <c r="B1096" s="1">
        <v>66</v>
      </c>
      <c r="C1096" s="1">
        <v>-12</v>
      </c>
      <c r="D1096">
        <v>5</v>
      </c>
      <c r="E1096" t="s">
        <v>23</v>
      </c>
      <c r="F1096" t="s">
        <v>57</v>
      </c>
      <c r="G1096" t="s">
        <v>28</v>
      </c>
      <c r="H1096">
        <f>IF(Table_Sales[[#This Row],[profit]]&lt;0,1,0)</f>
        <v>1</v>
      </c>
      <c r="I1096" t="str" cm="1">
        <f t="array" ref="I1096">_xlfn.IFS(Table_Sales[[#This Row],[quantity]]&lt;=3,"1-3",Table_Sales[[#This Row],[quantity]]&lt;=7,"2-7",Table_Sales[[#This Row],[quantity]]&lt;=10,"8-10",TRUE,"11 and above")</f>
        <v>2-7</v>
      </c>
      <c r="J1096" t="str" cm="1">
        <f t="array" ref="J1096">_xlfn.IFS(Table_Sales[[#This Row],[amount]]&lt;1000,"Under 1000",Table_Sales[[#This Row],[amount]]&lt;3000,"1000 - 2999",Table_Sales[[#This Row],[amount]]&lt;5000,"3000 - 4999",TRUE,"5000 &amp; above")</f>
        <v>Under 1000</v>
      </c>
      <c r="K1096">
        <f>IF(COUNTIFS(INDEX(Table_Sales[order_id],1):Table_Sales[[#This Row],[order_id]],Table_Sales[[#This Row],[order_id]])=1,1,0)</f>
        <v>0</v>
      </c>
      <c r="L109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097" spans="1:12" x14ac:dyDescent="0.25">
      <c r="A1097" t="s">
        <v>379</v>
      </c>
      <c r="B1097" s="1">
        <v>321</v>
      </c>
      <c r="C1097" s="1">
        <v>26</v>
      </c>
      <c r="D1097">
        <v>3</v>
      </c>
      <c r="E1097" t="s">
        <v>8</v>
      </c>
      <c r="F1097" t="s">
        <v>18</v>
      </c>
      <c r="G1097" t="s">
        <v>82</v>
      </c>
      <c r="H1097">
        <f>IF(Table_Sales[[#This Row],[profit]]&lt;0,1,0)</f>
        <v>0</v>
      </c>
      <c r="I1097" t="str" cm="1">
        <f t="array" ref="I1097">_xlfn.IFS(Table_Sales[[#This Row],[quantity]]&lt;=3,"1-3",Table_Sales[[#This Row],[quantity]]&lt;=7,"2-7",Table_Sales[[#This Row],[quantity]]&lt;=10,"8-10",TRUE,"11 and above")</f>
        <v>1-3</v>
      </c>
      <c r="J1097" t="str" cm="1">
        <f t="array" ref="J1097">_xlfn.IFS(Table_Sales[[#This Row],[amount]]&lt;1000,"Under 1000",Table_Sales[[#This Row],[amount]]&lt;3000,"1000 - 2999",Table_Sales[[#This Row],[amount]]&lt;5000,"3000 - 4999",TRUE,"5000 &amp; above")</f>
        <v>Under 1000</v>
      </c>
      <c r="K1097">
        <f>IF(COUNTIFS(INDEX(Table_Sales[order_id],1):Table_Sales[[#This Row],[order_id]],Table_Sales[[#This Row],[order_id]])=1,1,0)</f>
        <v>0</v>
      </c>
      <c r="L109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098" spans="1:12" x14ac:dyDescent="0.25">
      <c r="A1098" t="s">
        <v>262</v>
      </c>
      <c r="B1098" s="1">
        <v>43</v>
      </c>
      <c r="C1098" s="1">
        <v>-5</v>
      </c>
      <c r="D1098">
        <v>2</v>
      </c>
      <c r="E1098" t="s">
        <v>23</v>
      </c>
      <c r="F1098" t="s">
        <v>26</v>
      </c>
      <c r="G1098" t="s">
        <v>10</v>
      </c>
      <c r="H1098">
        <f>IF(Table_Sales[[#This Row],[profit]]&lt;0,1,0)</f>
        <v>1</v>
      </c>
      <c r="I1098" t="str" cm="1">
        <f t="array" ref="I1098">_xlfn.IFS(Table_Sales[[#This Row],[quantity]]&lt;=3,"1-3",Table_Sales[[#This Row],[quantity]]&lt;=7,"2-7",Table_Sales[[#This Row],[quantity]]&lt;=10,"8-10",TRUE,"11 and above")</f>
        <v>1-3</v>
      </c>
      <c r="J1098" t="str" cm="1">
        <f t="array" ref="J1098">_xlfn.IFS(Table_Sales[[#This Row],[amount]]&lt;1000,"Under 1000",Table_Sales[[#This Row],[amount]]&lt;3000,"1000 - 2999",Table_Sales[[#This Row],[amount]]&lt;5000,"3000 - 4999",TRUE,"5000 &amp; above")</f>
        <v>Under 1000</v>
      </c>
      <c r="K1098">
        <f>IF(COUNTIFS(INDEX(Table_Sales[order_id],1):Table_Sales[[#This Row],[order_id]],Table_Sales[[#This Row],[order_id]])=1,1,0)</f>
        <v>0</v>
      </c>
      <c r="L109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099" spans="1:12" x14ac:dyDescent="0.25">
      <c r="A1099" t="s">
        <v>229</v>
      </c>
      <c r="B1099" s="1">
        <v>114</v>
      </c>
      <c r="C1099" s="1">
        <v>-39</v>
      </c>
      <c r="D1099">
        <v>5</v>
      </c>
      <c r="E1099" t="s">
        <v>23</v>
      </c>
      <c r="F1099" t="s">
        <v>32</v>
      </c>
      <c r="G1099" t="s">
        <v>10</v>
      </c>
      <c r="H1099">
        <f>IF(Table_Sales[[#This Row],[profit]]&lt;0,1,0)</f>
        <v>1</v>
      </c>
      <c r="I1099" t="str" cm="1">
        <f t="array" ref="I1099">_xlfn.IFS(Table_Sales[[#This Row],[quantity]]&lt;=3,"1-3",Table_Sales[[#This Row],[quantity]]&lt;=7,"2-7",Table_Sales[[#This Row],[quantity]]&lt;=10,"8-10",TRUE,"11 and above")</f>
        <v>2-7</v>
      </c>
      <c r="J1099" t="str" cm="1">
        <f t="array" ref="J1099">_xlfn.IFS(Table_Sales[[#This Row],[amount]]&lt;1000,"Under 1000",Table_Sales[[#This Row],[amount]]&lt;3000,"1000 - 2999",Table_Sales[[#This Row],[amount]]&lt;5000,"3000 - 4999",TRUE,"5000 &amp; above")</f>
        <v>Under 1000</v>
      </c>
      <c r="K1099">
        <f>IF(COUNTIFS(INDEX(Table_Sales[order_id],1):Table_Sales[[#This Row],[order_id]],Table_Sales[[#This Row],[order_id]])=1,1,0)</f>
        <v>0</v>
      </c>
      <c r="L109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100" spans="1:12" x14ac:dyDescent="0.25">
      <c r="A1100" t="s">
        <v>178</v>
      </c>
      <c r="B1100" s="1">
        <v>43</v>
      </c>
      <c r="C1100" s="1">
        <v>17</v>
      </c>
      <c r="D1100">
        <v>1</v>
      </c>
      <c r="E1100" t="s">
        <v>23</v>
      </c>
      <c r="F1100" t="s">
        <v>26</v>
      </c>
      <c r="G1100" t="s">
        <v>10</v>
      </c>
      <c r="H1100">
        <f>IF(Table_Sales[[#This Row],[profit]]&lt;0,1,0)</f>
        <v>0</v>
      </c>
      <c r="I1100" t="str" cm="1">
        <f t="array" ref="I1100">_xlfn.IFS(Table_Sales[[#This Row],[quantity]]&lt;=3,"1-3",Table_Sales[[#This Row],[quantity]]&lt;=7,"2-7",Table_Sales[[#This Row],[quantity]]&lt;=10,"8-10",TRUE,"11 and above")</f>
        <v>1-3</v>
      </c>
      <c r="J1100" t="str" cm="1">
        <f t="array" ref="J1100">_xlfn.IFS(Table_Sales[[#This Row],[amount]]&lt;1000,"Under 1000",Table_Sales[[#This Row],[amount]]&lt;3000,"1000 - 2999",Table_Sales[[#This Row],[amount]]&lt;5000,"3000 - 4999",TRUE,"5000 &amp; above")</f>
        <v>Under 1000</v>
      </c>
      <c r="K1100">
        <f>IF(COUNTIFS(INDEX(Table_Sales[order_id],1):Table_Sales[[#This Row],[order_id]],Table_Sales[[#This Row],[order_id]])=1,1,0)</f>
        <v>0</v>
      </c>
      <c r="L110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101" spans="1:12" x14ac:dyDescent="0.25">
      <c r="A1101" t="s">
        <v>262</v>
      </c>
      <c r="B1101" s="1">
        <v>43</v>
      </c>
      <c r="C1101" s="1">
        <v>21</v>
      </c>
      <c r="D1101">
        <v>3</v>
      </c>
      <c r="E1101" t="s">
        <v>23</v>
      </c>
      <c r="F1101" t="s">
        <v>142</v>
      </c>
      <c r="G1101" t="s">
        <v>10</v>
      </c>
      <c r="H1101">
        <f>IF(Table_Sales[[#This Row],[profit]]&lt;0,1,0)</f>
        <v>0</v>
      </c>
      <c r="I1101" t="str" cm="1">
        <f t="array" ref="I1101">_xlfn.IFS(Table_Sales[[#This Row],[quantity]]&lt;=3,"1-3",Table_Sales[[#This Row],[quantity]]&lt;=7,"2-7",Table_Sales[[#This Row],[quantity]]&lt;=10,"8-10",TRUE,"11 and above")</f>
        <v>1-3</v>
      </c>
      <c r="J1101" t="str" cm="1">
        <f t="array" ref="J1101">_xlfn.IFS(Table_Sales[[#This Row],[amount]]&lt;1000,"Under 1000",Table_Sales[[#This Row],[amount]]&lt;3000,"1000 - 2999",Table_Sales[[#This Row],[amount]]&lt;5000,"3000 - 4999",TRUE,"5000 &amp; above")</f>
        <v>Under 1000</v>
      </c>
      <c r="K1101">
        <f>IF(COUNTIFS(INDEX(Table_Sales[order_id],1):Table_Sales[[#This Row],[order_id]],Table_Sales[[#This Row],[order_id]])=1,1,0)</f>
        <v>0</v>
      </c>
      <c r="L110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102" spans="1:12" x14ac:dyDescent="0.25">
      <c r="A1102" t="s">
        <v>200</v>
      </c>
      <c r="B1102" s="1">
        <v>637</v>
      </c>
      <c r="C1102" s="1">
        <v>50</v>
      </c>
      <c r="D1102">
        <v>5</v>
      </c>
      <c r="E1102" t="s">
        <v>23</v>
      </c>
      <c r="F1102" t="s">
        <v>26</v>
      </c>
      <c r="G1102" t="s">
        <v>10</v>
      </c>
      <c r="H1102">
        <f>IF(Table_Sales[[#This Row],[profit]]&lt;0,1,0)</f>
        <v>0</v>
      </c>
      <c r="I1102" t="str" cm="1">
        <f t="array" ref="I1102">_xlfn.IFS(Table_Sales[[#This Row],[quantity]]&lt;=3,"1-3",Table_Sales[[#This Row],[quantity]]&lt;=7,"2-7",Table_Sales[[#This Row],[quantity]]&lt;=10,"8-10",TRUE,"11 and above")</f>
        <v>2-7</v>
      </c>
      <c r="J1102" t="str" cm="1">
        <f t="array" ref="J1102">_xlfn.IFS(Table_Sales[[#This Row],[amount]]&lt;1000,"Under 1000",Table_Sales[[#This Row],[amount]]&lt;3000,"1000 - 2999",Table_Sales[[#This Row],[amount]]&lt;5000,"3000 - 4999",TRUE,"5000 &amp; above")</f>
        <v>Under 1000</v>
      </c>
      <c r="K1102">
        <f>IF(COUNTIFS(INDEX(Table_Sales[order_id],1):Table_Sales[[#This Row],[order_id]],Table_Sales[[#This Row],[order_id]])=1,1,0)</f>
        <v>0</v>
      </c>
      <c r="L110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103" spans="1:12" x14ac:dyDescent="0.25">
      <c r="A1103" t="s">
        <v>31</v>
      </c>
      <c r="B1103" s="1">
        <v>300</v>
      </c>
      <c r="C1103" s="1">
        <v>42</v>
      </c>
      <c r="D1103">
        <v>2</v>
      </c>
      <c r="E1103" t="s">
        <v>8</v>
      </c>
      <c r="F1103" t="s">
        <v>18</v>
      </c>
      <c r="G1103" t="s">
        <v>10</v>
      </c>
      <c r="H1103">
        <f>IF(Table_Sales[[#This Row],[profit]]&lt;0,1,0)</f>
        <v>0</v>
      </c>
      <c r="I1103" t="str" cm="1">
        <f t="array" ref="I1103">_xlfn.IFS(Table_Sales[[#This Row],[quantity]]&lt;=3,"1-3",Table_Sales[[#This Row],[quantity]]&lt;=7,"2-7",Table_Sales[[#This Row],[quantity]]&lt;=10,"8-10",TRUE,"11 and above")</f>
        <v>1-3</v>
      </c>
      <c r="J1103" t="str" cm="1">
        <f t="array" ref="J1103">_xlfn.IFS(Table_Sales[[#This Row],[amount]]&lt;1000,"Under 1000",Table_Sales[[#This Row],[amount]]&lt;3000,"1000 - 2999",Table_Sales[[#This Row],[amount]]&lt;5000,"3000 - 4999",TRUE,"5000 &amp; above")</f>
        <v>Under 1000</v>
      </c>
      <c r="K1103">
        <f>IF(COUNTIFS(INDEX(Table_Sales[order_id],1):Table_Sales[[#This Row],[order_id]],Table_Sales[[#This Row],[order_id]])=1,1,0)</f>
        <v>0</v>
      </c>
      <c r="L110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104" spans="1:12" x14ac:dyDescent="0.25">
      <c r="A1104" t="s">
        <v>477</v>
      </c>
      <c r="B1104" s="1">
        <v>341</v>
      </c>
      <c r="C1104" s="1">
        <v>44</v>
      </c>
      <c r="D1104">
        <v>7</v>
      </c>
      <c r="E1104" t="s">
        <v>12</v>
      </c>
      <c r="F1104" t="s">
        <v>131</v>
      </c>
      <c r="G1104" t="s">
        <v>28</v>
      </c>
      <c r="H1104">
        <f>IF(Table_Sales[[#This Row],[profit]]&lt;0,1,0)</f>
        <v>0</v>
      </c>
      <c r="I1104" t="str" cm="1">
        <f t="array" ref="I1104">_xlfn.IFS(Table_Sales[[#This Row],[quantity]]&lt;=3,"1-3",Table_Sales[[#This Row],[quantity]]&lt;=7,"2-7",Table_Sales[[#This Row],[quantity]]&lt;=10,"8-10",TRUE,"11 and above")</f>
        <v>2-7</v>
      </c>
      <c r="J1104" t="str" cm="1">
        <f t="array" ref="J1104">_xlfn.IFS(Table_Sales[[#This Row],[amount]]&lt;1000,"Under 1000",Table_Sales[[#This Row],[amount]]&lt;3000,"1000 - 2999",Table_Sales[[#This Row],[amount]]&lt;5000,"3000 - 4999",TRUE,"5000 &amp; above")</f>
        <v>Under 1000</v>
      </c>
      <c r="K1104">
        <f>IF(COUNTIFS(INDEX(Table_Sales[order_id],1):Table_Sales[[#This Row],[order_id]],Table_Sales[[#This Row],[order_id]])=1,1,0)</f>
        <v>1</v>
      </c>
      <c r="L110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105" spans="1:12" x14ac:dyDescent="0.25">
      <c r="A1105" t="s">
        <v>120</v>
      </c>
      <c r="B1105" s="1">
        <v>102</v>
      </c>
      <c r="C1105" s="1">
        <v>0</v>
      </c>
      <c r="D1105">
        <v>3</v>
      </c>
      <c r="E1105" t="s">
        <v>8</v>
      </c>
      <c r="F1105" t="s">
        <v>21</v>
      </c>
      <c r="G1105" t="s">
        <v>10</v>
      </c>
      <c r="H1105">
        <f>IF(Table_Sales[[#This Row],[profit]]&lt;0,1,0)</f>
        <v>0</v>
      </c>
      <c r="I1105" t="str" cm="1">
        <f t="array" ref="I1105">_xlfn.IFS(Table_Sales[[#This Row],[quantity]]&lt;=3,"1-3",Table_Sales[[#This Row],[quantity]]&lt;=7,"2-7",Table_Sales[[#This Row],[quantity]]&lt;=10,"8-10",TRUE,"11 and above")</f>
        <v>1-3</v>
      </c>
      <c r="J1105" t="str" cm="1">
        <f t="array" ref="J1105">_xlfn.IFS(Table_Sales[[#This Row],[amount]]&lt;1000,"Under 1000",Table_Sales[[#This Row],[amount]]&lt;3000,"1000 - 2999",Table_Sales[[#This Row],[amount]]&lt;5000,"3000 - 4999",TRUE,"5000 &amp; above")</f>
        <v>Under 1000</v>
      </c>
      <c r="K1105">
        <f>IF(COUNTIFS(INDEX(Table_Sales[order_id],1):Table_Sales[[#This Row],[order_id]],Table_Sales[[#This Row],[order_id]])=1,1,0)</f>
        <v>0</v>
      </c>
      <c r="L110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106" spans="1:12" x14ac:dyDescent="0.25">
      <c r="A1106" t="s">
        <v>37</v>
      </c>
      <c r="B1106" s="1">
        <v>328</v>
      </c>
      <c r="C1106" s="1">
        <v>-15</v>
      </c>
      <c r="D1106">
        <v>3</v>
      </c>
      <c r="E1106" t="s">
        <v>8</v>
      </c>
      <c r="F1106" t="s">
        <v>9</v>
      </c>
      <c r="G1106" t="s">
        <v>82</v>
      </c>
      <c r="H1106">
        <f>IF(Table_Sales[[#This Row],[profit]]&lt;0,1,0)</f>
        <v>1</v>
      </c>
      <c r="I1106" t="str" cm="1">
        <f t="array" ref="I1106">_xlfn.IFS(Table_Sales[[#This Row],[quantity]]&lt;=3,"1-3",Table_Sales[[#This Row],[quantity]]&lt;=7,"2-7",Table_Sales[[#This Row],[quantity]]&lt;=10,"8-10",TRUE,"11 and above")</f>
        <v>1-3</v>
      </c>
      <c r="J1106" t="str" cm="1">
        <f t="array" ref="J1106">_xlfn.IFS(Table_Sales[[#This Row],[amount]]&lt;1000,"Under 1000",Table_Sales[[#This Row],[amount]]&lt;3000,"1000 - 2999",Table_Sales[[#This Row],[amount]]&lt;5000,"3000 - 4999",TRUE,"5000 &amp; above")</f>
        <v>Under 1000</v>
      </c>
      <c r="K1106">
        <f>IF(COUNTIFS(INDEX(Table_Sales[order_id],1):Table_Sales[[#This Row],[order_id]],Table_Sales[[#This Row],[order_id]])=1,1,0)</f>
        <v>0</v>
      </c>
      <c r="L110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107" spans="1:12" x14ac:dyDescent="0.25">
      <c r="A1107" t="s">
        <v>478</v>
      </c>
      <c r="B1107" s="1">
        <v>341</v>
      </c>
      <c r="C1107" s="1">
        <v>160</v>
      </c>
      <c r="D1107">
        <v>7</v>
      </c>
      <c r="E1107" t="s">
        <v>23</v>
      </c>
      <c r="F1107" t="s">
        <v>57</v>
      </c>
      <c r="G1107" t="s">
        <v>82</v>
      </c>
      <c r="H1107">
        <f>IF(Table_Sales[[#This Row],[profit]]&lt;0,1,0)</f>
        <v>0</v>
      </c>
      <c r="I1107" t="str" cm="1">
        <f t="array" ref="I1107">_xlfn.IFS(Table_Sales[[#This Row],[quantity]]&lt;=3,"1-3",Table_Sales[[#This Row],[quantity]]&lt;=7,"2-7",Table_Sales[[#This Row],[quantity]]&lt;=10,"8-10",TRUE,"11 and above")</f>
        <v>2-7</v>
      </c>
      <c r="J1107" t="str" cm="1">
        <f t="array" ref="J1107">_xlfn.IFS(Table_Sales[[#This Row],[amount]]&lt;1000,"Under 1000",Table_Sales[[#This Row],[amount]]&lt;3000,"1000 - 2999",Table_Sales[[#This Row],[amount]]&lt;5000,"3000 - 4999",TRUE,"5000 &amp; above")</f>
        <v>Under 1000</v>
      </c>
      <c r="K1107">
        <f>IF(COUNTIFS(INDEX(Table_Sales[order_id],1):Table_Sales[[#This Row],[order_id]],Table_Sales[[#This Row],[order_id]])=1,1,0)</f>
        <v>1</v>
      </c>
      <c r="L110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108" spans="1:12" x14ac:dyDescent="0.25">
      <c r="A1108" t="s">
        <v>479</v>
      </c>
      <c r="B1108" s="1">
        <v>62</v>
      </c>
      <c r="C1108" s="1">
        <v>11</v>
      </c>
      <c r="D1108">
        <v>7</v>
      </c>
      <c r="E1108" t="s">
        <v>23</v>
      </c>
      <c r="F1108" t="s">
        <v>30</v>
      </c>
      <c r="G1108" t="s">
        <v>28</v>
      </c>
      <c r="H1108">
        <f>IF(Table_Sales[[#This Row],[profit]]&lt;0,1,0)</f>
        <v>0</v>
      </c>
      <c r="I1108" t="str" cm="1">
        <f t="array" ref="I1108">_xlfn.IFS(Table_Sales[[#This Row],[quantity]]&lt;=3,"1-3",Table_Sales[[#This Row],[quantity]]&lt;=7,"2-7",Table_Sales[[#This Row],[quantity]]&lt;=10,"8-10",TRUE,"11 and above")</f>
        <v>2-7</v>
      </c>
      <c r="J1108" t="str" cm="1">
        <f t="array" ref="J1108">_xlfn.IFS(Table_Sales[[#This Row],[amount]]&lt;1000,"Under 1000",Table_Sales[[#This Row],[amount]]&lt;3000,"1000 - 2999",Table_Sales[[#This Row],[amount]]&lt;5000,"3000 - 4999",TRUE,"5000 &amp; above")</f>
        <v>Under 1000</v>
      </c>
      <c r="K1108">
        <f>IF(COUNTIFS(INDEX(Table_Sales[order_id],1):Table_Sales[[#This Row],[order_id]],Table_Sales[[#This Row],[order_id]])=1,1,0)</f>
        <v>1</v>
      </c>
      <c r="L110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109" spans="1:12" x14ac:dyDescent="0.25">
      <c r="A1109" t="s">
        <v>264</v>
      </c>
      <c r="B1109" s="1">
        <v>42</v>
      </c>
      <c r="C1109" s="1">
        <v>13</v>
      </c>
      <c r="D1109">
        <v>3</v>
      </c>
      <c r="E1109" t="s">
        <v>23</v>
      </c>
      <c r="F1109" t="s">
        <v>63</v>
      </c>
      <c r="G1109" t="s">
        <v>10</v>
      </c>
      <c r="H1109">
        <f>IF(Table_Sales[[#This Row],[profit]]&lt;0,1,0)</f>
        <v>0</v>
      </c>
      <c r="I1109" t="str" cm="1">
        <f t="array" ref="I1109">_xlfn.IFS(Table_Sales[[#This Row],[quantity]]&lt;=3,"1-3",Table_Sales[[#This Row],[quantity]]&lt;=7,"2-7",Table_Sales[[#This Row],[quantity]]&lt;=10,"8-10",TRUE,"11 and above")</f>
        <v>1-3</v>
      </c>
      <c r="J1109" t="str" cm="1">
        <f t="array" ref="J1109">_xlfn.IFS(Table_Sales[[#This Row],[amount]]&lt;1000,"Under 1000",Table_Sales[[#This Row],[amount]]&lt;3000,"1000 - 2999",Table_Sales[[#This Row],[amount]]&lt;5000,"3000 - 4999",TRUE,"5000 &amp; above")</f>
        <v>Under 1000</v>
      </c>
      <c r="K1109">
        <f>IF(COUNTIFS(INDEX(Table_Sales[order_id],1):Table_Sales[[#This Row],[order_id]],Table_Sales[[#This Row],[order_id]])=1,1,0)</f>
        <v>0</v>
      </c>
      <c r="L110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110" spans="1:12" x14ac:dyDescent="0.25">
      <c r="A1110" t="s">
        <v>329</v>
      </c>
      <c r="B1110" s="1">
        <v>62</v>
      </c>
      <c r="C1110" s="1">
        <v>28</v>
      </c>
      <c r="D1110">
        <v>5</v>
      </c>
      <c r="E1110" t="s">
        <v>23</v>
      </c>
      <c r="F1110" t="s">
        <v>30</v>
      </c>
      <c r="G1110" t="s">
        <v>28</v>
      </c>
      <c r="H1110">
        <f>IF(Table_Sales[[#This Row],[profit]]&lt;0,1,0)</f>
        <v>0</v>
      </c>
      <c r="I1110" t="str" cm="1">
        <f t="array" ref="I1110">_xlfn.IFS(Table_Sales[[#This Row],[quantity]]&lt;=3,"1-3",Table_Sales[[#This Row],[quantity]]&lt;=7,"2-7",Table_Sales[[#This Row],[quantity]]&lt;=10,"8-10",TRUE,"11 and above")</f>
        <v>2-7</v>
      </c>
      <c r="J1110" t="str" cm="1">
        <f t="array" ref="J1110">_xlfn.IFS(Table_Sales[[#This Row],[amount]]&lt;1000,"Under 1000",Table_Sales[[#This Row],[amount]]&lt;3000,"1000 - 2999",Table_Sales[[#This Row],[amount]]&lt;5000,"3000 - 4999",TRUE,"5000 &amp; above")</f>
        <v>Under 1000</v>
      </c>
      <c r="K1110">
        <f>IF(COUNTIFS(INDEX(Table_Sales[order_id],1):Table_Sales[[#This Row],[order_id]],Table_Sales[[#This Row],[order_id]])=1,1,0)</f>
        <v>0</v>
      </c>
      <c r="L111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111" spans="1:12" x14ac:dyDescent="0.25">
      <c r="A1111" t="s">
        <v>191</v>
      </c>
      <c r="B1111" s="1">
        <v>42</v>
      </c>
      <c r="C1111" s="1">
        <v>7</v>
      </c>
      <c r="D1111">
        <v>2</v>
      </c>
      <c r="E1111" t="s">
        <v>23</v>
      </c>
      <c r="F1111" t="s">
        <v>32</v>
      </c>
      <c r="G1111" t="s">
        <v>10</v>
      </c>
      <c r="H1111">
        <f>IF(Table_Sales[[#This Row],[profit]]&lt;0,1,0)</f>
        <v>0</v>
      </c>
      <c r="I1111" t="str" cm="1">
        <f t="array" ref="I1111">_xlfn.IFS(Table_Sales[[#This Row],[quantity]]&lt;=3,"1-3",Table_Sales[[#This Row],[quantity]]&lt;=7,"2-7",Table_Sales[[#This Row],[quantity]]&lt;=10,"8-10",TRUE,"11 and above")</f>
        <v>1-3</v>
      </c>
      <c r="J1111" t="str" cm="1">
        <f t="array" ref="J1111">_xlfn.IFS(Table_Sales[[#This Row],[amount]]&lt;1000,"Under 1000",Table_Sales[[#This Row],[amount]]&lt;3000,"1000 - 2999",Table_Sales[[#This Row],[amount]]&lt;5000,"3000 - 4999",TRUE,"5000 &amp; above")</f>
        <v>Under 1000</v>
      </c>
      <c r="K1111">
        <f>IF(COUNTIFS(INDEX(Table_Sales[order_id],1):Table_Sales[[#This Row],[order_id]],Table_Sales[[#This Row],[order_id]])=1,1,0)</f>
        <v>0</v>
      </c>
      <c r="L111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112" spans="1:12" x14ac:dyDescent="0.25">
      <c r="A1112" t="s">
        <v>480</v>
      </c>
      <c r="B1112" s="1">
        <v>42</v>
      </c>
      <c r="C1112" s="1">
        <v>-3</v>
      </c>
      <c r="D1112">
        <v>1</v>
      </c>
      <c r="E1112" t="s">
        <v>8</v>
      </c>
      <c r="F1112" t="s">
        <v>9</v>
      </c>
      <c r="G1112" t="s">
        <v>10</v>
      </c>
      <c r="H1112">
        <f>IF(Table_Sales[[#This Row],[profit]]&lt;0,1,0)</f>
        <v>1</v>
      </c>
      <c r="I1112" t="str" cm="1">
        <f t="array" ref="I1112">_xlfn.IFS(Table_Sales[[#This Row],[quantity]]&lt;=3,"1-3",Table_Sales[[#This Row],[quantity]]&lt;=7,"2-7",Table_Sales[[#This Row],[quantity]]&lt;=10,"8-10",TRUE,"11 and above")</f>
        <v>1-3</v>
      </c>
      <c r="J1112" t="str" cm="1">
        <f t="array" ref="J1112">_xlfn.IFS(Table_Sales[[#This Row],[amount]]&lt;1000,"Under 1000",Table_Sales[[#This Row],[amount]]&lt;3000,"1000 - 2999",Table_Sales[[#This Row],[amount]]&lt;5000,"3000 - 4999",TRUE,"5000 &amp; above")</f>
        <v>Under 1000</v>
      </c>
      <c r="K1112">
        <f>IF(COUNTIFS(INDEX(Table_Sales[order_id],1):Table_Sales[[#This Row],[order_id]],Table_Sales[[#This Row],[order_id]])=1,1,0)</f>
        <v>1</v>
      </c>
      <c r="L111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113" spans="1:12" x14ac:dyDescent="0.25">
      <c r="A1113" t="s">
        <v>420</v>
      </c>
      <c r="B1113" s="1">
        <v>313</v>
      </c>
      <c r="C1113" s="1">
        <v>-13</v>
      </c>
      <c r="D1113">
        <v>5</v>
      </c>
      <c r="E1113" t="s">
        <v>12</v>
      </c>
      <c r="F1113" t="s">
        <v>16</v>
      </c>
      <c r="G1113" t="s">
        <v>28</v>
      </c>
      <c r="H1113">
        <f>IF(Table_Sales[[#This Row],[profit]]&lt;0,1,0)</f>
        <v>1</v>
      </c>
      <c r="I1113" t="str" cm="1">
        <f t="array" ref="I1113">_xlfn.IFS(Table_Sales[[#This Row],[quantity]]&lt;=3,"1-3",Table_Sales[[#This Row],[quantity]]&lt;=7,"2-7",Table_Sales[[#This Row],[quantity]]&lt;=10,"8-10",TRUE,"11 and above")</f>
        <v>2-7</v>
      </c>
      <c r="J1113" t="str" cm="1">
        <f t="array" ref="J1113">_xlfn.IFS(Table_Sales[[#This Row],[amount]]&lt;1000,"Under 1000",Table_Sales[[#This Row],[amount]]&lt;3000,"1000 - 2999",Table_Sales[[#This Row],[amount]]&lt;5000,"3000 - 4999",TRUE,"5000 &amp; above")</f>
        <v>Under 1000</v>
      </c>
      <c r="K1113">
        <f>IF(COUNTIFS(INDEX(Table_Sales[order_id],1):Table_Sales[[#This Row],[order_id]],Table_Sales[[#This Row],[order_id]])=1,1,0)</f>
        <v>0</v>
      </c>
      <c r="L111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114" spans="1:12" x14ac:dyDescent="0.25">
      <c r="A1114" t="s">
        <v>106</v>
      </c>
      <c r="B1114" s="1">
        <v>109</v>
      </c>
      <c r="C1114" s="1">
        <v>52</v>
      </c>
      <c r="D1114">
        <v>2</v>
      </c>
      <c r="E1114" t="s">
        <v>23</v>
      </c>
      <c r="F1114" t="s">
        <v>57</v>
      </c>
      <c r="G1114" t="s">
        <v>28</v>
      </c>
      <c r="H1114">
        <f>IF(Table_Sales[[#This Row],[profit]]&lt;0,1,0)</f>
        <v>0</v>
      </c>
      <c r="I1114" t="str" cm="1">
        <f t="array" ref="I1114">_xlfn.IFS(Table_Sales[[#This Row],[quantity]]&lt;=3,"1-3",Table_Sales[[#This Row],[quantity]]&lt;=7,"2-7",Table_Sales[[#This Row],[quantity]]&lt;=10,"8-10",TRUE,"11 and above")</f>
        <v>1-3</v>
      </c>
      <c r="J1114" t="str" cm="1">
        <f t="array" ref="J1114">_xlfn.IFS(Table_Sales[[#This Row],[amount]]&lt;1000,"Under 1000",Table_Sales[[#This Row],[amount]]&lt;3000,"1000 - 2999",Table_Sales[[#This Row],[amount]]&lt;5000,"3000 - 4999",TRUE,"5000 &amp; above")</f>
        <v>Under 1000</v>
      </c>
      <c r="K1114">
        <f>IF(COUNTIFS(INDEX(Table_Sales[order_id],1):Table_Sales[[#This Row],[order_id]],Table_Sales[[#This Row],[order_id]])=1,1,0)</f>
        <v>0</v>
      </c>
      <c r="L111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115" spans="1:12" x14ac:dyDescent="0.25">
      <c r="A1115" t="s">
        <v>35</v>
      </c>
      <c r="B1115" s="1">
        <v>226</v>
      </c>
      <c r="C1115" s="1">
        <v>58</v>
      </c>
      <c r="D1115">
        <v>3</v>
      </c>
      <c r="E1115" t="s">
        <v>8</v>
      </c>
      <c r="F1115" t="s">
        <v>73</v>
      </c>
      <c r="G1115" t="s">
        <v>10</v>
      </c>
      <c r="H1115">
        <f>IF(Table_Sales[[#This Row],[profit]]&lt;0,1,0)</f>
        <v>0</v>
      </c>
      <c r="I1115" t="str" cm="1">
        <f t="array" ref="I1115">_xlfn.IFS(Table_Sales[[#This Row],[quantity]]&lt;=3,"1-3",Table_Sales[[#This Row],[quantity]]&lt;=7,"2-7",Table_Sales[[#This Row],[quantity]]&lt;=10,"8-10",TRUE,"11 and above")</f>
        <v>1-3</v>
      </c>
      <c r="J1115" t="str" cm="1">
        <f t="array" ref="J1115">_xlfn.IFS(Table_Sales[[#This Row],[amount]]&lt;1000,"Under 1000",Table_Sales[[#This Row],[amount]]&lt;3000,"1000 - 2999",Table_Sales[[#This Row],[amount]]&lt;5000,"3000 - 4999",TRUE,"5000 &amp; above")</f>
        <v>Under 1000</v>
      </c>
      <c r="K1115">
        <f>IF(COUNTIFS(INDEX(Table_Sales[order_id],1):Table_Sales[[#This Row],[order_id]],Table_Sales[[#This Row],[order_id]])=1,1,0)</f>
        <v>0</v>
      </c>
      <c r="L111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116" spans="1:12" x14ac:dyDescent="0.25">
      <c r="A1116" t="s">
        <v>84</v>
      </c>
      <c r="B1116" s="1">
        <v>62</v>
      </c>
      <c r="C1116" s="1">
        <v>-1</v>
      </c>
      <c r="D1116">
        <v>1</v>
      </c>
      <c r="E1116" t="s">
        <v>8</v>
      </c>
      <c r="F1116" t="s">
        <v>21</v>
      </c>
      <c r="G1116" t="s">
        <v>28</v>
      </c>
      <c r="H1116">
        <f>IF(Table_Sales[[#This Row],[profit]]&lt;0,1,0)</f>
        <v>1</v>
      </c>
      <c r="I1116" t="str" cm="1">
        <f t="array" ref="I1116">_xlfn.IFS(Table_Sales[[#This Row],[quantity]]&lt;=3,"1-3",Table_Sales[[#This Row],[quantity]]&lt;=7,"2-7",Table_Sales[[#This Row],[quantity]]&lt;=10,"8-10",TRUE,"11 and above")</f>
        <v>1-3</v>
      </c>
      <c r="J1116" t="str" cm="1">
        <f t="array" ref="J1116">_xlfn.IFS(Table_Sales[[#This Row],[amount]]&lt;1000,"Under 1000",Table_Sales[[#This Row],[amount]]&lt;3000,"1000 - 2999",Table_Sales[[#This Row],[amount]]&lt;5000,"3000 - 4999",TRUE,"5000 &amp; above")</f>
        <v>Under 1000</v>
      </c>
      <c r="K1116">
        <f>IF(COUNTIFS(INDEX(Table_Sales[order_id],1):Table_Sales[[#This Row],[order_id]],Table_Sales[[#This Row],[order_id]])=1,1,0)</f>
        <v>0</v>
      </c>
      <c r="L111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117" spans="1:12" x14ac:dyDescent="0.25">
      <c r="A1117" t="s">
        <v>97</v>
      </c>
      <c r="B1117" s="1">
        <v>61</v>
      </c>
      <c r="C1117" s="1">
        <v>-25</v>
      </c>
      <c r="D1117">
        <v>4</v>
      </c>
      <c r="E1117" t="s">
        <v>8</v>
      </c>
      <c r="F1117" t="s">
        <v>73</v>
      </c>
      <c r="G1117" t="s">
        <v>28</v>
      </c>
      <c r="H1117">
        <f>IF(Table_Sales[[#This Row],[profit]]&lt;0,1,0)</f>
        <v>1</v>
      </c>
      <c r="I1117" t="str" cm="1">
        <f t="array" ref="I1117">_xlfn.IFS(Table_Sales[[#This Row],[quantity]]&lt;=3,"1-3",Table_Sales[[#This Row],[quantity]]&lt;=7,"2-7",Table_Sales[[#This Row],[quantity]]&lt;=10,"8-10",TRUE,"11 and above")</f>
        <v>2-7</v>
      </c>
      <c r="J1117" t="str" cm="1">
        <f t="array" ref="J1117">_xlfn.IFS(Table_Sales[[#This Row],[amount]]&lt;1000,"Under 1000",Table_Sales[[#This Row],[amount]]&lt;3000,"1000 - 2999",Table_Sales[[#This Row],[amount]]&lt;5000,"3000 - 4999",TRUE,"5000 &amp; above")</f>
        <v>Under 1000</v>
      </c>
      <c r="K1117">
        <f>IF(COUNTIFS(INDEX(Table_Sales[order_id],1):Table_Sales[[#This Row],[order_id]],Table_Sales[[#This Row],[order_id]])=1,1,0)</f>
        <v>0</v>
      </c>
      <c r="L111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118" spans="1:12" x14ac:dyDescent="0.25">
      <c r="A1118" t="s">
        <v>292</v>
      </c>
      <c r="B1118" s="1">
        <v>222</v>
      </c>
      <c r="C1118" s="1">
        <v>74</v>
      </c>
      <c r="D1118">
        <v>5</v>
      </c>
      <c r="E1118" t="s">
        <v>23</v>
      </c>
      <c r="F1118" t="s">
        <v>30</v>
      </c>
      <c r="G1118" t="s">
        <v>10</v>
      </c>
      <c r="H1118">
        <f>IF(Table_Sales[[#This Row],[profit]]&lt;0,1,0)</f>
        <v>0</v>
      </c>
      <c r="I1118" t="str" cm="1">
        <f t="array" ref="I1118">_xlfn.IFS(Table_Sales[[#This Row],[quantity]]&lt;=3,"1-3",Table_Sales[[#This Row],[quantity]]&lt;=7,"2-7",Table_Sales[[#This Row],[quantity]]&lt;=10,"8-10",TRUE,"11 and above")</f>
        <v>2-7</v>
      </c>
      <c r="J1118" t="str" cm="1">
        <f t="array" ref="J1118">_xlfn.IFS(Table_Sales[[#This Row],[amount]]&lt;1000,"Under 1000",Table_Sales[[#This Row],[amount]]&lt;3000,"1000 - 2999",Table_Sales[[#This Row],[amount]]&lt;5000,"3000 - 4999",TRUE,"5000 &amp; above")</f>
        <v>Under 1000</v>
      </c>
      <c r="K1118">
        <f>IF(COUNTIFS(INDEX(Table_Sales[order_id],1):Table_Sales[[#This Row],[order_id]],Table_Sales[[#This Row],[order_id]])=1,1,0)</f>
        <v>0</v>
      </c>
      <c r="L111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119" spans="1:12" x14ac:dyDescent="0.25">
      <c r="A1119" t="s">
        <v>234</v>
      </c>
      <c r="B1119" s="1">
        <v>342</v>
      </c>
      <c r="C1119" s="1">
        <v>-154</v>
      </c>
      <c r="D1119">
        <v>7</v>
      </c>
      <c r="E1119" t="s">
        <v>12</v>
      </c>
      <c r="F1119" t="s">
        <v>131</v>
      </c>
      <c r="G1119" t="s">
        <v>82</v>
      </c>
      <c r="H1119">
        <f>IF(Table_Sales[[#This Row],[profit]]&lt;0,1,0)</f>
        <v>1</v>
      </c>
      <c r="I1119" t="str" cm="1">
        <f t="array" ref="I1119">_xlfn.IFS(Table_Sales[[#This Row],[quantity]]&lt;=3,"1-3",Table_Sales[[#This Row],[quantity]]&lt;=7,"2-7",Table_Sales[[#This Row],[quantity]]&lt;=10,"8-10",TRUE,"11 and above")</f>
        <v>2-7</v>
      </c>
      <c r="J1119" t="str" cm="1">
        <f t="array" ref="J1119">_xlfn.IFS(Table_Sales[[#This Row],[amount]]&lt;1000,"Under 1000",Table_Sales[[#This Row],[amount]]&lt;3000,"1000 - 2999",Table_Sales[[#This Row],[amount]]&lt;5000,"3000 - 4999",TRUE,"5000 &amp; above")</f>
        <v>Under 1000</v>
      </c>
      <c r="K1119">
        <f>IF(COUNTIFS(INDEX(Table_Sales[order_id],1):Table_Sales[[#This Row],[order_id]],Table_Sales[[#This Row],[order_id]])=1,1,0)</f>
        <v>0</v>
      </c>
      <c r="L111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120" spans="1:12" x14ac:dyDescent="0.25">
      <c r="A1120" t="s">
        <v>100</v>
      </c>
      <c r="B1120" s="1">
        <v>344</v>
      </c>
      <c r="C1120" s="1">
        <v>-34</v>
      </c>
      <c r="D1120">
        <v>3</v>
      </c>
      <c r="E1120" t="s">
        <v>23</v>
      </c>
      <c r="F1120" t="s">
        <v>26</v>
      </c>
      <c r="G1120" t="s">
        <v>82</v>
      </c>
      <c r="H1120">
        <f>IF(Table_Sales[[#This Row],[profit]]&lt;0,1,0)</f>
        <v>1</v>
      </c>
      <c r="I1120" t="str" cm="1">
        <f t="array" ref="I1120">_xlfn.IFS(Table_Sales[[#This Row],[quantity]]&lt;=3,"1-3",Table_Sales[[#This Row],[quantity]]&lt;=7,"2-7",Table_Sales[[#This Row],[quantity]]&lt;=10,"8-10",TRUE,"11 and above")</f>
        <v>1-3</v>
      </c>
      <c r="J1120" t="str" cm="1">
        <f t="array" ref="J1120">_xlfn.IFS(Table_Sales[[#This Row],[amount]]&lt;1000,"Under 1000",Table_Sales[[#This Row],[amount]]&lt;3000,"1000 - 2999",Table_Sales[[#This Row],[amount]]&lt;5000,"3000 - 4999",TRUE,"5000 &amp; above")</f>
        <v>Under 1000</v>
      </c>
      <c r="K1120">
        <f>IF(COUNTIFS(INDEX(Table_Sales[order_id],1):Table_Sales[[#This Row],[order_id]],Table_Sales[[#This Row],[order_id]])=1,1,0)</f>
        <v>0</v>
      </c>
      <c r="L112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121" spans="1:12" x14ac:dyDescent="0.25">
      <c r="A1121" t="s">
        <v>481</v>
      </c>
      <c r="B1121" s="1">
        <v>345</v>
      </c>
      <c r="C1121" s="1">
        <v>38</v>
      </c>
      <c r="D1121">
        <v>7</v>
      </c>
      <c r="E1121" t="s">
        <v>23</v>
      </c>
      <c r="F1121" t="s">
        <v>30</v>
      </c>
      <c r="G1121" t="s">
        <v>82</v>
      </c>
      <c r="H1121">
        <f>IF(Table_Sales[[#This Row],[profit]]&lt;0,1,0)</f>
        <v>0</v>
      </c>
      <c r="I1121" t="str" cm="1">
        <f t="array" ref="I1121">_xlfn.IFS(Table_Sales[[#This Row],[quantity]]&lt;=3,"1-3",Table_Sales[[#This Row],[quantity]]&lt;=7,"2-7",Table_Sales[[#This Row],[quantity]]&lt;=10,"8-10",TRUE,"11 and above")</f>
        <v>2-7</v>
      </c>
      <c r="J1121" t="str" cm="1">
        <f t="array" ref="J1121">_xlfn.IFS(Table_Sales[[#This Row],[amount]]&lt;1000,"Under 1000",Table_Sales[[#This Row],[amount]]&lt;3000,"1000 - 2999",Table_Sales[[#This Row],[amount]]&lt;5000,"3000 - 4999",TRUE,"5000 &amp; above")</f>
        <v>Under 1000</v>
      </c>
      <c r="K1121">
        <f>IF(COUNTIFS(INDEX(Table_Sales[order_id],1):Table_Sales[[#This Row],[order_id]],Table_Sales[[#This Row],[order_id]])=1,1,0)</f>
        <v>1</v>
      </c>
      <c r="L112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122" spans="1:12" x14ac:dyDescent="0.25">
      <c r="A1122" t="s">
        <v>482</v>
      </c>
      <c r="B1122" s="1">
        <v>46</v>
      </c>
      <c r="C1122" s="1">
        <v>0</v>
      </c>
      <c r="D1122">
        <v>2</v>
      </c>
      <c r="E1122" t="s">
        <v>8</v>
      </c>
      <c r="F1122" t="s">
        <v>9</v>
      </c>
      <c r="G1122" t="s">
        <v>10</v>
      </c>
      <c r="H1122">
        <f>IF(Table_Sales[[#This Row],[profit]]&lt;0,1,0)</f>
        <v>0</v>
      </c>
      <c r="I1122" t="str" cm="1">
        <f t="array" ref="I1122">_xlfn.IFS(Table_Sales[[#This Row],[quantity]]&lt;=3,"1-3",Table_Sales[[#This Row],[quantity]]&lt;=7,"2-7",Table_Sales[[#This Row],[quantity]]&lt;=10,"8-10",TRUE,"11 and above")</f>
        <v>1-3</v>
      </c>
      <c r="J1122" t="str" cm="1">
        <f t="array" ref="J1122">_xlfn.IFS(Table_Sales[[#This Row],[amount]]&lt;1000,"Under 1000",Table_Sales[[#This Row],[amount]]&lt;3000,"1000 - 2999",Table_Sales[[#This Row],[amount]]&lt;5000,"3000 - 4999",TRUE,"5000 &amp; above")</f>
        <v>Under 1000</v>
      </c>
      <c r="K1122">
        <f>IF(COUNTIFS(INDEX(Table_Sales[order_id],1):Table_Sales[[#This Row],[order_id]],Table_Sales[[#This Row],[order_id]])=1,1,0)</f>
        <v>1</v>
      </c>
      <c r="L112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123" spans="1:12" x14ac:dyDescent="0.25">
      <c r="A1123" t="s">
        <v>241</v>
      </c>
      <c r="B1123" s="1">
        <v>255</v>
      </c>
      <c r="C1123" s="1">
        <v>74</v>
      </c>
      <c r="D1123">
        <v>5</v>
      </c>
      <c r="E1123" t="s">
        <v>23</v>
      </c>
      <c r="F1123" t="s">
        <v>30</v>
      </c>
      <c r="G1123" t="s">
        <v>10</v>
      </c>
      <c r="H1123">
        <f>IF(Table_Sales[[#This Row],[profit]]&lt;0,1,0)</f>
        <v>0</v>
      </c>
      <c r="I1123" t="str" cm="1">
        <f t="array" ref="I1123">_xlfn.IFS(Table_Sales[[#This Row],[quantity]]&lt;=3,"1-3",Table_Sales[[#This Row],[quantity]]&lt;=7,"2-7",Table_Sales[[#This Row],[quantity]]&lt;=10,"8-10",TRUE,"11 and above")</f>
        <v>2-7</v>
      </c>
      <c r="J1123" t="str" cm="1">
        <f t="array" ref="J1123">_xlfn.IFS(Table_Sales[[#This Row],[amount]]&lt;1000,"Under 1000",Table_Sales[[#This Row],[amount]]&lt;3000,"1000 - 2999",Table_Sales[[#This Row],[amount]]&lt;5000,"3000 - 4999",TRUE,"5000 &amp; above")</f>
        <v>Under 1000</v>
      </c>
      <c r="K1123">
        <f>IF(COUNTIFS(INDEX(Table_Sales[order_id],1):Table_Sales[[#This Row],[order_id]],Table_Sales[[#This Row],[order_id]])=1,1,0)</f>
        <v>0</v>
      </c>
      <c r="L112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124" spans="1:12" x14ac:dyDescent="0.25">
      <c r="A1124" t="s">
        <v>370</v>
      </c>
      <c r="B1124" s="1">
        <v>360</v>
      </c>
      <c r="C1124" s="1">
        <v>32</v>
      </c>
      <c r="D1124">
        <v>3</v>
      </c>
      <c r="E1124" t="s">
        <v>23</v>
      </c>
      <c r="F1124" t="s">
        <v>26</v>
      </c>
      <c r="G1124" t="s">
        <v>28</v>
      </c>
      <c r="H1124">
        <f>IF(Table_Sales[[#This Row],[profit]]&lt;0,1,0)</f>
        <v>0</v>
      </c>
      <c r="I1124" t="str" cm="1">
        <f t="array" ref="I1124">_xlfn.IFS(Table_Sales[[#This Row],[quantity]]&lt;=3,"1-3",Table_Sales[[#This Row],[quantity]]&lt;=7,"2-7",Table_Sales[[#This Row],[quantity]]&lt;=10,"8-10",TRUE,"11 and above")</f>
        <v>1-3</v>
      </c>
      <c r="J1124" t="str" cm="1">
        <f t="array" ref="J1124">_xlfn.IFS(Table_Sales[[#This Row],[amount]]&lt;1000,"Under 1000",Table_Sales[[#This Row],[amount]]&lt;3000,"1000 - 2999",Table_Sales[[#This Row],[amount]]&lt;5000,"3000 - 4999",TRUE,"5000 &amp; above")</f>
        <v>Under 1000</v>
      </c>
      <c r="K1124">
        <f>IF(COUNTIFS(INDEX(Table_Sales[order_id],1):Table_Sales[[#This Row],[order_id]],Table_Sales[[#This Row],[order_id]])=1,1,0)</f>
        <v>0</v>
      </c>
      <c r="L112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125" spans="1:12" x14ac:dyDescent="0.25">
      <c r="A1125" t="s">
        <v>202</v>
      </c>
      <c r="B1125" s="1">
        <v>372</v>
      </c>
      <c r="C1125" s="1">
        <v>59</v>
      </c>
      <c r="D1125">
        <v>3</v>
      </c>
      <c r="E1125" t="s">
        <v>8</v>
      </c>
      <c r="F1125" t="s">
        <v>18</v>
      </c>
      <c r="G1125" t="s">
        <v>28</v>
      </c>
      <c r="H1125">
        <f>IF(Table_Sales[[#This Row],[profit]]&lt;0,1,0)</f>
        <v>0</v>
      </c>
      <c r="I1125" t="str" cm="1">
        <f t="array" ref="I1125">_xlfn.IFS(Table_Sales[[#This Row],[quantity]]&lt;=3,"1-3",Table_Sales[[#This Row],[quantity]]&lt;=7,"2-7",Table_Sales[[#This Row],[quantity]]&lt;=10,"8-10",TRUE,"11 and above")</f>
        <v>1-3</v>
      </c>
      <c r="J1125" t="str" cm="1">
        <f t="array" ref="J1125">_xlfn.IFS(Table_Sales[[#This Row],[amount]]&lt;1000,"Under 1000",Table_Sales[[#This Row],[amount]]&lt;3000,"1000 - 2999",Table_Sales[[#This Row],[amount]]&lt;5000,"3000 - 4999",TRUE,"5000 &amp; above")</f>
        <v>Under 1000</v>
      </c>
      <c r="K1125">
        <f>IF(COUNTIFS(INDEX(Table_Sales[order_id],1):Table_Sales[[#This Row],[order_id]],Table_Sales[[#This Row],[order_id]])=1,1,0)</f>
        <v>0</v>
      </c>
      <c r="L112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126" spans="1:12" x14ac:dyDescent="0.25">
      <c r="A1126" t="s">
        <v>171</v>
      </c>
      <c r="B1126" s="1">
        <v>61</v>
      </c>
      <c r="C1126" s="1">
        <v>30</v>
      </c>
      <c r="D1126">
        <v>2</v>
      </c>
      <c r="E1126" t="s">
        <v>23</v>
      </c>
      <c r="F1126" t="s">
        <v>30</v>
      </c>
      <c r="G1126" t="s">
        <v>28</v>
      </c>
      <c r="H1126">
        <f>IF(Table_Sales[[#This Row],[profit]]&lt;0,1,0)</f>
        <v>0</v>
      </c>
      <c r="I1126" t="str" cm="1">
        <f t="array" ref="I1126">_xlfn.IFS(Table_Sales[[#This Row],[quantity]]&lt;=3,"1-3",Table_Sales[[#This Row],[quantity]]&lt;=7,"2-7",Table_Sales[[#This Row],[quantity]]&lt;=10,"8-10",TRUE,"11 and above")</f>
        <v>1-3</v>
      </c>
      <c r="J1126" t="str" cm="1">
        <f t="array" ref="J1126">_xlfn.IFS(Table_Sales[[#This Row],[amount]]&lt;1000,"Under 1000",Table_Sales[[#This Row],[amount]]&lt;3000,"1000 - 2999",Table_Sales[[#This Row],[amount]]&lt;5000,"3000 - 4999",TRUE,"5000 &amp; above")</f>
        <v>Under 1000</v>
      </c>
      <c r="K1126">
        <f>IF(COUNTIFS(INDEX(Table_Sales[order_id],1):Table_Sales[[#This Row],[order_id]],Table_Sales[[#This Row],[order_id]])=1,1,0)</f>
        <v>0</v>
      </c>
      <c r="L112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127" spans="1:12" x14ac:dyDescent="0.25">
      <c r="A1127" t="s">
        <v>107</v>
      </c>
      <c r="B1127" s="1">
        <v>42</v>
      </c>
      <c r="C1127" s="1">
        <v>12</v>
      </c>
      <c r="D1127">
        <v>5</v>
      </c>
      <c r="E1127" t="s">
        <v>23</v>
      </c>
      <c r="F1127" t="s">
        <v>30</v>
      </c>
      <c r="G1127" t="s">
        <v>10</v>
      </c>
      <c r="H1127">
        <f>IF(Table_Sales[[#This Row],[profit]]&lt;0,1,0)</f>
        <v>0</v>
      </c>
      <c r="I1127" t="str" cm="1">
        <f t="array" ref="I1127">_xlfn.IFS(Table_Sales[[#This Row],[quantity]]&lt;=3,"1-3",Table_Sales[[#This Row],[quantity]]&lt;=7,"2-7",Table_Sales[[#This Row],[quantity]]&lt;=10,"8-10",TRUE,"11 and above")</f>
        <v>2-7</v>
      </c>
      <c r="J1127" t="str" cm="1">
        <f t="array" ref="J1127">_xlfn.IFS(Table_Sales[[#This Row],[amount]]&lt;1000,"Under 1000",Table_Sales[[#This Row],[amount]]&lt;3000,"1000 - 2999",Table_Sales[[#This Row],[amount]]&lt;5000,"3000 - 4999",TRUE,"5000 &amp; above")</f>
        <v>Under 1000</v>
      </c>
      <c r="K1127">
        <f>IF(COUNTIFS(INDEX(Table_Sales[order_id],1):Table_Sales[[#This Row],[order_id]],Table_Sales[[#This Row],[order_id]])=1,1,0)</f>
        <v>0</v>
      </c>
      <c r="L112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128" spans="1:12" x14ac:dyDescent="0.25">
      <c r="A1128" t="s">
        <v>229</v>
      </c>
      <c r="B1128" s="1">
        <v>42</v>
      </c>
      <c r="C1128" s="1">
        <v>-26</v>
      </c>
      <c r="D1128">
        <v>2</v>
      </c>
      <c r="E1128" t="s">
        <v>23</v>
      </c>
      <c r="F1128" t="s">
        <v>32</v>
      </c>
      <c r="G1128" t="s">
        <v>10</v>
      </c>
      <c r="H1128">
        <f>IF(Table_Sales[[#This Row],[profit]]&lt;0,1,0)</f>
        <v>1</v>
      </c>
      <c r="I1128" t="str" cm="1">
        <f t="array" ref="I1128">_xlfn.IFS(Table_Sales[[#This Row],[quantity]]&lt;=3,"1-3",Table_Sales[[#This Row],[quantity]]&lt;=7,"2-7",Table_Sales[[#This Row],[quantity]]&lt;=10,"8-10",TRUE,"11 and above")</f>
        <v>1-3</v>
      </c>
      <c r="J1128" t="str" cm="1">
        <f t="array" ref="J1128">_xlfn.IFS(Table_Sales[[#This Row],[amount]]&lt;1000,"Under 1000",Table_Sales[[#This Row],[amount]]&lt;3000,"1000 - 2999",Table_Sales[[#This Row],[amount]]&lt;5000,"3000 - 4999",TRUE,"5000 &amp; above")</f>
        <v>Under 1000</v>
      </c>
      <c r="K1128">
        <f>IF(COUNTIFS(INDEX(Table_Sales[order_id],1):Table_Sales[[#This Row],[order_id]],Table_Sales[[#This Row],[order_id]])=1,1,0)</f>
        <v>0</v>
      </c>
      <c r="L112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129" spans="1:12" x14ac:dyDescent="0.25">
      <c r="A1129" t="s">
        <v>483</v>
      </c>
      <c r="B1129" s="1">
        <v>61</v>
      </c>
      <c r="C1129" s="1">
        <v>25</v>
      </c>
      <c r="D1129">
        <v>4</v>
      </c>
      <c r="E1129" t="s">
        <v>23</v>
      </c>
      <c r="F1129" t="s">
        <v>26</v>
      </c>
      <c r="G1129" t="s">
        <v>28</v>
      </c>
      <c r="H1129">
        <f>IF(Table_Sales[[#This Row],[profit]]&lt;0,1,0)</f>
        <v>0</v>
      </c>
      <c r="I1129" t="str" cm="1">
        <f t="array" ref="I1129">_xlfn.IFS(Table_Sales[[#This Row],[quantity]]&lt;=3,"1-3",Table_Sales[[#This Row],[quantity]]&lt;=7,"2-7",Table_Sales[[#This Row],[quantity]]&lt;=10,"8-10",TRUE,"11 and above")</f>
        <v>2-7</v>
      </c>
      <c r="J1129" t="str" cm="1">
        <f t="array" ref="J1129">_xlfn.IFS(Table_Sales[[#This Row],[amount]]&lt;1000,"Under 1000",Table_Sales[[#This Row],[amount]]&lt;3000,"1000 - 2999",Table_Sales[[#This Row],[amount]]&lt;5000,"3000 - 4999",TRUE,"5000 &amp; above")</f>
        <v>Under 1000</v>
      </c>
      <c r="K1129">
        <f>IF(COUNTIFS(INDEX(Table_Sales[order_id],1):Table_Sales[[#This Row],[order_id]],Table_Sales[[#This Row],[order_id]])=1,1,0)</f>
        <v>1</v>
      </c>
      <c r="L112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130" spans="1:12" x14ac:dyDescent="0.25">
      <c r="A1130" t="s">
        <v>50</v>
      </c>
      <c r="B1130" s="1">
        <v>41</v>
      </c>
      <c r="C1130" s="1">
        <v>11</v>
      </c>
      <c r="D1130">
        <v>6</v>
      </c>
      <c r="E1130" t="s">
        <v>23</v>
      </c>
      <c r="F1130" t="s">
        <v>30</v>
      </c>
      <c r="G1130" t="s">
        <v>10</v>
      </c>
      <c r="H1130">
        <f>IF(Table_Sales[[#This Row],[profit]]&lt;0,1,0)</f>
        <v>0</v>
      </c>
      <c r="I1130" t="str" cm="1">
        <f t="array" ref="I1130">_xlfn.IFS(Table_Sales[[#This Row],[quantity]]&lt;=3,"1-3",Table_Sales[[#This Row],[quantity]]&lt;=7,"2-7",Table_Sales[[#This Row],[quantity]]&lt;=10,"8-10",TRUE,"11 and above")</f>
        <v>2-7</v>
      </c>
      <c r="J1130" t="str" cm="1">
        <f t="array" ref="J1130">_xlfn.IFS(Table_Sales[[#This Row],[amount]]&lt;1000,"Under 1000",Table_Sales[[#This Row],[amount]]&lt;3000,"1000 - 2999",Table_Sales[[#This Row],[amount]]&lt;5000,"3000 - 4999",TRUE,"5000 &amp; above")</f>
        <v>Under 1000</v>
      </c>
      <c r="K1130">
        <f>IF(COUNTIFS(INDEX(Table_Sales[order_id],1):Table_Sales[[#This Row],[order_id]],Table_Sales[[#This Row],[order_id]])=1,1,0)</f>
        <v>0</v>
      </c>
      <c r="L113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131" spans="1:12" x14ac:dyDescent="0.25">
      <c r="A1131" t="s">
        <v>165</v>
      </c>
      <c r="B1131" s="1">
        <v>40</v>
      </c>
      <c r="C1131" s="1">
        <v>13</v>
      </c>
      <c r="D1131">
        <v>3</v>
      </c>
      <c r="E1131" t="s">
        <v>23</v>
      </c>
      <c r="F1131" t="s">
        <v>81</v>
      </c>
      <c r="G1131" t="s">
        <v>10</v>
      </c>
      <c r="H1131">
        <f>IF(Table_Sales[[#This Row],[profit]]&lt;0,1,0)</f>
        <v>0</v>
      </c>
      <c r="I1131" t="str" cm="1">
        <f t="array" ref="I1131">_xlfn.IFS(Table_Sales[[#This Row],[quantity]]&lt;=3,"1-3",Table_Sales[[#This Row],[quantity]]&lt;=7,"2-7",Table_Sales[[#This Row],[quantity]]&lt;=10,"8-10",TRUE,"11 and above")</f>
        <v>1-3</v>
      </c>
      <c r="J1131" t="str" cm="1">
        <f t="array" ref="J1131">_xlfn.IFS(Table_Sales[[#This Row],[amount]]&lt;1000,"Under 1000",Table_Sales[[#This Row],[amount]]&lt;3000,"1000 - 2999",Table_Sales[[#This Row],[amount]]&lt;5000,"3000 - 4999",TRUE,"5000 &amp; above")</f>
        <v>Under 1000</v>
      </c>
      <c r="K1131">
        <f>IF(COUNTIFS(INDEX(Table_Sales[order_id],1):Table_Sales[[#This Row],[order_id]],Table_Sales[[#This Row],[order_id]])=1,1,0)</f>
        <v>0</v>
      </c>
      <c r="L113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132" spans="1:12" x14ac:dyDescent="0.25">
      <c r="A1132" t="s">
        <v>145</v>
      </c>
      <c r="B1132" s="1">
        <v>59</v>
      </c>
      <c r="C1132" s="1">
        <v>21</v>
      </c>
      <c r="D1132">
        <v>2</v>
      </c>
      <c r="E1132" t="s">
        <v>23</v>
      </c>
      <c r="F1132" t="s">
        <v>57</v>
      </c>
      <c r="G1132" t="s">
        <v>28</v>
      </c>
      <c r="H1132">
        <f>IF(Table_Sales[[#This Row],[profit]]&lt;0,1,0)</f>
        <v>0</v>
      </c>
      <c r="I1132" t="str" cm="1">
        <f t="array" ref="I1132">_xlfn.IFS(Table_Sales[[#This Row],[quantity]]&lt;=3,"1-3",Table_Sales[[#This Row],[quantity]]&lt;=7,"2-7",Table_Sales[[#This Row],[quantity]]&lt;=10,"8-10",TRUE,"11 and above")</f>
        <v>1-3</v>
      </c>
      <c r="J1132" t="str" cm="1">
        <f t="array" ref="J1132">_xlfn.IFS(Table_Sales[[#This Row],[amount]]&lt;1000,"Under 1000",Table_Sales[[#This Row],[amount]]&lt;3000,"1000 - 2999",Table_Sales[[#This Row],[amount]]&lt;5000,"3000 - 4999",TRUE,"5000 &amp; above")</f>
        <v>Under 1000</v>
      </c>
      <c r="K1132">
        <f>IF(COUNTIFS(INDEX(Table_Sales[order_id],1):Table_Sales[[#This Row],[order_id]],Table_Sales[[#This Row],[order_id]])=1,1,0)</f>
        <v>0</v>
      </c>
      <c r="L113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133" spans="1:12" x14ac:dyDescent="0.25">
      <c r="A1133" t="s">
        <v>300</v>
      </c>
      <c r="B1133" s="1">
        <v>57</v>
      </c>
      <c r="C1133" s="1">
        <v>27</v>
      </c>
      <c r="D1133">
        <v>2</v>
      </c>
      <c r="E1133" t="s">
        <v>23</v>
      </c>
      <c r="F1133" t="s">
        <v>142</v>
      </c>
      <c r="G1133" t="s">
        <v>28</v>
      </c>
      <c r="H1133">
        <f>IF(Table_Sales[[#This Row],[profit]]&lt;0,1,0)</f>
        <v>0</v>
      </c>
      <c r="I1133" t="str" cm="1">
        <f t="array" ref="I1133">_xlfn.IFS(Table_Sales[[#This Row],[quantity]]&lt;=3,"1-3",Table_Sales[[#This Row],[quantity]]&lt;=7,"2-7",Table_Sales[[#This Row],[quantity]]&lt;=10,"8-10",TRUE,"11 and above")</f>
        <v>1-3</v>
      </c>
      <c r="J1133" t="str" cm="1">
        <f t="array" ref="J1133">_xlfn.IFS(Table_Sales[[#This Row],[amount]]&lt;1000,"Under 1000",Table_Sales[[#This Row],[amount]]&lt;3000,"1000 - 2999",Table_Sales[[#This Row],[amount]]&lt;5000,"3000 - 4999",TRUE,"5000 &amp; above")</f>
        <v>Under 1000</v>
      </c>
      <c r="K1133">
        <f>IF(COUNTIFS(INDEX(Table_Sales[order_id],1):Table_Sales[[#This Row],[order_id]],Table_Sales[[#This Row],[order_id]])=1,1,0)</f>
        <v>0</v>
      </c>
      <c r="L113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134" spans="1:12" x14ac:dyDescent="0.25">
      <c r="A1134" t="s">
        <v>27</v>
      </c>
      <c r="B1134" s="1">
        <v>17</v>
      </c>
      <c r="C1134" s="1">
        <v>6</v>
      </c>
      <c r="D1134">
        <v>1</v>
      </c>
      <c r="E1134" t="s">
        <v>23</v>
      </c>
      <c r="F1134" t="s">
        <v>57</v>
      </c>
      <c r="G1134" t="s">
        <v>28</v>
      </c>
      <c r="H1134">
        <f>IF(Table_Sales[[#This Row],[profit]]&lt;0,1,0)</f>
        <v>0</v>
      </c>
      <c r="I1134" t="str" cm="1">
        <f t="array" ref="I1134">_xlfn.IFS(Table_Sales[[#This Row],[quantity]]&lt;=3,"1-3",Table_Sales[[#This Row],[quantity]]&lt;=7,"2-7",Table_Sales[[#This Row],[quantity]]&lt;=10,"8-10",TRUE,"11 and above")</f>
        <v>1-3</v>
      </c>
      <c r="J1134" t="str" cm="1">
        <f t="array" ref="J1134">_xlfn.IFS(Table_Sales[[#This Row],[amount]]&lt;1000,"Under 1000",Table_Sales[[#This Row],[amount]]&lt;3000,"1000 - 2999",Table_Sales[[#This Row],[amount]]&lt;5000,"3000 - 4999",TRUE,"5000 &amp; above")</f>
        <v>Under 1000</v>
      </c>
      <c r="K1134">
        <f>IF(COUNTIFS(INDEX(Table_Sales[order_id],1):Table_Sales[[#This Row],[order_id]],Table_Sales[[#This Row],[order_id]])=1,1,0)</f>
        <v>0</v>
      </c>
      <c r="L113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135" spans="1:12" x14ac:dyDescent="0.25">
      <c r="A1135" t="s">
        <v>194</v>
      </c>
      <c r="B1135" s="1">
        <v>40</v>
      </c>
      <c r="C1135" s="1">
        <v>10</v>
      </c>
      <c r="D1135">
        <v>2</v>
      </c>
      <c r="E1135" t="s">
        <v>23</v>
      </c>
      <c r="F1135" t="s">
        <v>57</v>
      </c>
      <c r="G1135" t="s">
        <v>10</v>
      </c>
      <c r="H1135">
        <f>IF(Table_Sales[[#This Row],[profit]]&lt;0,1,0)</f>
        <v>0</v>
      </c>
      <c r="I1135" t="str" cm="1">
        <f t="array" ref="I1135">_xlfn.IFS(Table_Sales[[#This Row],[quantity]]&lt;=3,"1-3",Table_Sales[[#This Row],[quantity]]&lt;=7,"2-7",Table_Sales[[#This Row],[quantity]]&lt;=10,"8-10",TRUE,"11 and above")</f>
        <v>1-3</v>
      </c>
      <c r="J1135" t="str" cm="1">
        <f t="array" ref="J1135">_xlfn.IFS(Table_Sales[[#This Row],[amount]]&lt;1000,"Under 1000",Table_Sales[[#This Row],[amount]]&lt;3000,"1000 - 2999",Table_Sales[[#This Row],[amount]]&lt;5000,"3000 - 4999",TRUE,"5000 &amp; above")</f>
        <v>Under 1000</v>
      </c>
      <c r="K1135">
        <f>IF(COUNTIFS(INDEX(Table_Sales[order_id],1):Table_Sales[[#This Row],[order_id]],Table_Sales[[#This Row],[order_id]])=1,1,0)</f>
        <v>0</v>
      </c>
      <c r="L113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136" spans="1:12" x14ac:dyDescent="0.25">
      <c r="A1136" t="s">
        <v>341</v>
      </c>
      <c r="B1136" s="1">
        <v>349</v>
      </c>
      <c r="C1136" s="1">
        <v>-24</v>
      </c>
      <c r="D1136">
        <v>2</v>
      </c>
      <c r="E1136" t="s">
        <v>23</v>
      </c>
      <c r="F1136" t="s">
        <v>26</v>
      </c>
      <c r="G1136" t="s">
        <v>82</v>
      </c>
      <c r="H1136">
        <f>IF(Table_Sales[[#This Row],[profit]]&lt;0,1,0)</f>
        <v>1</v>
      </c>
      <c r="I1136" t="str" cm="1">
        <f t="array" ref="I1136">_xlfn.IFS(Table_Sales[[#This Row],[quantity]]&lt;=3,"1-3",Table_Sales[[#This Row],[quantity]]&lt;=7,"2-7",Table_Sales[[#This Row],[quantity]]&lt;=10,"8-10",TRUE,"11 and above")</f>
        <v>1-3</v>
      </c>
      <c r="J1136" t="str" cm="1">
        <f t="array" ref="J1136">_xlfn.IFS(Table_Sales[[#This Row],[amount]]&lt;1000,"Under 1000",Table_Sales[[#This Row],[amount]]&lt;3000,"1000 - 2999",Table_Sales[[#This Row],[amount]]&lt;5000,"3000 - 4999",TRUE,"5000 &amp; above")</f>
        <v>Under 1000</v>
      </c>
      <c r="K1136">
        <f>IF(COUNTIFS(INDEX(Table_Sales[order_id],1):Table_Sales[[#This Row],[order_id]],Table_Sales[[#This Row],[order_id]])=1,1,0)</f>
        <v>0</v>
      </c>
      <c r="L113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137" spans="1:12" x14ac:dyDescent="0.25">
      <c r="A1137" t="s">
        <v>484</v>
      </c>
      <c r="B1137" s="1">
        <v>335</v>
      </c>
      <c r="C1137" s="1">
        <v>-22</v>
      </c>
      <c r="D1137">
        <v>7</v>
      </c>
      <c r="E1137" t="s">
        <v>12</v>
      </c>
      <c r="F1137" t="s">
        <v>13</v>
      </c>
      <c r="G1137" t="s">
        <v>28</v>
      </c>
      <c r="H1137">
        <f>IF(Table_Sales[[#This Row],[profit]]&lt;0,1,0)</f>
        <v>1</v>
      </c>
      <c r="I1137" t="str" cm="1">
        <f t="array" ref="I1137">_xlfn.IFS(Table_Sales[[#This Row],[quantity]]&lt;=3,"1-3",Table_Sales[[#This Row],[quantity]]&lt;=7,"2-7",Table_Sales[[#This Row],[quantity]]&lt;=10,"8-10",TRUE,"11 and above")</f>
        <v>2-7</v>
      </c>
      <c r="J1137" t="str" cm="1">
        <f t="array" ref="J1137">_xlfn.IFS(Table_Sales[[#This Row],[amount]]&lt;1000,"Under 1000",Table_Sales[[#This Row],[amount]]&lt;3000,"1000 - 2999",Table_Sales[[#This Row],[amount]]&lt;5000,"3000 - 4999",TRUE,"5000 &amp; above")</f>
        <v>Under 1000</v>
      </c>
      <c r="K1137">
        <f>IF(COUNTIFS(INDEX(Table_Sales[order_id],1):Table_Sales[[#This Row],[order_id]],Table_Sales[[#This Row],[order_id]])=1,1,0)</f>
        <v>1</v>
      </c>
      <c r="L113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138" spans="1:12" x14ac:dyDescent="0.25">
      <c r="A1138" t="s">
        <v>234</v>
      </c>
      <c r="B1138" s="1">
        <v>40</v>
      </c>
      <c r="C1138" s="1">
        <v>16</v>
      </c>
      <c r="D1138">
        <v>3</v>
      </c>
      <c r="E1138" t="s">
        <v>23</v>
      </c>
      <c r="F1138" t="s">
        <v>30</v>
      </c>
      <c r="G1138" t="s">
        <v>10</v>
      </c>
      <c r="H1138">
        <f>IF(Table_Sales[[#This Row],[profit]]&lt;0,1,0)</f>
        <v>0</v>
      </c>
      <c r="I1138" t="str" cm="1">
        <f t="array" ref="I1138">_xlfn.IFS(Table_Sales[[#This Row],[quantity]]&lt;=3,"1-3",Table_Sales[[#This Row],[quantity]]&lt;=7,"2-7",Table_Sales[[#This Row],[quantity]]&lt;=10,"8-10",TRUE,"11 and above")</f>
        <v>1-3</v>
      </c>
      <c r="J1138" t="str" cm="1">
        <f t="array" ref="J1138">_xlfn.IFS(Table_Sales[[#This Row],[amount]]&lt;1000,"Under 1000",Table_Sales[[#This Row],[amount]]&lt;3000,"1000 - 2999",Table_Sales[[#This Row],[amount]]&lt;5000,"3000 - 4999",TRUE,"5000 &amp; above")</f>
        <v>Under 1000</v>
      </c>
      <c r="K1138">
        <f>IF(COUNTIFS(INDEX(Table_Sales[order_id],1):Table_Sales[[#This Row],[order_id]],Table_Sales[[#This Row],[order_id]])=1,1,0)</f>
        <v>0</v>
      </c>
      <c r="L113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139" spans="1:12" x14ac:dyDescent="0.25">
      <c r="A1139" t="s">
        <v>83</v>
      </c>
      <c r="B1139" s="1">
        <v>40</v>
      </c>
      <c r="C1139" s="1">
        <v>17</v>
      </c>
      <c r="D1139">
        <v>2</v>
      </c>
      <c r="E1139" t="s">
        <v>23</v>
      </c>
      <c r="F1139" t="s">
        <v>57</v>
      </c>
      <c r="G1139" t="s">
        <v>10</v>
      </c>
      <c r="H1139">
        <f>IF(Table_Sales[[#This Row],[profit]]&lt;0,1,0)</f>
        <v>0</v>
      </c>
      <c r="I1139" t="str" cm="1">
        <f t="array" ref="I1139">_xlfn.IFS(Table_Sales[[#This Row],[quantity]]&lt;=3,"1-3",Table_Sales[[#This Row],[quantity]]&lt;=7,"2-7",Table_Sales[[#This Row],[quantity]]&lt;=10,"8-10",TRUE,"11 and above")</f>
        <v>1-3</v>
      </c>
      <c r="J1139" t="str" cm="1">
        <f t="array" ref="J1139">_xlfn.IFS(Table_Sales[[#This Row],[amount]]&lt;1000,"Under 1000",Table_Sales[[#This Row],[amount]]&lt;3000,"1000 - 2999",Table_Sales[[#This Row],[amount]]&lt;5000,"3000 - 4999",TRUE,"5000 &amp; above")</f>
        <v>Under 1000</v>
      </c>
      <c r="K1139">
        <f>IF(COUNTIFS(INDEX(Table_Sales[order_id],1):Table_Sales[[#This Row],[order_id]],Table_Sales[[#This Row],[order_id]])=1,1,0)</f>
        <v>0</v>
      </c>
      <c r="L113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140" spans="1:12" x14ac:dyDescent="0.25">
      <c r="A1140" t="s">
        <v>229</v>
      </c>
      <c r="B1140" s="1">
        <v>40</v>
      </c>
      <c r="C1140" s="1">
        <v>-7</v>
      </c>
      <c r="D1140">
        <v>3</v>
      </c>
      <c r="E1140" t="s">
        <v>23</v>
      </c>
      <c r="F1140" t="s">
        <v>57</v>
      </c>
      <c r="G1140" t="s">
        <v>10</v>
      </c>
      <c r="H1140">
        <f>IF(Table_Sales[[#This Row],[profit]]&lt;0,1,0)</f>
        <v>1</v>
      </c>
      <c r="I1140" t="str" cm="1">
        <f t="array" ref="I1140">_xlfn.IFS(Table_Sales[[#This Row],[quantity]]&lt;=3,"1-3",Table_Sales[[#This Row],[quantity]]&lt;=7,"2-7",Table_Sales[[#This Row],[quantity]]&lt;=10,"8-10",TRUE,"11 and above")</f>
        <v>1-3</v>
      </c>
      <c r="J1140" t="str" cm="1">
        <f t="array" ref="J1140">_xlfn.IFS(Table_Sales[[#This Row],[amount]]&lt;1000,"Under 1000",Table_Sales[[#This Row],[amount]]&lt;3000,"1000 - 2999",Table_Sales[[#This Row],[amount]]&lt;5000,"3000 - 4999",TRUE,"5000 &amp; above")</f>
        <v>Under 1000</v>
      </c>
      <c r="K1140">
        <f>IF(COUNTIFS(INDEX(Table_Sales[order_id],1):Table_Sales[[#This Row],[order_id]],Table_Sales[[#This Row],[order_id]])=1,1,0)</f>
        <v>0</v>
      </c>
      <c r="L114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141" spans="1:12" x14ac:dyDescent="0.25">
      <c r="A1141" t="s">
        <v>292</v>
      </c>
      <c r="B1141" s="1">
        <v>352</v>
      </c>
      <c r="C1141" s="1">
        <v>74</v>
      </c>
      <c r="D1141">
        <v>8</v>
      </c>
      <c r="E1141" t="s">
        <v>23</v>
      </c>
      <c r="F1141" t="s">
        <v>57</v>
      </c>
      <c r="G1141" t="s">
        <v>82</v>
      </c>
      <c r="H1141">
        <f>IF(Table_Sales[[#This Row],[profit]]&lt;0,1,0)</f>
        <v>0</v>
      </c>
      <c r="I1141" t="str" cm="1">
        <f t="array" ref="I1141">_xlfn.IFS(Table_Sales[[#This Row],[quantity]]&lt;=3,"1-3",Table_Sales[[#This Row],[quantity]]&lt;=7,"2-7",Table_Sales[[#This Row],[quantity]]&lt;=10,"8-10",TRUE,"11 and above")</f>
        <v>8-10</v>
      </c>
      <c r="J1141" t="str" cm="1">
        <f t="array" ref="J1141">_xlfn.IFS(Table_Sales[[#This Row],[amount]]&lt;1000,"Under 1000",Table_Sales[[#This Row],[amount]]&lt;3000,"1000 - 2999",Table_Sales[[#This Row],[amount]]&lt;5000,"3000 - 4999",TRUE,"5000 &amp; above")</f>
        <v>Under 1000</v>
      </c>
      <c r="K1141">
        <f>IF(COUNTIFS(INDEX(Table_Sales[order_id],1):Table_Sales[[#This Row],[order_id]],Table_Sales[[#This Row],[order_id]])=1,1,0)</f>
        <v>0</v>
      </c>
      <c r="L114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142" spans="1:12" x14ac:dyDescent="0.25">
      <c r="A1142" t="s">
        <v>218</v>
      </c>
      <c r="B1142" s="1">
        <v>55</v>
      </c>
      <c r="C1142" s="1">
        <v>-26</v>
      </c>
      <c r="D1142">
        <v>4</v>
      </c>
      <c r="E1142" t="s">
        <v>23</v>
      </c>
      <c r="F1142" t="s">
        <v>26</v>
      </c>
      <c r="G1142" t="s">
        <v>28</v>
      </c>
      <c r="H1142">
        <f>IF(Table_Sales[[#This Row],[profit]]&lt;0,1,0)</f>
        <v>1</v>
      </c>
      <c r="I1142" t="str" cm="1">
        <f t="array" ref="I1142">_xlfn.IFS(Table_Sales[[#This Row],[quantity]]&lt;=3,"1-3",Table_Sales[[#This Row],[quantity]]&lt;=7,"2-7",Table_Sales[[#This Row],[quantity]]&lt;=10,"8-10",TRUE,"11 and above")</f>
        <v>2-7</v>
      </c>
      <c r="J1142" t="str" cm="1">
        <f t="array" ref="J1142">_xlfn.IFS(Table_Sales[[#This Row],[amount]]&lt;1000,"Under 1000",Table_Sales[[#This Row],[amount]]&lt;3000,"1000 - 2999",Table_Sales[[#This Row],[amount]]&lt;5000,"3000 - 4999",TRUE,"5000 &amp; above")</f>
        <v>Under 1000</v>
      </c>
      <c r="K1142">
        <f>IF(COUNTIFS(INDEX(Table_Sales[order_id],1):Table_Sales[[#This Row],[order_id]],Table_Sales[[#This Row],[order_id]])=1,1,0)</f>
        <v>0</v>
      </c>
      <c r="L114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143" spans="1:12" x14ac:dyDescent="0.25">
      <c r="A1143" t="s">
        <v>133</v>
      </c>
      <c r="B1143" s="1">
        <v>352</v>
      </c>
      <c r="C1143" s="1">
        <v>18</v>
      </c>
      <c r="D1143">
        <v>5</v>
      </c>
      <c r="E1143" t="s">
        <v>23</v>
      </c>
      <c r="F1143" t="s">
        <v>24</v>
      </c>
      <c r="G1143" t="s">
        <v>82</v>
      </c>
      <c r="H1143">
        <f>IF(Table_Sales[[#This Row],[profit]]&lt;0,1,0)</f>
        <v>0</v>
      </c>
      <c r="I1143" t="str" cm="1">
        <f t="array" ref="I1143">_xlfn.IFS(Table_Sales[[#This Row],[quantity]]&lt;=3,"1-3",Table_Sales[[#This Row],[quantity]]&lt;=7,"2-7",Table_Sales[[#This Row],[quantity]]&lt;=10,"8-10",TRUE,"11 and above")</f>
        <v>2-7</v>
      </c>
      <c r="J1143" t="str" cm="1">
        <f t="array" ref="J1143">_xlfn.IFS(Table_Sales[[#This Row],[amount]]&lt;1000,"Under 1000",Table_Sales[[#This Row],[amount]]&lt;3000,"1000 - 2999",Table_Sales[[#This Row],[amount]]&lt;5000,"3000 - 4999",TRUE,"5000 &amp; above")</f>
        <v>Under 1000</v>
      </c>
      <c r="K1143">
        <f>IF(COUNTIFS(INDEX(Table_Sales[order_id],1):Table_Sales[[#This Row],[order_id]],Table_Sales[[#This Row],[order_id]])=1,1,0)</f>
        <v>0</v>
      </c>
      <c r="L114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144" spans="1:12" x14ac:dyDescent="0.25">
      <c r="A1144" t="s">
        <v>62</v>
      </c>
      <c r="B1144" s="1">
        <v>53</v>
      </c>
      <c r="C1144" s="1">
        <v>-18</v>
      </c>
      <c r="D1144">
        <v>4</v>
      </c>
      <c r="E1144" t="s">
        <v>23</v>
      </c>
      <c r="F1144" t="s">
        <v>81</v>
      </c>
      <c r="G1144" t="s">
        <v>28</v>
      </c>
      <c r="H1144">
        <f>IF(Table_Sales[[#This Row],[profit]]&lt;0,1,0)</f>
        <v>1</v>
      </c>
      <c r="I1144" t="str" cm="1">
        <f t="array" ref="I1144">_xlfn.IFS(Table_Sales[[#This Row],[quantity]]&lt;=3,"1-3",Table_Sales[[#This Row],[quantity]]&lt;=7,"2-7",Table_Sales[[#This Row],[quantity]]&lt;=10,"8-10",TRUE,"11 and above")</f>
        <v>2-7</v>
      </c>
      <c r="J1144" t="str" cm="1">
        <f t="array" ref="J1144">_xlfn.IFS(Table_Sales[[#This Row],[amount]]&lt;1000,"Under 1000",Table_Sales[[#This Row],[amount]]&lt;3000,"1000 - 2999",Table_Sales[[#This Row],[amount]]&lt;5000,"3000 - 4999",TRUE,"5000 &amp; above")</f>
        <v>Under 1000</v>
      </c>
      <c r="K1144">
        <f>IF(COUNTIFS(INDEX(Table_Sales[order_id],1):Table_Sales[[#This Row],[order_id]],Table_Sales[[#This Row],[order_id]])=1,1,0)</f>
        <v>0</v>
      </c>
      <c r="L114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145" spans="1:12" x14ac:dyDescent="0.25">
      <c r="A1145" t="s">
        <v>461</v>
      </c>
      <c r="B1145" s="1">
        <v>51</v>
      </c>
      <c r="C1145" s="1">
        <v>7</v>
      </c>
      <c r="D1145">
        <v>2</v>
      </c>
      <c r="E1145" t="s">
        <v>12</v>
      </c>
      <c r="F1145" t="s">
        <v>131</v>
      </c>
      <c r="G1145" t="s">
        <v>28</v>
      </c>
      <c r="H1145">
        <f>IF(Table_Sales[[#This Row],[profit]]&lt;0,1,0)</f>
        <v>0</v>
      </c>
      <c r="I1145" t="str" cm="1">
        <f t="array" ref="I1145">_xlfn.IFS(Table_Sales[[#This Row],[quantity]]&lt;=3,"1-3",Table_Sales[[#This Row],[quantity]]&lt;=7,"2-7",Table_Sales[[#This Row],[quantity]]&lt;=10,"8-10",TRUE,"11 and above")</f>
        <v>1-3</v>
      </c>
      <c r="J1145" t="str" cm="1">
        <f t="array" ref="J1145">_xlfn.IFS(Table_Sales[[#This Row],[amount]]&lt;1000,"Under 1000",Table_Sales[[#This Row],[amount]]&lt;3000,"1000 - 2999",Table_Sales[[#This Row],[amount]]&lt;5000,"3000 - 4999",TRUE,"5000 &amp; above")</f>
        <v>Under 1000</v>
      </c>
      <c r="K1145">
        <f>IF(COUNTIFS(INDEX(Table_Sales[order_id],1):Table_Sales[[#This Row],[order_id]],Table_Sales[[#This Row],[order_id]])=1,1,0)</f>
        <v>0</v>
      </c>
      <c r="L114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146" spans="1:12" x14ac:dyDescent="0.25">
      <c r="A1146" t="s">
        <v>438</v>
      </c>
      <c r="B1146" s="1">
        <v>40</v>
      </c>
      <c r="C1146" s="1">
        <v>-37</v>
      </c>
      <c r="D1146">
        <v>3</v>
      </c>
      <c r="E1146" t="s">
        <v>23</v>
      </c>
      <c r="F1146" t="s">
        <v>57</v>
      </c>
      <c r="G1146" t="s">
        <v>10</v>
      </c>
      <c r="H1146">
        <f>IF(Table_Sales[[#This Row],[profit]]&lt;0,1,0)</f>
        <v>1</v>
      </c>
      <c r="I1146" t="str" cm="1">
        <f t="array" ref="I1146">_xlfn.IFS(Table_Sales[[#This Row],[quantity]]&lt;=3,"1-3",Table_Sales[[#This Row],[quantity]]&lt;=7,"2-7",Table_Sales[[#This Row],[quantity]]&lt;=10,"8-10",TRUE,"11 and above")</f>
        <v>1-3</v>
      </c>
      <c r="J1146" t="str" cm="1">
        <f t="array" ref="J1146">_xlfn.IFS(Table_Sales[[#This Row],[amount]]&lt;1000,"Under 1000",Table_Sales[[#This Row],[amount]]&lt;3000,"1000 - 2999",Table_Sales[[#This Row],[amount]]&lt;5000,"3000 - 4999",TRUE,"5000 &amp; above")</f>
        <v>Under 1000</v>
      </c>
      <c r="K1146">
        <f>IF(COUNTIFS(INDEX(Table_Sales[order_id],1):Table_Sales[[#This Row],[order_id]],Table_Sales[[#This Row],[order_id]])=1,1,0)</f>
        <v>0</v>
      </c>
      <c r="L114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147" spans="1:12" x14ac:dyDescent="0.25">
      <c r="A1147" t="s">
        <v>225</v>
      </c>
      <c r="B1147" s="1">
        <v>39</v>
      </c>
      <c r="C1147" s="1">
        <v>14</v>
      </c>
      <c r="D1147">
        <v>5</v>
      </c>
      <c r="E1147" t="s">
        <v>23</v>
      </c>
      <c r="F1147" t="s">
        <v>63</v>
      </c>
      <c r="G1147" t="s">
        <v>10</v>
      </c>
      <c r="H1147">
        <f>IF(Table_Sales[[#This Row],[profit]]&lt;0,1,0)</f>
        <v>0</v>
      </c>
      <c r="I1147" t="str" cm="1">
        <f t="array" ref="I1147">_xlfn.IFS(Table_Sales[[#This Row],[quantity]]&lt;=3,"1-3",Table_Sales[[#This Row],[quantity]]&lt;=7,"2-7",Table_Sales[[#This Row],[quantity]]&lt;=10,"8-10",TRUE,"11 and above")</f>
        <v>2-7</v>
      </c>
      <c r="J1147" t="str" cm="1">
        <f t="array" ref="J1147">_xlfn.IFS(Table_Sales[[#This Row],[amount]]&lt;1000,"Under 1000",Table_Sales[[#This Row],[amount]]&lt;3000,"1000 - 2999",Table_Sales[[#This Row],[amount]]&lt;5000,"3000 - 4999",TRUE,"5000 &amp; above")</f>
        <v>Under 1000</v>
      </c>
      <c r="K1147">
        <f>IF(COUNTIFS(INDEX(Table_Sales[order_id],1):Table_Sales[[#This Row],[order_id]],Table_Sales[[#This Row],[order_id]])=1,1,0)</f>
        <v>0</v>
      </c>
      <c r="L114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148" spans="1:12" x14ac:dyDescent="0.25">
      <c r="A1148" t="s">
        <v>485</v>
      </c>
      <c r="B1148" s="1">
        <v>355</v>
      </c>
      <c r="C1148" s="1">
        <v>-4</v>
      </c>
      <c r="D1148">
        <v>2</v>
      </c>
      <c r="E1148" t="s">
        <v>23</v>
      </c>
      <c r="F1148" t="s">
        <v>26</v>
      </c>
      <c r="G1148" t="s">
        <v>82</v>
      </c>
      <c r="H1148">
        <f>IF(Table_Sales[[#This Row],[profit]]&lt;0,1,0)</f>
        <v>1</v>
      </c>
      <c r="I1148" t="str" cm="1">
        <f t="array" ref="I1148">_xlfn.IFS(Table_Sales[[#This Row],[quantity]]&lt;=3,"1-3",Table_Sales[[#This Row],[quantity]]&lt;=7,"2-7",Table_Sales[[#This Row],[quantity]]&lt;=10,"8-10",TRUE,"11 and above")</f>
        <v>1-3</v>
      </c>
      <c r="J1148" t="str" cm="1">
        <f t="array" ref="J1148">_xlfn.IFS(Table_Sales[[#This Row],[amount]]&lt;1000,"Under 1000",Table_Sales[[#This Row],[amount]]&lt;3000,"1000 - 2999",Table_Sales[[#This Row],[amount]]&lt;5000,"3000 - 4999",TRUE,"5000 &amp; above")</f>
        <v>Under 1000</v>
      </c>
      <c r="K1148">
        <f>IF(COUNTIFS(INDEX(Table_Sales[order_id],1):Table_Sales[[#This Row],[order_id]],Table_Sales[[#This Row],[order_id]])=1,1,0)</f>
        <v>1</v>
      </c>
      <c r="L114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149" spans="1:12" x14ac:dyDescent="0.25">
      <c r="A1149" t="s">
        <v>27</v>
      </c>
      <c r="B1149" s="1">
        <v>357</v>
      </c>
      <c r="C1149" s="1">
        <v>139</v>
      </c>
      <c r="D1149">
        <v>2</v>
      </c>
      <c r="E1149" t="s">
        <v>23</v>
      </c>
      <c r="F1149" t="s">
        <v>26</v>
      </c>
      <c r="G1149" t="s">
        <v>82</v>
      </c>
      <c r="H1149">
        <f>IF(Table_Sales[[#This Row],[profit]]&lt;0,1,0)</f>
        <v>0</v>
      </c>
      <c r="I1149" t="str" cm="1">
        <f t="array" ref="I1149">_xlfn.IFS(Table_Sales[[#This Row],[quantity]]&lt;=3,"1-3",Table_Sales[[#This Row],[quantity]]&lt;=7,"2-7",Table_Sales[[#This Row],[quantity]]&lt;=10,"8-10",TRUE,"11 and above")</f>
        <v>1-3</v>
      </c>
      <c r="J1149" t="str" cm="1">
        <f t="array" ref="J1149">_xlfn.IFS(Table_Sales[[#This Row],[amount]]&lt;1000,"Under 1000",Table_Sales[[#This Row],[amount]]&lt;3000,"1000 - 2999",Table_Sales[[#This Row],[amount]]&lt;5000,"3000 - 4999",TRUE,"5000 &amp; above")</f>
        <v>Under 1000</v>
      </c>
      <c r="K1149">
        <f>IF(COUNTIFS(INDEX(Table_Sales[order_id],1):Table_Sales[[#This Row],[order_id]],Table_Sales[[#This Row],[order_id]])=1,1,0)</f>
        <v>0</v>
      </c>
      <c r="L114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150" spans="1:12" x14ac:dyDescent="0.25">
      <c r="A1150" t="s">
        <v>149</v>
      </c>
      <c r="B1150" s="1">
        <v>38</v>
      </c>
      <c r="C1150" s="1">
        <v>18</v>
      </c>
      <c r="D1150">
        <v>1</v>
      </c>
      <c r="E1150" t="s">
        <v>23</v>
      </c>
      <c r="F1150" t="s">
        <v>32</v>
      </c>
      <c r="G1150" t="s">
        <v>10</v>
      </c>
      <c r="H1150">
        <f>IF(Table_Sales[[#This Row],[profit]]&lt;0,1,0)</f>
        <v>0</v>
      </c>
      <c r="I1150" t="str" cm="1">
        <f t="array" ref="I1150">_xlfn.IFS(Table_Sales[[#This Row],[quantity]]&lt;=3,"1-3",Table_Sales[[#This Row],[quantity]]&lt;=7,"2-7",Table_Sales[[#This Row],[quantity]]&lt;=10,"8-10",TRUE,"11 and above")</f>
        <v>1-3</v>
      </c>
      <c r="J1150" t="str" cm="1">
        <f t="array" ref="J1150">_xlfn.IFS(Table_Sales[[#This Row],[amount]]&lt;1000,"Under 1000",Table_Sales[[#This Row],[amount]]&lt;3000,"1000 - 2999",Table_Sales[[#This Row],[amount]]&lt;5000,"3000 - 4999",TRUE,"5000 &amp; above")</f>
        <v>Under 1000</v>
      </c>
      <c r="K1150">
        <f>IF(COUNTIFS(INDEX(Table_Sales[order_id],1):Table_Sales[[#This Row],[order_id]],Table_Sales[[#This Row],[order_id]])=1,1,0)</f>
        <v>0</v>
      </c>
      <c r="L115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151" spans="1:12" x14ac:dyDescent="0.25">
      <c r="A1151" t="s">
        <v>230</v>
      </c>
      <c r="B1151" s="1">
        <v>38</v>
      </c>
      <c r="C1151" s="1">
        <v>9</v>
      </c>
      <c r="D1151">
        <v>2</v>
      </c>
      <c r="E1151" t="s">
        <v>23</v>
      </c>
      <c r="F1151" t="s">
        <v>57</v>
      </c>
      <c r="G1151" t="s">
        <v>10</v>
      </c>
      <c r="H1151">
        <f>IF(Table_Sales[[#This Row],[profit]]&lt;0,1,0)</f>
        <v>0</v>
      </c>
      <c r="I1151" t="str" cm="1">
        <f t="array" ref="I1151">_xlfn.IFS(Table_Sales[[#This Row],[quantity]]&lt;=3,"1-3",Table_Sales[[#This Row],[quantity]]&lt;=7,"2-7",Table_Sales[[#This Row],[quantity]]&lt;=10,"8-10",TRUE,"11 and above")</f>
        <v>1-3</v>
      </c>
      <c r="J1151" t="str" cm="1">
        <f t="array" ref="J1151">_xlfn.IFS(Table_Sales[[#This Row],[amount]]&lt;1000,"Under 1000",Table_Sales[[#This Row],[amount]]&lt;3000,"1000 - 2999",Table_Sales[[#This Row],[amount]]&lt;5000,"3000 - 4999",TRUE,"5000 &amp; above")</f>
        <v>Under 1000</v>
      </c>
      <c r="K1151">
        <f>IF(COUNTIFS(INDEX(Table_Sales[order_id],1):Table_Sales[[#This Row],[order_id]],Table_Sales[[#This Row],[order_id]])=1,1,0)</f>
        <v>0</v>
      </c>
      <c r="L115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152" spans="1:12" x14ac:dyDescent="0.25">
      <c r="A1152" t="s">
        <v>326</v>
      </c>
      <c r="B1152" s="1">
        <v>141</v>
      </c>
      <c r="C1152" s="1">
        <v>10</v>
      </c>
      <c r="D1152">
        <v>4</v>
      </c>
      <c r="E1152" t="s">
        <v>23</v>
      </c>
      <c r="F1152" t="s">
        <v>142</v>
      </c>
      <c r="G1152" t="s">
        <v>28</v>
      </c>
      <c r="H1152">
        <f>IF(Table_Sales[[#This Row],[profit]]&lt;0,1,0)</f>
        <v>0</v>
      </c>
      <c r="I1152" t="str" cm="1">
        <f t="array" ref="I1152">_xlfn.IFS(Table_Sales[[#This Row],[quantity]]&lt;=3,"1-3",Table_Sales[[#This Row],[quantity]]&lt;=7,"2-7",Table_Sales[[#This Row],[quantity]]&lt;=10,"8-10",TRUE,"11 and above")</f>
        <v>2-7</v>
      </c>
      <c r="J1152" t="str" cm="1">
        <f t="array" ref="J1152">_xlfn.IFS(Table_Sales[[#This Row],[amount]]&lt;1000,"Under 1000",Table_Sales[[#This Row],[amount]]&lt;3000,"1000 - 2999",Table_Sales[[#This Row],[amount]]&lt;5000,"3000 - 4999",TRUE,"5000 &amp; above")</f>
        <v>Under 1000</v>
      </c>
      <c r="K1152">
        <f>IF(COUNTIFS(INDEX(Table_Sales[order_id],1):Table_Sales[[#This Row],[order_id]],Table_Sales[[#This Row],[order_id]])=1,1,0)</f>
        <v>0</v>
      </c>
      <c r="L115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153" spans="1:12" x14ac:dyDescent="0.25">
      <c r="A1153" t="s">
        <v>424</v>
      </c>
      <c r="B1153" s="1">
        <v>36</v>
      </c>
      <c r="C1153" s="1">
        <v>4</v>
      </c>
      <c r="D1153">
        <v>9</v>
      </c>
      <c r="E1153" t="s">
        <v>23</v>
      </c>
      <c r="F1153" t="s">
        <v>30</v>
      </c>
      <c r="G1153" t="s">
        <v>10</v>
      </c>
      <c r="H1153">
        <f>IF(Table_Sales[[#This Row],[profit]]&lt;0,1,0)</f>
        <v>0</v>
      </c>
      <c r="I1153" t="str" cm="1">
        <f t="array" ref="I1153">_xlfn.IFS(Table_Sales[[#This Row],[quantity]]&lt;=3,"1-3",Table_Sales[[#This Row],[quantity]]&lt;=7,"2-7",Table_Sales[[#This Row],[quantity]]&lt;=10,"8-10",TRUE,"11 and above")</f>
        <v>8-10</v>
      </c>
      <c r="J1153" t="str" cm="1">
        <f t="array" ref="J1153">_xlfn.IFS(Table_Sales[[#This Row],[amount]]&lt;1000,"Under 1000",Table_Sales[[#This Row],[amount]]&lt;3000,"1000 - 2999",Table_Sales[[#This Row],[amount]]&lt;5000,"3000 - 4999",TRUE,"5000 &amp; above")</f>
        <v>Under 1000</v>
      </c>
      <c r="K1153">
        <f>IF(COUNTIFS(INDEX(Table_Sales[order_id],1):Table_Sales[[#This Row],[order_id]],Table_Sales[[#This Row],[order_id]])=1,1,0)</f>
        <v>0</v>
      </c>
      <c r="L115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154" spans="1:12" x14ac:dyDescent="0.25">
      <c r="A1154" t="s">
        <v>165</v>
      </c>
      <c r="B1154" s="1">
        <v>351</v>
      </c>
      <c r="C1154" s="1">
        <v>-94</v>
      </c>
      <c r="D1154">
        <v>5</v>
      </c>
      <c r="E1154" t="s">
        <v>8</v>
      </c>
      <c r="F1154" t="s">
        <v>9</v>
      </c>
      <c r="G1154" t="s">
        <v>10</v>
      </c>
      <c r="H1154">
        <f>IF(Table_Sales[[#This Row],[profit]]&lt;0,1,0)</f>
        <v>1</v>
      </c>
      <c r="I1154" t="str" cm="1">
        <f t="array" ref="I1154">_xlfn.IFS(Table_Sales[[#This Row],[quantity]]&lt;=3,"1-3",Table_Sales[[#This Row],[quantity]]&lt;=7,"2-7",Table_Sales[[#This Row],[quantity]]&lt;=10,"8-10",TRUE,"11 and above")</f>
        <v>2-7</v>
      </c>
      <c r="J1154" t="str" cm="1">
        <f t="array" ref="J1154">_xlfn.IFS(Table_Sales[[#This Row],[amount]]&lt;1000,"Under 1000",Table_Sales[[#This Row],[amount]]&lt;3000,"1000 - 2999",Table_Sales[[#This Row],[amount]]&lt;5000,"3000 - 4999",TRUE,"5000 &amp; above")</f>
        <v>Under 1000</v>
      </c>
      <c r="K1154">
        <f>IF(COUNTIFS(INDEX(Table_Sales[order_id],1):Table_Sales[[#This Row],[order_id]],Table_Sales[[#This Row],[order_id]])=1,1,0)</f>
        <v>0</v>
      </c>
      <c r="L115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155" spans="1:12" x14ac:dyDescent="0.25">
      <c r="A1155" t="s">
        <v>231</v>
      </c>
      <c r="B1155" s="1">
        <v>369</v>
      </c>
      <c r="C1155" s="1">
        <v>15</v>
      </c>
      <c r="D1155">
        <v>3</v>
      </c>
      <c r="E1155" t="s">
        <v>8</v>
      </c>
      <c r="F1155" t="s">
        <v>9</v>
      </c>
      <c r="G1155" t="s">
        <v>82</v>
      </c>
      <c r="H1155">
        <f>IF(Table_Sales[[#This Row],[profit]]&lt;0,1,0)</f>
        <v>0</v>
      </c>
      <c r="I1155" t="str" cm="1">
        <f t="array" ref="I1155">_xlfn.IFS(Table_Sales[[#This Row],[quantity]]&lt;=3,"1-3",Table_Sales[[#This Row],[quantity]]&lt;=7,"2-7",Table_Sales[[#This Row],[quantity]]&lt;=10,"8-10",TRUE,"11 and above")</f>
        <v>1-3</v>
      </c>
      <c r="J1155" t="str" cm="1">
        <f t="array" ref="J1155">_xlfn.IFS(Table_Sales[[#This Row],[amount]]&lt;1000,"Under 1000",Table_Sales[[#This Row],[amount]]&lt;3000,"1000 - 2999",Table_Sales[[#This Row],[amount]]&lt;5000,"3000 - 4999",TRUE,"5000 &amp; above")</f>
        <v>Under 1000</v>
      </c>
      <c r="K1155">
        <f>IF(COUNTIFS(INDEX(Table_Sales[order_id],1):Table_Sales[[#This Row],[order_id]],Table_Sales[[#This Row],[order_id]])=1,1,0)</f>
        <v>0</v>
      </c>
      <c r="L115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156" spans="1:12" x14ac:dyDescent="0.25">
      <c r="A1156" t="s">
        <v>31</v>
      </c>
      <c r="B1156" s="1">
        <v>53</v>
      </c>
      <c r="C1156" s="1">
        <v>24</v>
      </c>
      <c r="D1156">
        <v>6</v>
      </c>
      <c r="E1156" t="s">
        <v>23</v>
      </c>
      <c r="F1156" t="s">
        <v>30</v>
      </c>
      <c r="G1156" t="s">
        <v>14</v>
      </c>
      <c r="H1156">
        <f>IF(Table_Sales[[#This Row],[profit]]&lt;0,1,0)</f>
        <v>0</v>
      </c>
      <c r="I1156" t="str" cm="1">
        <f t="array" ref="I1156">_xlfn.IFS(Table_Sales[[#This Row],[quantity]]&lt;=3,"1-3",Table_Sales[[#This Row],[quantity]]&lt;=7,"2-7",Table_Sales[[#This Row],[quantity]]&lt;=10,"8-10",TRUE,"11 and above")</f>
        <v>2-7</v>
      </c>
      <c r="J1156" t="str" cm="1">
        <f t="array" ref="J1156">_xlfn.IFS(Table_Sales[[#This Row],[amount]]&lt;1000,"Under 1000",Table_Sales[[#This Row],[amount]]&lt;3000,"1000 - 2999",Table_Sales[[#This Row],[amount]]&lt;5000,"3000 - 4999",TRUE,"5000 &amp; above")</f>
        <v>Under 1000</v>
      </c>
      <c r="K1156">
        <f>IF(COUNTIFS(INDEX(Table_Sales[order_id],1):Table_Sales[[#This Row],[order_id]],Table_Sales[[#This Row],[order_id]])=1,1,0)</f>
        <v>0</v>
      </c>
      <c r="L115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157" spans="1:12" x14ac:dyDescent="0.25">
      <c r="A1157" t="s">
        <v>486</v>
      </c>
      <c r="B1157" s="1">
        <v>371</v>
      </c>
      <c r="C1157" s="1">
        <v>115</v>
      </c>
      <c r="D1157">
        <v>1</v>
      </c>
      <c r="E1157" t="s">
        <v>12</v>
      </c>
      <c r="F1157" t="s">
        <v>16</v>
      </c>
      <c r="G1157" t="s">
        <v>82</v>
      </c>
      <c r="H1157">
        <f>IF(Table_Sales[[#This Row],[profit]]&lt;0,1,0)</f>
        <v>0</v>
      </c>
      <c r="I1157" t="str" cm="1">
        <f t="array" ref="I1157">_xlfn.IFS(Table_Sales[[#This Row],[quantity]]&lt;=3,"1-3",Table_Sales[[#This Row],[quantity]]&lt;=7,"2-7",Table_Sales[[#This Row],[quantity]]&lt;=10,"8-10",TRUE,"11 and above")</f>
        <v>1-3</v>
      </c>
      <c r="J1157" t="str" cm="1">
        <f t="array" ref="J1157">_xlfn.IFS(Table_Sales[[#This Row],[amount]]&lt;1000,"Under 1000",Table_Sales[[#This Row],[amount]]&lt;3000,"1000 - 2999",Table_Sales[[#This Row],[amount]]&lt;5000,"3000 - 4999",TRUE,"5000 &amp; above")</f>
        <v>Under 1000</v>
      </c>
      <c r="K1157">
        <f>IF(COUNTIFS(INDEX(Table_Sales[order_id],1):Table_Sales[[#This Row],[order_id]],Table_Sales[[#This Row],[order_id]])=1,1,0)</f>
        <v>1</v>
      </c>
      <c r="L115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158" spans="1:12" x14ac:dyDescent="0.25">
      <c r="A1158" t="s">
        <v>115</v>
      </c>
      <c r="B1158" s="1">
        <v>499</v>
      </c>
      <c r="C1158" s="1">
        <v>33</v>
      </c>
      <c r="D1158">
        <v>4</v>
      </c>
      <c r="E1158" t="s">
        <v>23</v>
      </c>
      <c r="F1158" t="s">
        <v>26</v>
      </c>
      <c r="G1158" t="s">
        <v>10</v>
      </c>
      <c r="H1158">
        <f>IF(Table_Sales[[#This Row],[profit]]&lt;0,1,0)</f>
        <v>0</v>
      </c>
      <c r="I1158" t="str" cm="1">
        <f t="array" ref="I1158">_xlfn.IFS(Table_Sales[[#This Row],[quantity]]&lt;=3,"1-3",Table_Sales[[#This Row],[quantity]]&lt;=7,"2-7",Table_Sales[[#This Row],[quantity]]&lt;=10,"8-10",TRUE,"11 and above")</f>
        <v>2-7</v>
      </c>
      <c r="J1158" t="str" cm="1">
        <f t="array" ref="J1158">_xlfn.IFS(Table_Sales[[#This Row],[amount]]&lt;1000,"Under 1000",Table_Sales[[#This Row],[amount]]&lt;3000,"1000 - 2999",Table_Sales[[#This Row],[amount]]&lt;5000,"3000 - 4999",TRUE,"5000 &amp; above")</f>
        <v>Under 1000</v>
      </c>
      <c r="K1158">
        <f>IF(COUNTIFS(INDEX(Table_Sales[order_id],1):Table_Sales[[#This Row],[order_id]],Table_Sales[[#This Row],[order_id]])=1,1,0)</f>
        <v>0</v>
      </c>
      <c r="L115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159" spans="1:12" x14ac:dyDescent="0.25">
      <c r="A1159" t="s">
        <v>202</v>
      </c>
      <c r="B1159" s="1">
        <v>223</v>
      </c>
      <c r="C1159" s="1">
        <v>62</v>
      </c>
      <c r="D1159">
        <v>7</v>
      </c>
      <c r="E1159" t="s">
        <v>23</v>
      </c>
      <c r="F1159" t="s">
        <v>142</v>
      </c>
      <c r="G1159" t="s">
        <v>10</v>
      </c>
      <c r="H1159">
        <f>IF(Table_Sales[[#This Row],[profit]]&lt;0,1,0)</f>
        <v>0</v>
      </c>
      <c r="I1159" t="str" cm="1">
        <f t="array" ref="I1159">_xlfn.IFS(Table_Sales[[#This Row],[quantity]]&lt;=3,"1-3",Table_Sales[[#This Row],[quantity]]&lt;=7,"2-7",Table_Sales[[#This Row],[quantity]]&lt;=10,"8-10",TRUE,"11 and above")</f>
        <v>2-7</v>
      </c>
      <c r="J1159" t="str" cm="1">
        <f t="array" ref="J1159">_xlfn.IFS(Table_Sales[[#This Row],[amount]]&lt;1000,"Under 1000",Table_Sales[[#This Row],[amount]]&lt;3000,"1000 - 2999",Table_Sales[[#This Row],[amount]]&lt;5000,"3000 - 4999",TRUE,"5000 &amp; above")</f>
        <v>Under 1000</v>
      </c>
      <c r="K1159">
        <f>IF(COUNTIFS(INDEX(Table_Sales[order_id],1):Table_Sales[[#This Row],[order_id]],Table_Sales[[#This Row],[order_id]])=1,1,0)</f>
        <v>0</v>
      </c>
      <c r="L115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160" spans="1:12" x14ac:dyDescent="0.25">
      <c r="A1160" t="s">
        <v>223</v>
      </c>
      <c r="B1160" s="1">
        <v>50</v>
      </c>
      <c r="C1160" s="1">
        <v>-4</v>
      </c>
      <c r="D1160">
        <v>6</v>
      </c>
      <c r="E1160" t="s">
        <v>23</v>
      </c>
      <c r="F1160" t="s">
        <v>81</v>
      </c>
      <c r="G1160" t="s">
        <v>14</v>
      </c>
      <c r="H1160">
        <f>IF(Table_Sales[[#This Row],[profit]]&lt;0,1,0)</f>
        <v>1</v>
      </c>
      <c r="I1160" t="str" cm="1">
        <f t="array" ref="I1160">_xlfn.IFS(Table_Sales[[#This Row],[quantity]]&lt;=3,"1-3",Table_Sales[[#This Row],[quantity]]&lt;=7,"2-7",Table_Sales[[#This Row],[quantity]]&lt;=10,"8-10",TRUE,"11 and above")</f>
        <v>2-7</v>
      </c>
      <c r="J1160" t="str" cm="1">
        <f t="array" ref="J1160">_xlfn.IFS(Table_Sales[[#This Row],[amount]]&lt;1000,"Under 1000",Table_Sales[[#This Row],[amount]]&lt;3000,"1000 - 2999",Table_Sales[[#This Row],[amount]]&lt;5000,"3000 - 4999",TRUE,"5000 &amp; above")</f>
        <v>Under 1000</v>
      </c>
      <c r="K1160">
        <f>IF(COUNTIFS(INDEX(Table_Sales[order_id],1):Table_Sales[[#This Row],[order_id]],Table_Sales[[#This Row],[order_id]])=1,1,0)</f>
        <v>0</v>
      </c>
      <c r="L116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161" spans="1:12" x14ac:dyDescent="0.25">
      <c r="A1161" t="s">
        <v>211</v>
      </c>
      <c r="B1161" s="1">
        <v>391</v>
      </c>
      <c r="C1161" s="1">
        <v>90</v>
      </c>
      <c r="D1161">
        <v>6</v>
      </c>
      <c r="E1161" t="s">
        <v>8</v>
      </c>
      <c r="F1161" t="s">
        <v>21</v>
      </c>
      <c r="G1161" t="s">
        <v>82</v>
      </c>
      <c r="H1161">
        <f>IF(Table_Sales[[#This Row],[profit]]&lt;0,1,0)</f>
        <v>0</v>
      </c>
      <c r="I1161" t="str" cm="1">
        <f t="array" ref="I1161">_xlfn.IFS(Table_Sales[[#This Row],[quantity]]&lt;=3,"1-3",Table_Sales[[#This Row],[quantity]]&lt;=7,"2-7",Table_Sales[[#This Row],[quantity]]&lt;=10,"8-10",TRUE,"11 and above")</f>
        <v>2-7</v>
      </c>
      <c r="J1161" t="str" cm="1">
        <f t="array" ref="J1161">_xlfn.IFS(Table_Sales[[#This Row],[amount]]&lt;1000,"Under 1000",Table_Sales[[#This Row],[amount]]&lt;3000,"1000 - 2999",Table_Sales[[#This Row],[amount]]&lt;5000,"3000 - 4999",TRUE,"5000 &amp; above")</f>
        <v>Under 1000</v>
      </c>
      <c r="K1161">
        <f>IF(COUNTIFS(INDEX(Table_Sales[order_id],1):Table_Sales[[#This Row],[order_id]],Table_Sales[[#This Row],[order_id]])=1,1,0)</f>
        <v>0</v>
      </c>
      <c r="L116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162" spans="1:12" x14ac:dyDescent="0.25">
      <c r="A1162" t="s">
        <v>487</v>
      </c>
      <c r="B1162" s="1">
        <v>416</v>
      </c>
      <c r="C1162" s="1">
        <v>137</v>
      </c>
      <c r="D1162">
        <v>3</v>
      </c>
      <c r="E1162" t="s">
        <v>8</v>
      </c>
      <c r="F1162" t="s">
        <v>21</v>
      </c>
      <c r="G1162" t="s">
        <v>82</v>
      </c>
      <c r="H1162">
        <f>IF(Table_Sales[[#This Row],[profit]]&lt;0,1,0)</f>
        <v>0</v>
      </c>
      <c r="I1162" t="str" cm="1">
        <f t="array" ref="I1162">_xlfn.IFS(Table_Sales[[#This Row],[quantity]]&lt;=3,"1-3",Table_Sales[[#This Row],[quantity]]&lt;=7,"2-7",Table_Sales[[#This Row],[quantity]]&lt;=10,"8-10",TRUE,"11 and above")</f>
        <v>1-3</v>
      </c>
      <c r="J1162" t="str" cm="1">
        <f t="array" ref="J1162">_xlfn.IFS(Table_Sales[[#This Row],[amount]]&lt;1000,"Under 1000",Table_Sales[[#This Row],[amount]]&lt;3000,"1000 - 2999",Table_Sales[[#This Row],[amount]]&lt;5000,"3000 - 4999",TRUE,"5000 &amp; above")</f>
        <v>Under 1000</v>
      </c>
      <c r="K1162">
        <f>IF(COUNTIFS(INDEX(Table_Sales[order_id],1):Table_Sales[[#This Row],[order_id]],Table_Sales[[#This Row],[order_id]])=1,1,0)</f>
        <v>1</v>
      </c>
      <c r="L116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163" spans="1:12" x14ac:dyDescent="0.25">
      <c r="A1163" t="s">
        <v>469</v>
      </c>
      <c r="B1163" s="1">
        <v>424</v>
      </c>
      <c r="C1163" s="1">
        <v>-17</v>
      </c>
      <c r="D1163">
        <v>9</v>
      </c>
      <c r="E1163" t="s">
        <v>12</v>
      </c>
      <c r="F1163" t="s">
        <v>13</v>
      </c>
      <c r="G1163" t="s">
        <v>82</v>
      </c>
      <c r="H1163">
        <f>IF(Table_Sales[[#This Row],[profit]]&lt;0,1,0)</f>
        <v>1</v>
      </c>
      <c r="I1163" t="str" cm="1">
        <f t="array" ref="I1163">_xlfn.IFS(Table_Sales[[#This Row],[quantity]]&lt;=3,"1-3",Table_Sales[[#This Row],[quantity]]&lt;=7,"2-7",Table_Sales[[#This Row],[quantity]]&lt;=10,"8-10",TRUE,"11 and above")</f>
        <v>8-10</v>
      </c>
      <c r="J1163" t="str" cm="1">
        <f t="array" ref="J1163">_xlfn.IFS(Table_Sales[[#This Row],[amount]]&lt;1000,"Under 1000",Table_Sales[[#This Row],[amount]]&lt;3000,"1000 - 2999",Table_Sales[[#This Row],[amount]]&lt;5000,"3000 - 4999",TRUE,"5000 &amp; above")</f>
        <v>Under 1000</v>
      </c>
      <c r="K1163">
        <f>IF(COUNTIFS(INDEX(Table_Sales[order_id],1):Table_Sales[[#This Row],[order_id]],Table_Sales[[#This Row],[order_id]])=1,1,0)</f>
        <v>0</v>
      </c>
      <c r="L116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164" spans="1:12" x14ac:dyDescent="0.25">
      <c r="A1164" t="s">
        <v>65</v>
      </c>
      <c r="B1164" s="1">
        <v>362</v>
      </c>
      <c r="C1164" s="1">
        <v>127</v>
      </c>
      <c r="D1164">
        <v>1</v>
      </c>
      <c r="E1164" t="s">
        <v>12</v>
      </c>
      <c r="F1164" t="s">
        <v>16</v>
      </c>
      <c r="G1164" t="s">
        <v>10</v>
      </c>
      <c r="H1164">
        <f>IF(Table_Sales[[#This Row],[profit]]&lt;0,1,0)</f>
        <v>0</v>
      </c>
      <c r="I1164" t="str" cm="1">
        <f t="array" ref="I1164">_xlfn.IFS(Table_Sales[[#This Row],[quantity]]&lt;=3,"1-3",Table_Sales[[#This Row],[quantity]]&lt;=7,"2-7",Table_Sales[[#This Row],[quantity]]&lt;=10,"8-10",TRUE,"11 and above")</f>
        <v>1-3</v>
      </c>
      <c r="J1164" t="str" cm="1">
        <f t="array" ref="J1164">_xlfn.IFS(Table_Sales[[#This Row],[amount]]&lt;1000,"Under 1000",Table_Sales[[#This Row],[amount]]&lt;3000,"1000 - 2999",Table_Sales[[#This Row],[amount]]&lt;5000,"3000 - 4999",TRUE,"5000 &amp; above")</f>
        <v>Under 1000</v>
      </c>
      <c r="K1164">
        <f>IF(COUNTIFS(INDEX(Table_Sales[order_id],1):Table_Sales[[#This Row],[order_id]],Table_Sales[[#This Row],[order_id]])=1,1,0)</f>
        <v>0</v>
      </c>
      <c r="L116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165" spans="1:12" x14ac:dyDescent="0.25">
      <c r="A1165" t="s">
        <v>29</v>
      </c>
      <c r="B1165" s="1">
        <v>36</v>
      </c>
      <c r="C1165" s="1">
        <v>-7</v>
      </c>
      <c r="D1165">
        <v>1</v>
      </c>
      <c r="E1165" t="s">
        <v>8</v>
      </c>
      <c r="F1165" t="s">
        <v>9</v>
      </c>
      <c r="G1165" t="s">
        <v>10</v>
      </c>
      <c r="H1165">
        <f>IF(Table_Sales[[#This Row],[profit]]&lt;0,1,0)</f>
        <v>1</v>
      </c>
      <c r="I1165" t="str" cm="1">
        <f t="array" ref="I1165">_xlfn.IFS(Table_Sales[[#This Row],[quantity]]&lt;=3,"1-3",Table_Sales[[#This Row],[quantity]]&lt;=7,"2-7",Table_Sales[[#This Row],[quantity]]&lt;=10,"8-10",TRUE,"11 and above")</f>
        <v>1-3</v>
      </c>
      <c r="J1165" t="str" cm="1">
        <f t="array" ref="J1165">_xlfn.IFS(Table_Sales[[#This Row],[amount]]&lt;1000,"Under 1000",Table_Sales[[#This Row],[amount]]&lt;3000,"1000 - 2999",Table_Sales[[#This Row],[amount]]&lt;5000,"3000 - 4999",TRUE,"5000 &amp; above")</f>
        <v>Under 1000</v>
      </c>
      <c r="K1165">
        <f>IF(COUNTIFS(INDEX(Table_Sales[order_id],1):Table_Sales[[#This Row],[order_id]],Table_Sales[[#This Row],[order_id]])=1,1,0)</f>
        <v>0</v>
      </c>
      <c r="L116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166" spans="1:12" x14ac:dyDescent="0.25">
      <c r="A1166" t="s">
        <v>209</v>
      </c>
      <c r="B1166" s="1">
        <v>34</v>
      </c>
      <c r="C1166" s="1">
        <v>-10</v>
      </c>
      <c r="D1166">
        <v>3</v>
      </c>
      <c r="E1166" t="s">
        <v>23</v>
      </c>
      <c r="F1166" t="s">
        <v>43</v>
      </c>
      <c r="G1166" t="s">
        <v>10</v>
      </c>
      <c r="H1166">
        <f>IF(Table_Sales[[#This Row],[profit]]&lt;0,1,0)</f>
        <v>1</v>
      </c>
      <c r="I1166" t="str" cm="1">
        <f t="array" ref="I1166">_xlfn.IFS(Table_Sales[[#This Row],[quantity]]&lt;=3,"1-3",Table_Sales[[#This Row],[quantity]]&lt;=7,"2-7",Table_Sales[[#This Row],[quantity]]&lt;=10,"8-10",TRUE,"11 and above")</f>
        <v>1-3</v>
      </c>
      <c r="J1166" t="str" cm="1">
        <f t="array" ref="J1166">_xlfn.IFS(Table_Sales[[#This Row],[amount]]&lt;1000,"Under 1000",Table_Sales[[#This Row],[amount]]&lt;3000,"1000 - 2999",Table_Sales[[#This Row],[amount]]&lt;5000,"3000 - 4999",TRUE,"5000 &amp; above")</f>
        <v>Under 1000</v>
      </c>
      <c r="K1166">
        <f>IF(COUNTIFS(INDEX(Table_Sales[order_id],1):Table_Sales[[#This Row],[order_id]],Table_Sales[[#This Row],[order_id]])=1,1,0)</f>
        <v>0</v>
      </c>
      <c r="L116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167" spans="1:12" x14ac:dyDescent="0.25">
      <c r="A1167" t="s">
        <v>186</v>
      </c>
      <c r="B1167" s="1">
        <v>367</v>
      </c>
      <c r="C1167" s="1">
        <v>73</v>
      </c>
      <c r="D1167">
        <v>3</v>
      </c>
      <c r="E1167" t="s">
        <v>8</v>
      </c>
      <c r="F1167" t="s">
        <v>9</v>
      </c>
      <c r="G1167" t="s">
        <v>28</v>
      </c>
      <c r="H1167">
        <f>IF(Table_Sales[[#This Row],[profit]]&lt;0,1,0)</f>
        <v>0</v>
      </c>
      <c r="I1167" t="str" cm="1">
        <f t="array" ref="I1167">_xlfn.IFS(Table_Sales[[#This Row],[quantity]]&lt;=3,"1-3",Table_Sales[[#This Row],[quantity]]&lt;=7,"2-7",Table_Sales[[#This Row],[quantity]]&lt;=10,"8-10",TRUE,"11 and above")</f>
        <v>1-3</v>
      </c>
      <c r="J1167" t="str" cm="1">
        <f t="array" ref="J1167">_xlfn.IFS(Table_Sales[[#This Row],[amount]]&lt;1000,"Under 1000",Table_Sales[[#This Row],[amount]]&lt;3000,"1000 - 2999",Table_Sales[[#This Row],[amount]]&lt;5000,"3000 - 4999",TRUE,"5000 &amp; above")</f>
        <v>Under 1000</v>
      </c>
      <c r="K1167">
        <f>IF(COUNTIFS(INDEX(Table_Sales[order_id],1):Table_Sales[[#This Row],[order_id]],Table_Sales[[#This Row],[order_id]])=1,1,0)</f>
        <v>0</v>
      </c>
      <c r="L116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168" spans="1:12" x14ac:dyDescent="0.25">
      <c r="A1168" t="s">
        <v>167</v>
      </c>
      <c r="B1168" s="1">
        <v>425</v>
      </c>
      <c r="C1168" s="1">
        <v>208</v>
      </c>
      <c r="D1168">
        <v>7</v>
      </c>
      <c r="E1168" t="s">
        <v>23</v>
      </c>
      <c r="F1168" t="s">
        <v>26</v>
      </c>
      <c r="G1168" t="s">
        <v>82</v>
      </c>
      <c r="H1168">
        <f>IF(Table_Sales[[#This Row],[profit]]&lt;0,1,0)</f>
        <v>0</v>
      </c>
      <c r="I1168" t="str" cm="1">
        <f t="array" ref="I1168">_xlfn.IFS(Table_Sales[[#This Row],[quantity]]&lt;=3,"1-3",Table_Sales[[#This Row],[quantity]]&lt;=7,"2-7",Table_Sales[[#This Row],[quantity]]&lt;=10,"8-10",TRUE,"11 and above")</f>
        <v>2-7</v>
      </c>
      <c r="J1168" t="str" cm="1">
        <f t="array" ref="J1168">_xlfn.IFS(Table_Sales[[#This Row],[amount]]&lt;1000,"Under 1000",Table_Sales[[#This Row],[amount]]&lt;3000,"1000 - 2999",Table_Sales[[#This Row],[amount]]&lt;5000,"3000 - 4999",TRUE,"5000 &amp; above")</f>
        <v>Under 1000</v>
      </c>
      <c r="K1168">
        <f>IF(COUNTIFS(INDEX(Table_Sales[order_id],1):Table_Sales[[#This Row],[order_id]],Table_Sales[[#This Row],[order_id]])=1,1,0)</f>
        <v>0</v>
      </c>
      <c r="L116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169" spans="1:12" x14ac:dyDescent="0.25">
      <c r="A1169" t="s">
        <v>400</v>
      </c>
      <c r="B1169" s="1">
        <v>433</v>
      </c>
      <c r="C1169" s="1">
        <v>26</v>
      </c>
      <c r="D1169">
        <v>3</v>
      </c>
      <c r="E1169" t="s">
        <v>8</v>
      </c>
      <c r="F1169" t="s">
        <v>18</v>
      </c>
      <c r="G1169" t="s">
        <v>82</v>
      </c>
      <c r="H1169">
        <f>IF(Table_Sales[[#This Row],[profit]]&lt;0,1,0)</f>
        <v>0</v>
      </c>
      <c r="I1169" t="str" cm="1">
        <f t="array" ref="I1169">_xlfn.IFS(Table_Sales[[#This Row],[quantity]]&lt;=3,"1-3",Table_Sales[[#This Row],[quantity]]&lt;=7,"2-7",Table_Sales[[#This Row],[quantity]]&lt;=10,"8-10",TRUE,"11 and above")</f>
        <v>1-3</v>
      </c>
      <c r="J1169" t="str" cm="1">
        <f t="array" ref="J1169">_xlfn.IFS(Table_Sales[[#This Row],[amount]]&lt;1000,"Under 1000",Table_Sales[[#This Row],[amount]]&lt;3000,"1000 - 2999",Table_Sales[[#This Row],[amount]]&lt;5000,"3000 - 4999",TRUE,"5000 &amp; above")</f>
        <v>Under 1000</v>
      </c>
      <c r="K1169">
        <f>IF(COUNTIFS(INDEX(Table_Sales[order_id],1):Table_Sales[[#This Row],[order_id]],Table_Sales[[#This Row],[order_id]])=1,1,0)</f>
        <v>0</v>
      </c>
      <c r="L116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170" spans="1:12" x14ac:dyDescent="0.25">
      <c r="A1170" t="s">
        <v>486</v>
      </c>
      <c r="B1170" s="1">
        <v>460</v>
      </c>
      <c r="C1170" s="1">
        <v>31</v>
      </c>
      <c r="D1170">
        <v>3</v>
      </c>
      <c r="E1170" t="s">
        <v>12</v>
      </c>
      <c r="F1170" t="s">
        <v>16</v>
      </c>
      <c r="G1170" t="s">
        <v>82</v>
      </c>
      <c r="H1170">
        <f>IF(Table_Sales[[#This Row],[profit]]&lt;0,1,0)</f>
        <v>0</v>
      </c>
      <c r="I1170" t="str" cm="1">
        <f t="array" ref="I1170">_xlfn.IFS(Table_Sales[[#This Row],[quantity]]&lt;=3,"1-3",Table_Sales[[#This Row],[quantity]]&lt;=7,"2-7",Table_Sales[[#This Row],[quantity]]&lt;=10,"8-10",TRUE,"11 and above")</f>
        <v>1-3</v>
      </c>
      <c r="J1170" t="str" cm="1">
        <f t="array" ref="J1170">_xlfn.IFS(Table_Sales[[#This Row],[amount]]&lt;1000,"Under 1000",Table_Sales[[#This Row],[amount]]&lt;3000,"1000 - 2999",Table_Sales[[#This Row],[amount]]&lt;5000,"3000 - 4999",TRUE,"5000 &amp; above")</f>
        <v>Under 1000</v>
      </c>
      <c r="K1170">
        <f>IF(COUNTIFS(INDEX(Table_Sales[order_id],1):Table_Sales[[#This Row],[order_id]],Table_Sales[[#This Row],[order_id]])=1,1,0)</f>
        <v>0</v>
      </c>
      <c r="L117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171" spans="1:12" x14ac:dyDescent="0.25">
      <c r="A1171" t="s">
        <v>288</v>
      </c>
      <c r="B1171" s="1">
        <v>62</v>
      </c>
      <c r="C1171" s="1">
        <v>-56</v>
      </c>
      <c r="D1171">
        <v>5</v>
      </c>
      <c r="E1171" t="s">
        <v>23</v>
      </c>
      <c r="F1171" t="s">
        <v>32</v>
      </c>
      <c r="G1171" t="s">
        <v>10</v>
      </c>
      <c r="H1171">
        <f>IF(Table_Sales[[#This Row],[profit]]&lt;0,1,0)</f>
        <v>1</v>
      </c>
      <c r="I1171" t="str" cm="1">
        <f t="array" ref="I1171">_xlfn.IFS(Table_Sales[[#This Row],[quantity]]&lt;=3,"1-3",Table_Sales[[#This Row],[quantity]]&lt;=7,"2-7",Table_Sales[[#This Row],[quantity]]&lt;=10,"8-10",TRUE,"11 and above")</f>
        <v>2-7</v>
      </c>
      <c r="J1171" t="str" cm="1">
        <f t="array" ref="J1171">_xlfn.IFS(Table_Sales[[#This Row],[amount]]&lt;1000,"Under 1000",Table_Sales[[#This Row],[amount]]&lt;3000,"1000 - 2999",Table_Sales[[#This Row],[amount]]&lt;5000,"3000 - 4999",TRUE,"5000 &amp; above")</f>
        <v>Under 1000</v>
      </c>
      <c r="K1171">
        <f>IF(COUNTIFS(INDEX(Table_Sales[order_id],1):Table_Sales[[#This Row],[order_id]],Table_Sales[[#This Row],[order_id]])=1,1,0)</f>
        <v>0</v>
      </c>
      <c r="L117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172" spans="1:12" x14ac:dyDescent="0.25">
      <c r="A1172" t="s">
        <v>113</v>
      </c>
      <c r="B1172" s="1">
        <v>50</v>
      </c>
      <c r="C1172" s="1">
        <v>16</v>
      </c>
      <c r="D1172">
        <v>1</v>
      </c>
      <c r="E1172" t="s">
        <v>23</v>
      </c>
      <c r="F1172" t="s">
        <v>57</v>
      </c>
      <c r="G1172" t="s">
        <v>14</v>
      </c>
      <c r="H1172">
        <f>IF(Table_Sales[[#This Row],[profit]]&lt;0,1,0)</f>
        <v>0</v>
      </c>
      <c r="I1172" t="str" cm="1">
        <f t="array" ref="I1172">_xlfn.IFS(Table_Sales[[#This Row],[quantity]]&lt;=3,"1-3",Table_Sales[[#This Row],[quantity]]&lt;=7,"2-7",Table_Sales[[#This Row],[quantity]]&lt;=10,"8-10",TRUE,"11 and above")</f>
        <v>1-3</v>
      </c>
      <c r="J1172" t="str" cm="1">
        <f t="array" ref="J1172">_xlfn.IFS(Table_Sales[[#This Row],[amount]]&lt;1000,"Under 1000",Table_Sales[[#This Row],[amount]]&lt;3000,"1000 - 2999",Table_Sales[[#This Row],[amount]]&lt;5000,"3000 - 4999",TRUE,"5000 &amp; above")</f>
        <v>Under 1000</v>
      </c>
      <c r="K1172">
        <f>IF(COUNTIFS(INDEX(Table_Sales[order_id],1):Table_Sales[[#This Row],[order_id]],Table_Sales[[#This Row],[order_id]])=1,1,0)</f>
        <v>0</v>
      </c>
      <c r="L117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173" spans="1:12" x14ac:dyDescent="0.25">
      <c r="A1173" t="s">
        <v>401</v>
      </c>
      <c r="B1173" s="1">
        <v>460</v>
      </c>
      <c r="C1173" s="1">
        <v>-143</v>
      </c>
      <c r="D1173">
        <v>3</v>
      </c>
      <c r="E1173" t="s">
        <v>12</v>
      </c>
      <c r="F1173" t="s">
        <v>13</v>
      </c>
      <c r="G1173" t="s">
        <v>82</v>
      </c>
      <c r="H1173">
        <f>IF(Table_Sales[[#This Row],[profit]]&lt;0,1,0)</f>
        <v>1</v>
      </c>
      <c r="I1173" t="str" cm="1">
        <f t="array" ref="I1173">_xlfn.IFS(Table_Sales[[#This Row],[quantity]]&lt;=3,"1-3",Table_Sales[[#This Row],[quantity]]&lt;=7,"2-7",Table_Sales[[#This Row],[quantity]]&lt;=10,"8-10",TRUE,"11 and above")</f>
        <v>1-3</v>
      </c>
      <c r="J1173" t="str" cm="1">
        <f t="array" ref="J1173">_xlfn.IFS(Table_Sales[[#This Row],[amount]]&lt;1000,"Under 1000",Table_Sales[[#This Row],[amount]]&lt;3000,"1000 - 2999",Table_Sales[[#This Row],[amount]]&lt;5000,"3000 - 4999",TRUE,"5000 &amp; above")</f>
        <v>Under 1000</v>
      </c>
      <c r="K1173">
        <f>IF(COUNTIFS(INDEX(Table_Sales[order_id],1):Table_Sales[[#This Row],[order_id]],Table_Sales[[#This Row],[order_id]])=1,1,0)</f>
        <v>0</v>
      </c>
      <c r="L117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174" spans="1:12" x14ac:dyDescent="0.25">
      <c r="A1174" t="s">
        <v>297</v>
      </c>
      <c r="B1174" s="1">
        <v>34</v>
      </c>
      <c r="C1174" s="1">
        <v>3</v>
      </c>
      <c r="D1174">
        <v>3</v>
      </c>
      <c r="E1174" t="s">
        <v>23</v>
      </c>
      <c r="F1174" t="s">
        <v>26</v>
      </c>
      <c r="G1174" t="s">
        <v>10</v>
      </c>
      <c r="H1174">
        <f>IF(Table_Sales[[#This Row],[profit]]&lt;0,1,0)</f>
        <v>0</v>
      </c>
      <c r="I1174" t="str" cm="1">
        <f t="array" ref="I1174">_xlfn.IFS(Table_Sales[[#This Row],[quantity]]&lt;=3,"1-3",Table_Sales[[#This Row],[quantity]]&lt;=7,"2-7",Table_Sales[[#This Row],[quantity]]&lt;=10,"8-10",TRUE,"11 and above")</f>
        <v>1-3</v>
      </c>
      <c r="J1174" t="str" cm="1">
        <f t="array" ref="J1174">_xlfn.IFS(Table_Sales[[#This Row],[amount]]&lt;1000,"Under 1000",Table_Sales[[#This Row],[amount]]&lt;3000,"1000 - 2999",Table_Sales[[#This Row],[amount]]&lt;5000,"3000 - 4999",TRUE,"5000 &amp; above")</f>
        <v>Under 1000</v>
      </c>
      <c r="K1174">
        <f>IF(COUNTIFS(INDEX(Table_Sales[order_id],1):Table_Sales[[#This Row],[order_id]],Table_Sales[[#This Row],[order_id]])=1,1,0)</f>
        <v>0</v>
      </c>
      <c r="L117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175" spans="1:12" x14ac:dyDescent="0.25">
      <c r="A1175" t="s">
        <v>291</v>
      </c>
      <c r="B1175" s="1">
        <v>227</v>
      </c>
      <c r="C1175" s="1">
        <v>59</v>
      </c>
      <c r="D1175">
        <v>2</v>
      </c>
      <c r="E1175" t="s">
        <v>12</v>
      </c>
      <c r="F1175" t="s">
        <v>131</v>
      </c>
      <c r="G1175" t="s">
        <v>28</v>
      </c>
      <c r="H1175">
        <f>IF(Table_Sales[[#This Row],[profit]]&lt;0,1,0)</f>
        <v>0</v>
      </c>
      <c r="I1175" t="str" cm="1">
        <f t="array" ref="I1175">_xlfn.IFS(Table_Sales[[#This Row],[quantity]]&lt;=3,"1-3",Table_Sales[[#This Row],[quantity]]&lt;=7,"2-7",Table_Sales[[#This Row],[quantity]]&lt;=10,"8-10",TRUE,"11 and above")</f>
        <v>1-3</v>
      </c>
      <c r="J1175" t="str" cm="1">
        <f t="array" ref="J1175">_xlfn.IFS(Table_Sales[[#This Row],[amount]]&lt;1000,"Under 1000",Table_Sales[[#This Row],[amount]]&lt;3000,"1000 - 2999",Table_Sales[[#This Row],[amount]]&lt;5000,"3000 - 4999",TRUE,"5000 &amp; above")</f>
        <v>Under 1000</v>
      </c>
      <c r="K1175">
        <f>IF(COUNTIFS(INDEX(Table_Sales[order_id],1):Table_Sales[[#This Row],[order_id]],Table_Sales[[#This Row],[order_id]])=1,1,0)</f>
        <v>0</v>
      </c>
      <c r="L117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176" spans="1:12" x14ac:dyDescent="0.25">
      <c r="A1176" t="s">
        <v>408</v>
      </c>
      <c r="B1176" s="1">
        <v>469</v>
      </c>
      <c r="C1176" s="1">
        <v>33</v>
      </c>
      <c r="D1176">
        <v>4</v>
      </c>
      <c r="E1176" t="s">
        <v>8</v>
      </c>
      <c r="F1176" t="s">
        <v>9</v>
      </c>
      <c r="G1176" t="s">
        <v>82</v>
      </c>
      <c r="H1176">
        <f>IF(Table_Sales[[#This Row],[profit]]&lt;0,1,0)</f>
        <v>0</v>
      </c>
      <c r="I1176" t="str" cm="1">
        <f t="array" ref="I1176">_xlfn.IFS(Table_Sales[[#This Row],[quantity]]&lt;=3,"1-3",Table_Sales[[#This Row],[quantity]]&lt;=7,"2-7",Table_Sales[[#This Row],[quantity]]&lt;=10,"8-10",TRUE,"11 and above")</f>
        <v>2-7</v>
      </c>
      <c r="J1176" t="str" cm="1">
        <f t="array" ref="J1176">_xlfn.IFS(Table_Sales[[#This Row],[amount]]&lt;1000,"Under 1000",Table_Sales[[#This Row],[amount]]&lt;3000,"1000 - 2999",Table_Sales[[#This Row],[amount]]&lt;5000,"3000 - 4999",TRUE,"5000 &amp; above")</f>
        <v>Under 1000</v>
      </c>
      <c r="K1176">
        <f>IF(COUNTIFS(INDEX(Table_Sales[order_id],1):Table_Sales[[#This Row],[order_id]],Table_Sales[[#This Row],[order_id]])=1,1,0)</f>
        <v>0</v>
      </c>
      <c r="L117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177" spans="1:12" x14ac:dyDescent="0.25">
      <c r="A1177" t="s">
        <v>31</v>
      </c>
      <c r="B1177" s="1">
        <v>103</v>
      </c>
      <c r="C1177" s="1">
        <v>46</v>
      </c>
      <c r="D1177">
        <v>2</v>
      </c>
      <c r="E1177" t="s">
        <v>23</v>
      </c>
      <c r="F1177" t="s">
        <v>26</v>
      </c>
      <c r="G1177" t="s">
        <v>28</v>
      </c>
      <c r="H1177">
        <f>IF(Table_Sales[[#This Row],[profit]]&lt;0,1,0)</f>
        <v>0</v>
      </c>
      <c r="I1177" t="str" cm="1">
        <f t="array" ref="I1177">_xlfn.IFS(Table_Sales[[#This Row],[quantity]]&lt;=3,"1-3",Table_Sales[[#This Row],[quantity]]&lt;=7,"2-7",Table_Sales[[#This Row],[quantity]]&lt;=10,"8-10",TRUE,"11 and above")</f>
        <v>1-3</v>
      </c>
      <c r="J1177" t="str" cm="1">
        <f t="array" ref="J1177">_xlfn.IFS(Table_Sales[[#This Row],[amount]]&lt;1000,"Under 1000",Table_Sales[[#This Row],[amount]]&lt;3000,"1000 - 2999",Table_Sales[[#This Row],[amount]]&lt;5000,"3000 - 4999",TRUE,"5000 &amp; above")</f>
        <v>Under 1000</v>
      </c>
      <c r="K1177">
        <f>IF(COUNTIFS(INDEX(Table_Sales[order_id],1):Table_Sales[[#This Row],[order_id]],Table_Sales[[#This Row],[order_id]])=1,1,0)</f>
        <v>0</v>
      </c>
      <c r="L117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178" spans="1:12" x14ac:dyDescent="0.25">
      <c r="A1178" t="s">
        <v>279</v>
      </c>
      <c r="B1178" s="1">
        <v>34</v>
      </c>
      <c r="C1178" s="1">
        <v>-13</v>
      </c>
      <c r="D1178">
        <v>5</v>
      </c>
      <c r="E1178" t="s">
        <v>23</v>
      </c>
      <c r="F1178" t="s">
        <v>63</v>
      </c>
      <c r="G1178" t="s">
        <v>10</v>
      </c>
      <c r="H1178">
        <f>IF(Table_Sales[[#This Row],[profit]]&lt;0,1,0)</f>
        <v>1</v>
      </c>
      <c r="I1178" t="str" cm="1">
        <f t="array" ref="I1178">_xlfn.IFS(Table_Sales[[#This Row],[quantity]]&lt;=3,"1-3",Table_Sales[[#This Row],[quantity]]&lt;=7,"2-7",Table_Sales[[#This Row],[quantity]]&lt;=10,"8-10",TRUE,"11 and above")</f>
        <v>2-7</v>
      </c>
      <c r="J1178" t="str" cm="1">
        <f t="array" ref="J1178">_xlfn.IFS(Table_Sales[[#This Row],[amount]]&lt;1000,"Under 1000",Table_Sales[[#This Row],[amount]]&lt;3000,"1000 - 2999",Table_Sales[[#This Row],[amount]]&lt;5000,"3000 - 4999",TRUE,"5000 &amp; above")</f>
        <v>Under 1000</v>
      </c>
      <c r="K1178">
        <f>IF(COUNTIFS(INDEX(Table_Sales[order_id],1):Table_Sales[[#This Row],[order_id]],Table_Sales[[#This Row],[order_id]])=1,1,0)</f>
        <v>0</v>
      </c>
      <c r="L117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179" spans="1:12" x14ac:dyDescent="0.25">
      <c r="A1179" t="s">
        <v>174</v>
      </c>
      <c r="B1179" s="1">
        <v>137</v>
      </c>
      <c r="C1179" s="1">
        <v>63</v>
      </c>
      <c r="D1179">
        <v>3</v>
      </c>
      <c r="E1179" t="s">
        <v>23</v>
      </c>
      <c r="F1179" t="s">
        <v>57</v>
      </c>
      <c r="G1179" t="s">
        <v>10</v>
      </c>
      <c r="H1179">
        <f>IF(Table_Sales[[#This Row],[profit]]&lt;0,1,0)</f>
        <v>0</v>
      </c>
      <c r="I1179" t="str" cm="1">
        <f t="array" ref="I1179">_xlfn.IFS(Table_Sales[[#This Row],[quantity]]&lt;=3,"1-3",Table_Sales[[#This Row],[quantity]]&lt;=7,"2-7",Table_Sales[[#This Row],[quantity]]&lt;=10,"8-10",TRUE,"11 and above")</f>
        <v>1-3</v>
      </c>
      <c r="J1179" t="str" cm="1">
        <f t="array" ref="J1179">_xlfn.IFS(Table_Sales[[#This Row],[amount]]&lt;1000,"Under 1000",Table_Sales[[#This Row],[amount]]&lt;3000,"1000 - 2999",Table_Sales[[#This Row],[amount]]&lt;5000,"3000 - 4999",TRUE,"5000 &amp; above")</f>
        <v>Under 1000</v>
      </c>
      <c r="K1179">
        <f>IF(COUNTIFS(INDEX(Table_Sales[order_id],1):Table_Sales[[#This Row],[order_id]],Table_Sales[[#This Row],[order_id]])=1,1,0)</f>
        <v>0</v>
      </c>
      <c r="L117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180" spans="1:12" x14ac:dyDescent="0.25">
      <c r="A1180" t="s">
        <v>488</v>
      </c>
      <c r="B1180" s="1">
        <v>34</v>
      </c>
      <c r="C1180" s="1">
        <v>12</v>
      </c>
      <c r="D1180">
        <v>2</v>
      </c>
      <c r="E1180" t="s">
        <v>23</v>
      </c>
      <c r="F1180" t="s">
        <v>57</v>
      </c>
      <c r="G1180" t="s">
        <v>10</v>
      </c>
      <c r="H1180">
        <f>IF(Table_Sales[[#This Row],[profit]]&lt;0,1,0)</f>
        <v>0</v>
      </c>
      <c r="I1180" t="str" cm="1">
        <f t="array" ref="I1180">_xlfn.IFS(Table_Sales[[#This Row],[quantity]]&lt;=3,"1-3",Table_Sales[[#This Row],[quantity]]&lt;=7,"2-7",Table_Sales[[#This Row],[quantity]]&lt;=10,"8-10",TRUE,"11 and above")</f>
        <v>1-3</v>
      </c>
      <c r="J1180" t="str" cm="1">
        <f t="array" ref="J1180">_xlfn.IFS(Table_Sales[[#This Row],[amount]]&lt;1000,"Under 1000",Table_Sales[[#This Row],[amount]]&lt;3000,"1000 - 2999",Table_Sales[[#This Row],[amount]]&lt;5000,"3000 - 4999",TRUE,"5000 &amp; above")</f>
        <v>Under 1000</v>
      </c>
      <c r="K1180">
        <f>IF(COUNTIFS(INDEX(Table_Sales[order_id],1):Table_Sales[[#This Row],[order_id]],Table_Sales[[#This Row],[order_id]])=1,1,0)</f>
        <v>1</v>
      </c>
      <c r="L118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181" spans="1:12" x14ac:dyDescent="0.25">
      <c r="A1181" t="s">
        <v>394</v>
      </c>
      <c r="B1181" s="1">
        <v>474</v>
      </c>
      <c r="C1181" s="1">
        <v>56</v>
      </c>
      <c r="D1181">
        <v>4</v>
      </c>
      <c r="E1181" t="s">
        <v>8</v>
      </c>
      <c r="F1181" t="s">
        <v>21</v>
      </c>
      <c r="G1181" t="s">
        <v>82</v>
      </c>
      <c r="H1181">
        <f>IF(Table_Sales[[#This Row],[profit]]&lt;0,1,0)</f>
        <v>0</v>
      </c>
      <c r="I1181" t="str" cm="1">
        <f t="array" ref="I1181">_xlfn.IFS(Table_Sales[[#This Row],[quantity]]&lt;=3,"1-3",Table_Sales[[#This Row],[quantity]]&lt;=7,"2-7",Table_Sales[[#This Row],[quantity]]&lt;=10,"8-10",TRUE,"11 and above")</f>
        <v>2-7</v>
      </c>
      <c r="J1181" t="str" cm="1">
        <f t="array" ref="J1181">_xlfn.IFS(Table_Sales[[#This Row],[amount]]&lt;1000,"Under 1000",Table_Sales[[#This Row],[amount]]&lt;3000,"1000 - 2999",Table_Sales[[#This Row],[amount]]&lt;5000,"3000 - 4999",TRUE,"5000 &amp; above")</f>
        <v>Under 1000</v>
      </c>
      <c r="K1181">
        <f>IF(COUNTIFS(INDEX(Table_Sales[order_id],1):Table_Sales[[#This Row],[order_id]],Table_Sales[[#This Row],[order_id]])=1,1,0)</f>
        <v>0</v>
      </c>
      <c r="L118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182" spans="1:12" x14ac:dyDescent="0.25">
      <c r="A1182" t="s">
        <v>271</v>
      </c>
      <c r="B1182" s="1">
        <v>50</v>
      </c>
      <c r="C1182" s="1">
        <v>3</v>
      </c>
      <c r="D1182">
        <v>2</v>
      </c>
      <c r="E1182" t="s">
        <v>23</v>
      </c>
      <c r="F1182" t="s">
        <v>57</v>
      </c>
      <c r="G1182" t="s">
        <v>14</v>
      </c>
      <c r="H1182">
        <f>IF(Table_Sales[[#This Row],[profit]]&lt;0,1,0)</f>
        <v>0</v>
      </c>
      <c r="I1182" t="str" cm="1">
        <f t="array" ref="I1182">_xlfn.IFS(Table_Sales[[#This Row],[quantity]]&lt;=3,"1-3",Table_Sales[[#This Row],[quantity]]&lt;=7,"2-7",Table_Sales[[#This Row],[quantity]]&lt;=10,"8-10",TRUE,"11 and above")</f>
        <v>1-3</v>
      </c>
      <c r="J1182" t="str" cm="1">
        <f t="array" ref="J1182">_xlfn.IFS(Table_Sales[[#This Row],[amount]]&lt;1000,"Under 1000",Table_Sales[[#This Row],[amount]]&lt;3000,"1000 - 2999",Table_Sales[[#This Row],[amount]]&lt;5000,"3000 - 4999",TRUE,"5000 &amp; above")</f>
        <v>Under 1000</v>
      </c>
      <c r="K1182">
        <f>IF(COUNTIFS(INDEX(Table_Sales[order_id],1):Table_Sales[[#This Row],[order_id]],Table_Sales[[#This Row],[order_id]])=1,1,0)</f>
        <v>0</v>
      </c>
      <c r="L118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183" spans="1:12" x14ac:dyDescent="0.25">
      <c r="A1183" t="s">
        <v>97</v>
      </c>
      <c r="B1183" s="1">
        <v>69</v>
      </c>
      <c r="C1183" s="1">
        <v>-67</v>
      </c>
      <c r="D1183">
        <v>4</v>
      </c>
      <c r="E1183" t="s">
        <v>23</v>
      </c>
      <c r="F1183" t="s">
        <v>32</v>
      </c>
      <c r="G1183" t="s">
        <v>28</v>
      </c>
      <c r="H1183">
        <f>IF(Table_Sales[[#This Row],[profit]]&lt;0,1,0)</f>
        <v>1</v>
      </c>
      <c r="I1183" t="str" cm="1">
        <f t="array" ref="I1183">_xlfn.IFS(Table_Sales[[#This Row],[quantity]]&lt;=3,"1-3",Table_Sales[[#This Row],[quantity]]&lt;=7,"2-7",Table_Sales[[#This Row],[quantity]]&lt;=10,"8-10",TRUE,"11 and above")</f>
        <v>2-7</v>
      </c>
      <c r="J1183" t="str" cm="1">
        <f t="array" ref="J1183">_xlfn.IFS(Table_Sales[[#This Row],[amount]]&lt;1000,"Under 1000",Table_Sales[[#This Row],[amount]]&lt;3000,"1000 - 2999",Table_Sales[[#This Row],[amount]]&lt;5000,"3000 - 4999",TRUE,"5000 &amp; above")</f>
        <v>Under 1000</v>
      </c>
      <c r="K1183">
        <f>IF(COUNTIFS(INDEX(Table_Sales[order_id],1):Table_Sales[[#This Row],[order_id]],Table_Sales[[#This Row],[order_id]])=1,1,0)</f>
        <v>0</v>
      </c>
      <c r="L118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184" spans="1:12" x14ac:dyDescent="0.25">
      <c r="A1184" t="s">
        <v>489</v>
      </c>
      <c r="B1184" s="1">
        <v>389</v>
      </c>
      <c r="C1184" s="1">
        <v>-83</v>
      </c>
      <c r="D1184">
        <v>3</v>
      </c>
      <c r="E1184" t="s">
        <v>12</v>
      </c>
      <c r="F1184" t="s">
        <v>13</v>
      </c>
      <c r="G1184" t="s">
        <v>28</v>
      </c>
      <c r="H1184">
        <f>IF(Table_Sales[[#This Row],[profit]]&lt;0,1,0)</f>
        <v>1</v>
      </c>
      <c r="I1184" t="str" cm="1">
        <f t="array" ref="I1184">_xlfn.IFS(Table_Sales[[#This Row],[quantity]]&lt;=3,"1-3",Table_Sales[[#This Row],[quantity]]&lt;=7,"2-7",Table_Sales[[#This Row],[quantity]]&lt;=10,"8-10",TRUE,"11 and above")</f>
        <v>1-3</v>
      </c>
      <c r="J1184" t="str" cm="1">
        <f t="array" ref="J1184">_xlfn.IFS(Table_Sales[[#This Row],[amount]]&lt;1000,"Under 1000",Table_Sales[[#This Row],[amount]]&lt;3000,"1000 - 2999",Table_Sales[[#This Row],[amount]]&lt;5000,"3000 - 4999",TRUE,"5000 &amp; above")</f>
        <v>Under 1000</v>
      </c>
      <c r="K1184">
        <f>IF(COUNTIFS(INDEX(Table_Sales[order_id],1):Table_Sales[[#This Row],[order_id]],Table_Sales[[#This Row],[order_id]])=1,1,0)</f>
        <v>1</v>
      </c>
      <c r="L118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185" spans="1:12" x14ac:dyDescent="0.25">
      <c r="A1185" t="s">
        <v>288</v>
      </c>
      <c r="B1185" s="1">
        <v>77</v>
      </c>
      <c r="C1185" s="1">
        <v>-43</v>
      </c>
      <c r="D1185">
        <v>8</v>
      </c>
      <c r="E1185" t="s">
        <v>23</v>
      </c>
      <c r="F1185" t="s">
        <v>57</v>
      </c>
      <c r="G1185" t="s">
        <v>10</v>
      </c>
      <c r="H1185">
        <f>IF(Table_Sales[[#This Row],[profit]]&lt;0,1,0)</f>
        <v>1</v>
      </c>
      <c r="I1185" t="str" cm="1">
        <f t="array" ref="I1185">_xlfn.IFS(Table_Sales[[#This Row],[quantity]]&lt;=3,"1-3",Table_Sales[[#This Row],[quantity]]&lt;=7,"2-7",Table_Sales[[#This Row],[quantity]]&lt;=10,"8-10",TRUE,"11 and above")</f>
        <v>8-10</v>
      </c>
      <c r="J1185" t="str" cm="1">
        <f t="array" ref="J1185">_xlfn.IFS(Table_Sales[[#This Row],[amount]]&lt;1000,"Under 1000",Table_Sales[[#This Row],[amount]]&lt;3000,"1000 - 2999",Table_Sales[[#This Row],[amount]]&lt;5000,"3000 - 4999",TRUE,"5000 &amp; above")</f>
        <v>Under 1000</v>
      </c>
      <c r="K1185">
        <f>IF(COUNTIFS(INDEX(Table_Sales[order_id],1):Table_Sales[[#This Row],[order_id]],Table_Sales[[#This Row],[order_id]])=1,1,0)</f>
        <v>0</v>
      </c>
      <c r="L118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186" spans="1:12" x14ac:dyDescent="0.25">
      <c r="A1186" t="s">
        <v>27</v>
      </c>
      <c r="B1186" s="1">
        <v>51</v>
      </c>
      <c r="C1186" s="1">
        <v>21</v>
      </c>
      <c r="D1186">
        <v>3</v>
      </c>
      <c r="E1186" t="s">
        <v>23</v>
      </c>
      <c r="F1186" t="s">
        <v>81</v>
      </c>
      <c r="G1186" t="s">
        <v>10</v>
      </c>
      <c r="H1186">
        <f>IF(Table_Sales[[#This Row],[profit]]&lt;0,1,0)</f>
        <v>0</v>
      </c>
      <c r="I1186" t="str" cm="1">
        <f t="array" ref="I1186">_xlfn.IFS(Table_Sales[[#This Row],[quantity]]&lt;=3,"1-3",Table_Sales[[#This Row],[quantity]]&lt;=7,"2-7",Table_Sales[[#This Row],[quantity]]&lt;=10,"8-10",TRUE,"11 and above")</f>
        <v>1-3</v>
      </c>
      <c r="J1186" t="str" cm="1">
        <f t="array" ref="J1186">_xlfn.IFS(Table_Sales[[#This Row],[amount]]&lt;1000,"Under 1000",Table_Sales[[#This Row],[amount]]&lt;3000,"1000 - 2999",Table_Sales[[#This Row],[amount]]&lt;5000,"3000 - 4999",TRUE,"5000 &amp; above")</f>
        <v>Under 1000</v>
      </c>
      <c r="K1186">
        <f>IF(COUNTIFS(INDEX(Table_Sales[order_id],1):Table_Sales[[#This Row],[order_id]],Table_Sales[[#This Row],[order_id]])=1,1,0)</f>
        <v>0</v>
      </c>
      <c r="L118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187" spans="1:12" x14ac:dyDescent="0.25">
      <c r="A1187" t="s">
        <v>146</v>
      </c>
      <c r="B1187" s="1">
        <v>394</v>
      </c>
      <c r="C1187" s="1">
        <v>146</v>
      </c>
      <c r="D1187">
        <v>2</v>
      </c>
      <c r="E1187" t="s">
        <v>12</v>
      </c>
      <c r="F1187" t="s">
        <v>16</v>
      </c>
      <c r="G1187" t="s">
        <v>28</v>
      </c>
      <c r="H1187">
        <f>IF(Table_Sales[[#This Row],[profit]]&lt;0,1,0)</f>
        <v>0</v>
      </c>
      <c r="I1187" t="str" cm="1">
        <f t="array" ref="I1187">_xlfn.IFS(Table_Sales[[#This Row],[quantity]]&lt;=3,"1-3",Table_Sales[[#This Row],[quantity]]&lt;=7,"2-7",Table_Sales[[#This Row],[quantity]]&lt;=10,"8-10",TRUE,"11 and above")</f>
        <v>1-3</v>
      </c>
      <c r="J1187" t="str" cm="1">
        <f t="array" ref="J1187">_xlfn.IFS(Table_Sales[[#This Row],[amount]]&lt;1000,"Under 1000",Table_Sales[[#This Row],[amount]]&lt;3000,"1000 - 2999",Table_Sales[[#This Row],[amount]]&lt;5000,"3000 - 4999",TRUE,"5000 &amp; above")</f>
        <v>Under 1000</v>
      </c>
      <c r="K1187">
        <f>IF(COUNTIFS(INDEX(Table_Sales[order_id],1):Table_Sales[[#This Row],[order_id]],Table_Sales[[#This Row],[order_id]])=1,1,0)</f>
        <v>0</v>
      </c>
      <c r="L118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188" spans="1:12" x14ac:dyDescent="0.25">
      <c r="A1188" t="s">
        <v>284</v>
      </c>
      <c r="B1188" s="1">
        <v>48</v>
      </c>
      <c r="C1188" s="1">
        <v>-22</v>
      </c>
      <c r="D1188">
        <v>2</v>
      </c>
      <c r="E1188" t="s">
        <v>23</v>
      </c>
      <c r="F1188" t="s">
        <v>26</v>
      </c>
      <c r="G1188" t="s">
        <v>14</v>
      </c>
      <c r="H1188">
        <f>IF(Table_Sales[[#This Row],[profit]]&lt;0,1,0)</f>
        <v>1</v>
      </c>
      <c r="I1188" t="str" cm="1">
        <f t="array" ref="I1188">_xlfn.IFS(Table_Sales[[#This Row],[quantity]]&lt;=3,"1-3",Table_Sales[[#This Row],[quantity]]&lt;=7,"2-7",Table_Sales[[#This Row],[quantity]]&lt;=10,"8-10",TRUE,"11 and above")</f>
        <v>1-3</v>
      </c>
      <c r="J1188" t="str" cm="1">
        <f t="array" ref="J1188">_xlfn.IFS(Table_Sales[[#This Row],[amount]]&lt;1000,"Under 1000",Table_Sales[[#This Row],[amount]]&lt;3000,"1000 - 2999",Table_Sales[[#This Row],[amount]]&lt;5000,"3000 - 4999",TRUE,"5000 &amp; above")</f>
        <v>Under 1000</v>
      </c>
      <c r="K1188">
        <f>IF(COUNTIFS(INDEX(Table_Sales[order_id],1):Table_Sales[[#This Row],[order_id]],Table_Sales[[#This Row],[order_id]])=1,1,0)</f>
        <v>0</v>
      </c>
      <c r="L118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189" spans="1:12" x14ac:dyDescent="0.25">
      <c r="A1189" t="s">
        <v>209</v>
      </c>
      <c r="B1189" s="1">
        <v>34</v>
      </c>
      <c r="C1189" s="1">
        <v>-12</v>
      </c>
      <c r="D1189">
        <v>5</v>
      </c>
      <c r="E1189" t="s">
        <v>23</v>
      </c>
      <c r="F1189" t="s">
        <v>63</v>
      </c>
      <c r="G1189" t="s">
        <v>10</v>
      </c>
      <c r="H1189">
        <f>IF(Table_Sales[[#This Row],[profit]]&lt;0,1,0)</f>
        <v>1</v>
      </c>
      <c r="I1189" t="str" cm="1">
        <f t="array" ref="I1189">_xlfn.IFS(Table_Sales[[#This Row],[quantity]]&lt;=3,"1-3",Table_Sales[[#This Row],[quantity]]&lt;=7,"2-7",Table_Sales[[#This Row],[quantity]]&lt;=10,"8-10",TRUE,"11 and above")</f>
        <v>2-7</v>
      </c>
      <c r="J1189" t="str" cm="1">
        <f t="array" ref="J1189">_xlfn.IFS(Table_Sales[[#This Row],[amount]]&lt;1000,"Under 1000",Table_Sales[[#This Row],[amount]]&lt;3000,"1000 - 2999",Table_Sales[[#This Row],[amount]]&lt;5000,"3000 - 4999",TRUE,"5000 &amp; above")</f>
        <v>Under 1000</v>
      </c>
      <c r="K1189">
        <f>IF(COUNTIFS(INDEX(Table_Sales[order_id],1):Table_Sales[[#This Row],[order_id]],Table_Sales[[#This Row],[order_id]])=1,1,0)</f>
        <v>0</v>
      </c>
      <c r="L118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190" spans="1:12" x14ac:dyDescent="0.25">
      <c r="A1190" t="s">
        <v>35</v>
      </c>
      <c r="B1190" s="1">
        <v>484</v>
      </c>
      <c r="C1190" s="1">
        <v>28</v>
      </c>
      <c r="D1190">
        <v>3</v>
      </c>
      <c r="E1190" t="s">
        <v>8</v>
      </c>
      <c r="F1190" t="s">
        <v>18</v>
      </c>
      <c r="G1190" t="s">
        <v>82</v>
      </c>
      <c r="H1190">
        <f>IF(Table_Sales[[#This Row],[profit]]&lt;0,1,0)</f>
        <v>0</v>
      </c>
      <c r="I1190" t="str" cm="1">
        <f t="array" ref="I1190">_xlfn.IFS(Table_Sales[[#This Row],[quantity]]&lt;=3,"1-3",Table_Sales[[#This Row],[quantity]]&lt;=7,"2-7",Table_Sales[[#This Row],[quantity]]&lt;=10,"8-10",TRUE,"11 and above")</f>
        <v>1-3</v>
      </c>
      <c r="J1190" t="str" cm="1">
        <f t="array" ref="J1190">_xlfn.IFS(Table_Sales[[#This Row],[amount]]&lt;1000,"Under 1000",Table_Sales[[#This Row],[amount]]&lt;3000,"1000 - 2999",Table_Sales[[#This Row],[amount]]&lt;5000,"3000 - 4999",TRUE,"5000 &amp; above")</f>
        <v>Under 1000</v>
      </c>
      <c r="K1190">
        <f>IF(COUNTIFS(INDEX(Table_Sales[order_id],1):Table_Sales[[#This Row],[order_id]],Table_Sales[[#This Row],[order_id]])=1,1,0)</f>
        <v>0</v>
      </c>
      <c r="L119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191" spans="1:12" x14ac:dyDescent="0.25">
      <c r="A1191" t="s">
        <v>272</v>
      </c>
      <c r="B1191" s="1">
        <v>47</v>
      </c>
      <c r="C1191" s="1">
        <v>-27</v>
      </c>
      <c r="D1191">
        <v>4</v>
      </c>
      <c r="E1191" t="s">
        <v>23</v>
      </c>
      <c r="F1191" t="s">
        <v>26</v>
      </c>
      <c r="G1191" t="s">
        <v>14</v>
      </c>
      <c r="H1191">
        <f>IF(Table_Sales[[#This Row],[profit]]&lt;0,1,0)</f>
        <v>1</v>
      </c>
      <c r="I1191" t="str" cm="1">
        <f t="array" ref="I1191">_xlfn.IFS(Table_Sales[[#This Row],[quantity]]&lt;=3,"1-3",Table_Sales[[#This Row],[quantity]]&lt;=7,"2-7",Table_Sales[[#This Row],[quantity]]&lt;=10,"8-10",TRUE,"11 and above")</f>
        <v>2-7</v>
      </c>
      <c r="J1191" t="str" cm="1">
        <f t="array" ref="J1191">_xlfn.IFS(Table_Sales[[#This Row],[amount]]&lt;1000,"Under 1000",Table_Sales[[#This Row],[amount]]&lt;3000,"1000 - 2999",Table_Sales[[#This Row],[amount]]&lt;5000,"3000 - 4999",TRUE,"5000 &amp; above")</f>
        <v>Under 1000</v>
      </c>
      <c r="K1191">
        <f>IF(COUNTIFS(INDEX(Table_Sales[order_id],1):Table_Sales[[#This Row],[order_id]],Table_Sales[[#This Row],[order_id]])=1,1,0)</f>
        <v>0</v>
      </c>
      <c r="L119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192" spans="1:12" x14ac:dyDescent="0.25">
      <c r="A1192" t="s">
        <v>15</v>
      </c>
      <c r="B1192" s="1">
        <v>45</v>
      </c>
      <c r="C1192" s="1">
        <v>8</v>
      </c>
      <c r="D1192">
        <v>4</v>
      </c>
      <c r="E1192" t="s">
        <v>23</v>
      </c>
      <c r="F1192" t="s">
        <v>43</v>
      </c>
      <c r="G1192" t="s">
        <v>14</v>
      </c>
      <c r="H1192">
        <f>IF(Table_Sales[[#This Row],[profit]]&lt;0,1,0)</f>
        <v>0</v>
      </c>
      <c r="I1192" t="str" cm="1">
        <f t="array" ref="I1192">_xlfn.IFS(Table_Sales[[#This Row],[quantity]]&lt;=3,"1-3",Table_Sales[[#This Row],[quantity]]&lt;=7,"2-7",Table_Sales[[#This Row],[quantity]]&lt;=10,"8-10",TRUE,"11 and above")</f>
        <v>2-7</v>
      </c>
      <c r="J1192" t="str" cm="1">
        <f t="array" ref="J1192">_xlfn.IFS(Table_Sales[[#This Row],[amount]]&lt;1000,"Under 1000",Table_Sales[[#This Row],[amount]]&lt;3000,"1000 - 2999",Table_Sales[[#This Row],[amount]]&lt;5000,"3000 - 4999",TRUE,"5000 &amp; above")</f>
        <v>Under 1000</v>
      </c>
      <c r="K1192">
        <f>IF(COUNTIFS(INDEX(Table_Sales[order_id],1):Table_Sales[[#This Row],[order_id]],Table_Sales[[#This Row],[order_id]])=1,1,0)</f>
        <v>0</v>
      </c>
      <c r="L119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193" spans="1:12" x14ac:dyDescent="0.25">
      <c r="A1193" t="s">
        <v>490</v>
      </c>
      <c r="B1193" s="1">
        <v>128</v>
      </c>
      <c r="C1193" s="1">
        <v>55</v>
      </c>
      <c r="D1193">
        <v>1</v>
      </c>
      <c r="E1193" t="s">
        <v>23</v>
      </c>
      <c r="F1193" t="s">
        <v>26</v>
      </c>
      <c r="G1193" t="s">
        <v>10</v>
      </c>
      <c r="H1193">
        <f>IF(Table_Sales[[#This Row],[profit]]&lt;0,1,0)</f>
        <v>0</v>
      </c>
      <c r="I1193" t="str" cm="1">
        <f t="array" ref="I1193">_xlfn.IFS(Table_Sales[[#This Row],[quantity]]&lt;=3,"1-3",Table_Sales[[#This Row],[quantity]]&lt;=7,"2-7",Table_Sales[[#This Row],[quantity]]&lt;=10,"8-10",TRUE,"11 and above")</f>
        <v>1-3</v>
      </c>
      <c r="J1193" t="str" cm="1">
        <f t="array" ref="J1193">_xlfn.IFS(Table_Sales[[#This Row],[amount]]&lt;1000,"Under 1000",Table_Sales[[#This Row],[amount]]&lt;3000,"1000 - 2999",Table_Sales[[#This Row],[amount]]&lt;5000,"3000 - 4999",TRUE,"5000 &amp; above")</f>
        <v>Under 1000</v>
      </c>
      <c r="K1193">
        <f>IF(COUNTIFS(INDEX(Table_Sales[order_id],1):Table_Sales[[#This Row],[order_id]],Table_Sales[[#This Row],[order_id]])=1,1,0)</f>
        <v>1</v>
      </c>
      <c r="L119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194" spans="1:12" x14ac:dyDescent="0.25">
      <c r="A1194" t="s">
        <v>88</v>
      </c>
      <c r="B1194" s="1">
        <v>669</v>
      </c>
      <c r="C1194" s="1">
        <v>74</v>
      </c>
      <c r="D1194">
        <v>5</v>
      </c>
      <c r="E1194" t="s">
        <v>12</v>
      </c>
      <c r="F1194" t="s">
        <v>16</v>
      </c>
      <c r="G1194" t="s">
        <v>10</v>
      </c>
      <c r="H1194">
        <f>IF(Table_Sales[[#This Row],[profit]]&lt;0,1,0)</f>
        <v>0</v>
      </c>
      <c r="I1194" t="str" cm="1">
        <f t="array" ref="I1194">_xlfn.IFS(Table_Sales[[#This Row],[quantity]]&lt;=3,"1-3",Table_Sales[[#This Row],[quantity]]&lt;=7,"2-7",Table_Sales[[#This Row],[quantity]]&lt;=10,"8-10",TRUE,"11 and above")</f>
        <v>2-7</v>
      </c>
      <c r="J1194" t="str" cm="1">
        <f t="array" ref="J1194">_xlfn.IFS(Table_Sales[[#This Row],[amount]]&lt;1000,"Under 1000",Table_Sales[[#This Row],[amount]]&lt;3000,"1000 - 2999",Table_Sales[[#This Row],[amount]]&lt;5000,"3000 - 4999",TRUE,"5000 &amp; above")</f>
        <v>Under 1000</v>
      </c>
      <c r="K1194">
        <f>IF(COUNTIFS(INDEX(Table_Sales[order_id],1):Table_Sales[[#This Row],[order_id]],Table_Sales[[#This Row],[order_id]])=1,1,0)</f>
        <v>0</v>
      </c>
      <c r="L119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195" spans="1:12" x14ac:dyDescent="0.25">
      <c r="A1195" t="s">
        <v>491</v>
      </c>
      <c r="B1195" s="1">
        <v>34</v>
      </c>
      <c r="C1195" s="1">
        <v>13</v>
      </c>
      <c r="D1195">
        <v>2</v>
      </c>
      <c r="E1195" t="s">
        <v>23</v>
      </c>
      <c r="F1195" t="s">
        <v>26</v>
      </c>
      <c r="G1195" t="s">
        <v>10</v>
      </c>
      <c r="H1195">
        <f>IF(Table_Sales[[#This Row],[profit]]&lt;0,1,0)</f>
        <v>0</v>
      </c>
      <c r="I1195" t="str" cm="1">
        <f t="array" ref="I1195">_xlfn.IFS(Table_Sales[[#This Row],[quantity]]&lt;=3,"1-3",Table_Sales[[#This Row],[quantity]]&lt;=7,"2-7",Table_Sales[[#This Row],[quantity]]&lt;=10,"8-10",TRUE,"11 and above")</f>
        <v>1-3</v>
      </c>
      <c r="J1195" t="str" cm="1">
        <f t="array" ref="J1195">_xlfn.IFS(Table_Sales[[#This Row],[amount]]&lt;1000,"Under 1000",Table_Sales[[#This Row],[amount]]&lt;3000,"1000 - 2999",Table_Sales[[#This Row],[amount]]&lt;5000,"3000 - 4999",TRUE,"5000 &amp; above")</f>
        <v>Under 1000</v>
      </c>
      <c r="K1195">
        <f>IF(COUNTIFS(INDEX(Table_Sales[order_id],1):Table_Sales[[#This Row],[order_id]],Table_Sales[[#This Row],[order_id]])=1,1,0)</f>
        <v>1</v>
      </c>
      <c r="L119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196" spans="1:12" x14ac:dyDescent="0.25">
      <c r="A1196" t="s">
        <v>255</v>
      </c>
      <c r="B1196" s="1">
        <v>44</v>
      </c>
      <c r="C1196" s="1">
        <v>14</v>
      </c>
      <c r="D1196">
        <v>3</v>
      </c>
      <c r="E1196" t="s">
        <v>23</v>
      </c>
      <c r="F1196" t="s">
        <v>30</v>
      </c>
      <c r="G1196" t="s">
        <v>19</v>
      </c>
      <c r="H1196">
        <f>IF(Table_Sales[[#This Row],[profit]]&lt;0,1,0)</f>
        <v>0</v>
      </c>
      <c r="I1196" t="str" cm="1">
        <f t="array" ref="I1196">_xlfn.IFS(Table_Sales[[#This Row],[quantity]]&lt;=3,"1-3",Table_Sales[[#This Row],[quantity]]&lt;=7,"2-7",Table_Sales[[#This Row],[quantity]]&lt;=10,"8-10",TRUE,"11 and above")</f>
        <v>1-3</v>
      </c>
      <c r="J1196" t="str" cm="1">
        <f t="array" ref="J1196">_xlfn.IFS(Table_Sales[[#This Row],[amount]]&lt;1000,"Under 1000",Table_Sales[[#This Row],[amount]]&lt;3000,"1000 - 2999",Table_Sales[[#This Row],[amount]]&lt;5000,"3000 - 4999",TRUE,"5000 &amp; above")</f>
        <v>Under 1000</v>
      </c>
      <c r="K1196">
        <f>IF(COUNTIFS(INDEX(Table_Sales[order_id],1):Table_Sales[[#This Row],[order_id]],Table_Sales[[#This Row],[order_id]])=1,1,0)</f>
        <v>0</v>
      </c>
      <c r="L119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197" spans="1:12" x14ac:dyDescent="0.25">
      <c r="A1197" t="s">
        <v>44</v>
      </c>
      <c r="B1197" s="1">
        <v>33</v>
      </c>
      <c r="C1197" s="1">
        <v>1</v>
      </c>
      <c r="D1197">
        <v>2</v>
      </c>
      <c r="E1197" t="s">
        <v>23</v>
      </c>
      <c r="F1197" t="s">
        <v>142</v>
      </c>
      <c r="G1197" t="s">
        <v>10</v>
      </c>
      <c r="H1197">
        <f>IF(Table_Sales[[#This Row],[profit]]&lt;0,1,0)</f>
        <v>0</v>
      </c>
      <c r="I1197" t="str" cm="1">
        <f t="array" ref="I1197">_xlfn.IFS(Table_Sales[[#This Row],[quantity]]&lt;=3,"1-3",Table_Sales[[#This Row],[quantity]]&lt;=7,"2-7",Table_Sales[[#This Row],[quantity]]&lt;=10,"8-10",TRUE,"11 and above")</f>
        <v>1-3</v>
      </c>
      <c r="J1197" t="str" cm="1">
        <f t="array" ref="J1197">_xlfn.IFS(Table_Sales[[#This Row],[amount]]&lt;1000,"Under 1000",Table_Sales[[#This Row],[amount]]&lt;3000,"1000 - 2999",Table_Sales[[#This Row],[amount]]&lt;5000,"3000 - 4999",TRUE,"5000 &amp; above")</f>
        <v>Under 1000</v>
      </c>
      <c r="K1197">
        <f>IF(COUNTIFS(INDEX(Table_Sales[order_id],1):Table_Sales[[#This Row],[order_id]],Table_Sales[[#This Row],[order_id]])=1,1,0)</f>
        <v>0</v>
      </c>
      <c r="L119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198" spans="1:12" x14ac:dyDescent="0.25">
      <c r="A1198" t="s">
        <v>394</v>
      </c>
      <c r="B1198" s="1">
        <v>33</v>
      </c>
      <c r="C1198" s="1">
        <v>10</v>
      </c>
      <c r="D1198">
        <v>3</v>
      </c>
      <c r="E1198" t="s">
        <v>23</v>
      </c>
      <c r="F1198" t="s">
        <v>30</v>
      </c>
      <c r="G1198" t="s">
        <v>10</v>
      </c>
      <c r="H1198">
        <f>IF(Table_Sales[[#This Row],[profit]]&lt;0,1,0)</f>
        <v>0</v>
      </c>
      <c r="I1198" t="str" cm="1">
        <f t="array" ref="I1198">_xlfn.IFS(Table_Sales[[#This Row],[quantity]]&lt;=3,"1-3",Table_Sales[[#This Row],[quantity]]&lt;=7,"2-7",Table_Sales[[#This Row],[quantity]]&lt;=10,"8-10",TRUE,"11 and above")</f>
        <v>1-3</v>
      </c>
      <c r="J1198" t="str" cm="1">
        <f t="array" ref="J1198">_xlfn.IFS(Table_Sales[[#This Row],[amount]]&lt;1000,"Under 1000",Table_Sales[[#This Row],[amount]]&lt;3000,"1000 - 2999",Table_Sales[[#This Row],[amount]]&lt;5000,"3000 - 4999",TRUE,"5000 &amp; above")</f>
        <v>Under 1000</v>
      </c>
      <c r="K1198">
        <f>IF(COUNTIFS(INDEX(Table_Sales[order_id],1):Table_Sales[[#This Row],[order_id]],Table_Sales[[#This Row],[order_id]])=1,1,0)</f>
        <v>0</v>
      </c>
      <c r="L119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199" spans="1:12" x14ac:dyDescent="0.25">
      <c r="A1199" t="s">
        <v>130</v>
      </c>
      <c r="B1199" s="1">
        <v>487</v>
      </c>
      <c r="C1199" s="1">
        <v>-23</v>
      </c>
      <c r="D1199">
        <v>3</v>
      </c>
      <c r="E1199" t="s">
        <v>8</v>
      </c>
      <c r="F1199" t="s">
        <v>18</v>
      </c>
      <c r="G1199" t="s">
        <v>82</v>
      </c>
      <c r="H1199">
        <f>IF(Table_Sales[[#This Row],[profit]]&lt;0,1,0)</f>
        <v>1</v>
      </c>
      <c r="I1199" t="str" cm="1">
        <f t="array" ref="I1199">_xlfn.IFS(Table_Sales[[#This Row],[quantity]]&lt;=3,"1-3",Table_Sales[[#This Row],[quantity]]&lt;=7,"2-7",Table_Sales[[#This Row],[quantity]]&lt;=10,"8-10",TRUE,"11 and above")</f>
        <v>1-3</v>
      </c>
      <c r="J1199" t="str" cm="1">
        <f t="array" ref="J1199">_xlfn.IFS(Table_Sales[[#This Row],[amount]]&lt;1000,"Under 1000",Table_Sales[[#This Row],[amount]]&lt;3000,"1000 - 2999",Table_Sales[[#This Row],[amount]]&lt;5000,"3000 - 4999",TRUE,"5000 &amp; above")</f>
        <v>Under 1000</v>
      </c>
      <c r="K1199">
        <f>IF(COUNTIFS(INDEX(Table_Sales[order_id],1):Table_Sales[[#This Row],[order_id]],Table_Sales[[#This Row],[order_id]])=1,1,0)</f>
        <v>0</v>
      </c>
      <c r="L119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200" spans="1:12" x14ac:dyDescent="0.25">
      <c r="A1200" t="s">
        <v>128</v>
      </c>
      <c r="B1200" s="1">
        <v>497</v>
      </c>
      <c r="C1200" s="1">
        <v>179</v>
      </c>
      <c r="D1200">
        <v>3</v>
      </c>
      <c r="E1200" t="s">
        <v>12</v>
      </c>
      <c r="F1200" t="s">
        <v>13</v>
      </c>
      <c r="G1200" t="s">
        <v>82</v>
      </c>
      <c r="H1200">
        <f>IF(Table_Sales[[#This Row],[profit]]&lt;0,1,0)</f>
        <v>0</v>
      </c>
      <c r="I1200" t="str" cm="1">
        <f t="array" ref="I1200">_xlfn.IFS(Table_Sales[[#This Row],[quantity]]&lt;=3,"1-3",Table_Sales[[#This Row],[quantity]]&lt;=7,"2-7",Table_Sales[[#This Row],[quantity]]&lt;=10,"8-10",TRUE,"11 and above")</f>
        <v>1-3</v>
      </c>
      <c r="J1200" t="str" cm="1">
        <f t="array" ref="J1200">_xlfn.IFS(Table_Sales[[#This Row],[amount]]&lt;1000,"Under 1000",Table_Sales[[#This Row],[amount]]&lt;3000,"1000 - 2999",Table_Sales[[#This Row],[amount]]&lt;5000,"3000 - 4999",TRUE,"5000 &amp; above")</f>
        <v>Under 1000</v>
      </c>
      <c r="K1200">
        <f>IF(COUNTIFS(INDEX(Table_Sales[order_id],1):Table_Sales[[#This Row],[order_id]],Table_Sales[[#This Row],[order_id]])=1,1,0)</f>
        <v>0</v>
      </c>
      <c r="L120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201" spans="1:12" x14ac:dyDescent="0.25">
      <c r="A1201" t="s">
        <v>106</v>
      </c>
      <c r="B1201" s="1">
        <v>508</v>
      </c>
      <c r="C1201" s="1">
        <v>203</v>
      </c>
      <c r="D1201">
        <v>2</v>
      </c>
      <c r="E1201" t="s">
        <v>8</v>
      </c>
      <c r="F1201" t="s">
        <v>73</v>
      </c>
      <c r="G1201" t="s">
        <v>82</v>
      </c>
      <c r="H1201">
        <f>IF(Table_Sales[[#This Row],[profit]]&lt;0,1,0)</f>
        <v>0</v>
      </c>
      <c r="I1201" t="str" cm="1">
        <f t="array" ref="I1201">_xlfn.IFS(Table_Sales[[#This Row],[quantity]]&lt;=3,"1-3",Table_Sales[[#This Row],[quantity]]&lt;=7,"2-7",Table_Sales[[#This Row],[quantity]]&lt;=10,"8-10",TRUE,"11 and above")</f>
        <v>1-3</v>
      </c>
      <c r="J1201" t="str" cm="1">
        <f t="array" ref="J1201">_xlfn.IFS(Table_Sales[[#This Row],[amount]]&lt;1000,"Under 1000",Table_Sales[[#This Row],[amount]]&lt;3000,"1000 - 2999",Table_Sales[[#This Row],[amount]]&lt;5000,"3000 - 4999",TRUE,"5000 &amp; above")</f>
        <v>Under 1000</v>
      </c>
      <c r="K1201">
        <f>IF(COUNTIFS(INDEX(Table_Sales[order_id],1):Table_Sales[[#This Row],[order_id]],Table_Sales[[#This Row],[order_id]])=1,1,0)</f>
        <v>0</v>
      </c>
      <c r="L120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202" spans="1:12" x14ac:dyDescent="0.25">
      <c r="A1202" t="s">
        <v>328</v>
      </c>
      <c r="B1202" s="1">
        <v>524</v>
      </c>
      <c r="C1202" s="1">
        <v>-25</v>
      </c>
      <c r="D1202">
        <v>2</v>
      </c>
      <c r="E1202" t="s">
        <v>8</v>
      </c>
      <c r="F1202" t="s">
        <v>9</v>
      </c>
      <c r="G1202" t="s">
        <v>82</v>
      </c>
      <c r="H1202">
        <f>IF(Table_Sales[[#This Row],[profit]]&lt;0,1,0)</f>
        <v>1</v>
      </c>
      <c r="I1202" t="str" cm="1">
        <f t="array" ref="I1202">_xlfn.IFS(Table_Sales[[#This Row],[quantity]]&lt;=3,"1-3",Table_Sales[[#This Row],[quantity]]&lt;=7,"2-7",Table_Sales[[#This Row],[quantity]]&lt;=10,"8-10",TRUE,"11 and above")</f>
        <v>1-3</v>
      </c>
      <c r="J1202" t="str" cm="1">
        <f t="array" ref="J1202">_xlfn.IFS(Table_Sales[[#This Row],[amount]]&lt;1000,"Under 1000",Table_Sales[[#This Row],[amount]]&lt;3000,"1000 - 2999",Table_Sales[[#This Row],[amount]]&lt;5000,"3000 - 4999",TRUE,"5000 &amp; above")</f>
        <v>Under 1000</v>
      </c>
      <c r="K1202">
        <f>IF(COUNTIFS(INDEX(Table_Sales[order_id],1):Table_Sales[[#This Row],[order_id]],Table_Sales[[#This Row],[order_id]])=1,1,0)</f>
        <v>0</v>
      </c>
      <c r="L120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203" spans="1:12" x14ac:dyDescent="0.25">
      <c r="A1203" t="s">
        <v>492</v>
      </c>
      <c r="B1203" s="1">
        <v>425</v>
      </c>
      <c r="C1203" s="1">
        <v>183</v>
      </c>
      <c r="D1203">
        <v>5</v>
      </c>
      <c r="E1203" t="s">
        <v>8</v>
      </c>
      <c r="F1203" t="s">
        <v>73</v>
      </c>
      <c r="G1203" t="s">
        <v>28</v>
      </c>
      <c r="H1203">
        <f>IF(Table_Sales[[#This Row],[profit]]&lt;0,1,0)</f>
        <v>0</v>
      </c>
      <c r="I1203" t="str" cm="1">
        <f t="array" ref="I1203">_xlfn.IFS(Table_Sales[[#This Row],[quantity]]&lt;=3,"1-3",Table_Sales[[#This Row],[quantity]]&lt;=7,"2-7",Table_Sales[[#This Row],[quantity]]&lt;=10,"8-10",TRUE,"11 and above")</f>
        <v>2-7</v>
      </c>
      <c r="J1203" t="str" cm="1">
        <f t="array" ref="J1203">_xlfn.IFS(Table_Sales[[#This Row],[amount]]&lt;1000,"Under 1000",Table_Sales[[#This Row],[amount]]&lt;3000,"1000 - 2999",Table_Sales[[#This Row],[amount]]&lt;5000,"3000 - 4999",TRUE,"5000 &amp; above")</f>
        <v>Under 1000</v>
      </c>
      <c r="K1203">
        <f>IF(COUNTIFS(INDEX(Table_Sales[order_id],1):Table_Sales[[#This Row],[order_id]],Table_Sales[[#This Row],[order_id]])=1,1,0)</f>
        <v>1</v>
      </c>
      <c r="L120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204" spans="1:12" x14ac:dyDescent="0.25">
      <c r="A1204" t="s">
        <v>71</v>
      </c>
      <c r="B1204" s="1">
        <v>168</v>
      </c>
      <c r="C1204" s="1">
        <v>56</v>
      </c>
      <c r="D1204">
        <v>3</v>
      </c>
      <c r="E1204" t="s">
        <v>23</v>
      </c>
      <c r="F1204" t="s">
        <v>26</v>
      </c>
      <c r="G1204" t="s">
        <v>10</v>
      </c>
      <c r="H1204">
        <f>IF(Table_Sales[[#This Row],[profit]]&lt;0,1,0)</f>
        <v>0</v>
      </c>
      <c r="I1204" t="str" cm="1">
        <f t="array" ref="I1204">_xlfn.IFS(Table_Sales[[#This Row],[quantity]]&lt;=3,"1-3",Table_Sales[[#This Row],[quantity]]&lt;=7,"2-7",Table_Sales[[#This Row],[quantity]]&lt;=10,"8-10",TRUE,"11 and above")</f>
        <v>1-3</v>
      </c>
      <c r="J1204" t="str" cm="1">
        <f t="array" ref="J1204">_xlfn.IFS(Table_Sales[[#This Row],[amount]]&lt;1000,"Under 1000",Table_Sales[[#This Row],[amount]]&lt;3000,"1000 - 2999",Table_Sales[[#This Row],[amount]]&lt;5000,"3000 - 4999",TRUE,"5000 &amp; above")</f>
        <v>Under 1000</v>
      </c>
      <c r="K1204">
        <f>IF(COUNTIFS(INDEX(Table_Sales[order_id],1):Table_Sales[[#This Row],[order_id]],Table_Sales[[#This Row],[order_id]])=1,1,0)</f>
        <v>0</v>
      </c>
      <c r="L120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205" spans="1:12" x14ac:dyDescent="0.25">
      <c r="A1205" t="s">
        <v>493</v>
      </c>
      <c r="B1205" s="1">
        <v>141</v>
      </c>
      <c r="C1205" s="1">
        <v>28</v>
      </c>
      <c r="D1205">
        <v>7</v>
      </c>
      <c r="E1205" t="s">
        <v>12</v>
      </c>
      <c r="F1205" t="s">
        <v>131</v>
      </c>
      <c r="G1205" t="s">
        <v>28</v>
      </c>
      <c r="H1205">
        <f>IF(Table_Sales[[#This Row],[profit]]&lt;0,1,0)</f>
        <v>0</v>
      </c>
      <c r="I1205" t="str" cm="1">
        <f t="array" ref="I1205">_xlfn.IFS(Table_Sales[[#This Row],[quantity]]&lt;=3,"1-3",Table_Sales[[#This Row],[quantity]]&lt;=7,"2-7",Table_Sales[[#This Row],[quantity]]&lt;=10,"8-10",TRUE,"11 and above")</f>
        <v>2-7</v>
      </c>
      <c r="J1205" t="str" cm="1">
        <f t="array" ref="J1205">_xlfn.IFS(Table_Sales[[#This Row],[amount]]&lt;1000,"Under 1000",Table_Sales[[#This Row],[amount]]&lt;3000,"1000 - 2999",Table_Sales[[#This Row],[amount]]&lt;5000,"3000 - 4999",TRUE,"5000 &amp; above")</f>
        <v>Under 1000</v>
      </c>
      <c r="K1205">
        <f>IF(COUNTIFS(INDEX(Table_Sales[order_id],1):Table_Sales[[#This Row],[order_id]],Table_Sales[[#This Row],[order_id]])=1,1,0)</f>
        <v>1</v>
      </c>
      <c r="L120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206" spans="1:12" x14ac:dyDescent="0.25">
      <c r="A1206" t="s">
        <v>157</v>
      </c>
      <c r="B1206" s="1">
        <v>429</v>
      </c>
      <c r="C1206" s="1">
        <v>17</v>
      </c>
      <c r="D1206">
        <v>3</v>
      </c>
      <c r="E1206" t="s">
        <v>12</v>
      </c>
      <c r="F1206" t="s">
        <v>13</v>
      </c>
      <c r="G1206" t="s">
        <v>28</v>
      </c>
      <c r="H1206">
        <f>IF(Table_Sales[[#This Row],[profit]]&lt;0,1,0)</f>
        <v>0</v>
      </c>
      <c r="I1206" t="str" cm="1">
        <f t="array" ref="I1206">_xlfn.IFS(Table_Sales[[#This Row],[quantity]]&lt;=3,"1-3",Table_Sales[[#This Row],[quantity]]&lt;=7,"2-7",Table_Sales[[#This Row],[quantity]]&lt;=10,"8-10",TRUE,"11 and above")</f>
        <v>1-3</v>
      </c>
      <c r="J1206" t="str" cm="1">
        <f t="array" ref="J1206">_xlfn.IFS(Table_Sales[[#This Row],[amount]]&lt;1000,"Under 1000",Table_Sales[[#This Row],[amount]]&lt;3000,"1000 - 2999",Table_Sales[[#This Row],[amount]]&lt;5000,"3000 - 4999",TRUE,"5000 &amp; above")</f>
        <v>Under 1000</v>
      </c>
      <c r="K1206">
        <f>IF(COUNTIFS(INDEX(Table_Sales[order_id],1):Table_Sales[[#This Row],[order_id]],Table_Sales[[#This Row],[order_id]])=1,1,0)</f>
        <v>0</v>
      </c>
      <c r="L120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207" spans="1:12" x14ac:dyDescent="0.25">
      <c r="A1207" t="s">
        <v>252</v>
      </c>
      <c r="B1207" s="1">
        <v>44</v>
      </c>
      <c r="C1207" s="1">
        <v>-8</v>
      </c>
      <c r="D1207">
        <v>3</v>
      </c>
      <c r="E1207" t="s">
        <v>23</v>
      </c>
      <c r="F1207" t="s">
        <v>57</v>
      </c>
      <c r="G1207" t="s">
        <v>19</v>
      </c>
      <c r="H1207">
        <f>IF(Table_Sales[[#This Row],[profit]]&lt;0,1,0)</f>
        <v>1</v>
      </c>
      <c r="I1207" t="str" cm="1">
        <f t="array" ref="I1207">_xlfn.IFS(Table_Sales[[#This Row],[quantity]]&lt;=3,"1-3",Table_Sales[[#This Row],[quantity]]&lt;=7,"2-7",Table_Sales[[#This Row],[quantity]]&lt;=10,"8-10",TRUE,"11 and above")</f>
        <v>1-3</v>
      </c>
      <c r="J1207" t="str" cm="1">
        <f t="array" ref="J1207">_xlfn.IFS(Table_Sales[[#This Row],[amount]]&lt;1000,"Under 1000",Table_Sales[[#This Row],[amount]]&lt;3000,"1000 - 2999",Table_Sales[[#This Row],[amount]]&lt;5000,"3000 - 4999",TRUE,"5000 &amp; above")</f>
        <v>Under 1000</v>
      </c>
      <c r="K1207">
        <f>IF(COUNTIFS(INDEX(Table_Sales[order_id],1):Table_Sales[[#This Row],[order_id]],Table_Sales[[#This Row],[order_id]])=1,1,0)</f>
        <v>0</v>
      </c>
      <c r="L120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208" spans="1:12" x14ac:dyDescent="0.25">
      <c r="A1208" t="s">
        <v>203</v>
      </c>
      <c r="B1208" s="1">
        <v>149</v>
      </c>
      <c r="C1208" s="1">
        <v>136</v>
      </c>
      <c r="D1208">
        <v>3</v>
      </c>
      <c r="E1208" t="s">
        <v>23</v>
      </c>
      <c r="F1208" t="s">
        <v>57</v>
      </c>
      <c r="G1208" t="s">
        <v>28</v>
      </c>
      <c r="H1208">
        <f>IF(Table_Sales[[#This Row],[profit]]&lt;0,1,0)</f>
        <v>0</v>
      </c>
      <c r="I1208" t="str" cm="1">
        <f t="array" ref="I1208">_xlfn.IFS(Table_Sales[[#This Row],[quantity]]&lt;=3,"1-3",Table_Sales[[#This Row],[quantity]]&lt;=7,"2-7",Table_Sales[[#This Row],[quantity]]&lt;=10,"8-10",TRUE,"11 and above")</f>
        <v>1-3</v>
      </c>
      <c r="J1208" t="str" cm="1">
        <f t="array" ref="J1208">_xlfn.IFS(Table_Sales[[#This Row],[amount]]&lt;1000,"Under 1000",Table_Sales[[#This Row],[amount]]&lt;3000,"1000 - 2999",Table_Sales[[#This Row],[amount]]&lt;5000,"3000 - 4999",TRUE,"5000 &amp; above")</f>
        <v>Under 1000</v>
      </c>
      <c r="K1208">
        <f>IF(COUNTIFS(INDEX(Table_Sales[order_id],1):Table_Sales[[#This Row],[order_id]],Table_Sales[[#This Row],[order_id]])=1,1,0)</f>
        <v>0</v>
      </c>
      <c r="L120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209" spans="1:12" x14ac:dyDescent="0.25">
      <c r="A1209" t="s">
        <v>39</v>
      </c>
      <c r="B1209" s="1">
        <v>44</v>
      </c>
      <c r="C1209" s="1">
        <v>-34</v>
      </c>
      <c r="D1209">
        <v>3</v>
      </c>
      <c r="E1209" t="s">
        <v>23</v>
      </c>
      <c r="F1209" t="s">
        <v>57</v>
      </c>
      <c r="G1209" t="s">
        <v>19</v>
      </c>
      <c r="H1209">
        <f>IF(Table_Sales[[#This Row],[profit]]&lt;0,1,0)</f>
        <v>1</v>
      </c>
      <c r="I1209" t="str" cm="1">
        <f t="array" ref="I1209">_xlfn.IFS(Table_Sales[[#This Row],[quantity]]&lt;=3,"1-3",Table_Sales[[#This Row],[quantity]]&lt;=7,"2-7",Table_Sales[[#This Row],[quantity]]&lt;=10,"8-10",TRUE,"11 and above")</f>
        <v>1-3</v>
      </c>
      <c r="J1209" t="str" cm="1">
        <f t="array" ref="J1209">_xlfn.IFS(Table_Sales[[#This Row],[amount]]&lt;1000,"Under 1000",Table_Sales[[#This Row],[amount]]&lt;3000,"1000 - 2999",Table_Sales[[#This Row],[amount]]&lt;5000,"3000 - 4999",TRUE,"5000 &amp; above")</f>
        <v>Under 1000</v>
      </c>
      <c r="K1209">
        <f>IF(COUNTIFS(INDEX(Table_Sales[order_id],1):Table_Sales[[#This Row],[order_id]],Table_Sales[[#This Row],[order_id]])=1,1,0)</f>
        <v>0</v>
      </c>
      <c r="L120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210" spans="1:12" x14ac:dyDescent="0.25">
      <c r="A1210" t="s">
        <v>185</v>
      </c>
      <c r="B1210" s="1">
        <v>33</v>
      </c>
      <c r="C1210" s="1">
        <v>10</v>
      </c>
      <c r="D1210">
        <v>3</v>
      </c>
      <c r="E1210" t="s">
        <v>23</v>
      </c>
      <c r="F1210" t="s">
        <v>30</v>
      </c>
      <c r="G1210" t="s">
        <v>10</v>
      </c>
      <c r="H1210">
        <f>IF(Table_Sales[[#This Row],[profit]]&lt;0,1,0)</f>
        <v>0</v>
      </c>
      <c r="I1210" t="str" cm="1">
        <f t="array" ref="I1210">_xlfn.IFS(Table_Sales[[#This Row],[quantity]]&lt;=3,"1-3",Table_Sales[[#This Row],[quantity]]&lt;=7,"2-7",Table_Sales[[#This Row],[quantity]]&lt;=10,"8-10",TRUE,"11 and above")</f>
        <v>1-3</v>
      </c>
      <c r="J1210" t="str" cm="1">
        <f t="array" ref="J1210">_xlfn.IFS(Table_Sales[[#This Row],[amount]]&lt;1000,"Under 1000",Table_Sales[[#This Row],[amount]]&lt;3000,"1000 - 2999",Table_Sales[[#This Row],[amount]]&lt;5000,"3000 - 4999",TRUE,"5000 &amp; above")</f>
        <v>Under 1000</v>
      </c>
      <c r="K1210">
        <f>IF(COUNTIFS(INDEX(Table_Sales[order_id],1):Table_Sales[[#This Row],[order_id]],Table_Sales[[#This Row],[order_id]])=1,1,0)</f>
        <v>0</v>
      </c>
      <c r="L121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211" spans="1:12" x14ac:dyDescent="0.25">
      <c r="A1211" t="s">
        <v>211</v>
      </c>
      <c r="B1211" s="1">
        <v>33</v>
      </c>
      <c r="C1211" s="1">
        <v>9</v>
      </c>
      <c r="D1211">
        <v>2</v>
      </c>
      <c r="E1211" t="s">
        <v>23</v>
      </c>
      <c r="F1211" t="s">
        <v>30</v>
      </c>
      <c r="G1211" t="s">
        <v>10</v>
      </c>
      <c r="H1211">
        <f>IF(Table_Sales[[#This Row],[profit]]&lt;0,1,0)</f>
        <v>0</v>
      </c>
      <c r="I1211" t="str" cm="1">
        <f t="array" ref="I1211">_xlfn.IFS(Table_Sales[[#This Row],[quantity]]&lt;=3,"1-3",Table_Sales[[#This Row],[quantity]]&lt;=7,"2-7",Table_Sales[[#This Row],[quantity]]&lt;=10,"8-10",TRUE,"11 and above")</f>
        <v>1-3</v>
      </c>
      <c r="J1211" t="str" cm="1">
        <f t="array" ref="J1211">_xlfn.IFS(Table_Sales[[#This Row],[amount]]&lt;1000,"Under 1000",Table_Sales[[#This Row],[amount]]&lt;3000,"1000 - 2999",Table_Sales[[#This Row],[amount]]&lt;5000,"3000 - 4999",TRUE,"5000 &amp; above")</f>
        <v>Under 1000</v>
      </c>
      <c r="K1211">
        <f>IF(COUNTIFS(INDEX(Table_Sales[order_id],1):Table_Sales[[#This Row],[order_id]],Table_Sales[[#This Row],[order_id]])=1,1,0)</f>
        <v>0</v>
      </c>
      <c r="L121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212" spans="1:12" x14ac:dyDescent="0.25">
      <c r="A1212" t="s">
        <v>171</v>
      </c>
      <c r="B1212" s="1">
        <v>442</v>
      </c>
      <c r="C1212" s="1">
        <v>31</v>
      </c>
      <c r="D1212">
        <v>2</v>
      </c>
      <c r="E1212" t="s">
        <v>8</v>
      </c>
      <c r="F1212" t="s">
        <v>9</v>
      </c>
      <c r="G1212" t="s">
        <v>28</v>
      </c>
      <c r="H1212">
        <f>IF(Table_Sales[[#This Row],[profit]]&lt;0,1,0)</f>
        <v>0</v>
      </c>
      <c r="I1212" t="str" cm="1">
        <f t="array" ref="I1212">_xlfn.IFS(Table_Sales[[#This Row],[quantity]]&lt;=3,"1-3",Table_Sales[[#This Row],[quantity]]&lt;=7,"2-7",Table_Sales[[#This Row],[quantity]]&lt;=10,"8-10",TRUE,"11 and above")</f>
        <v>1-3</v>
      </c>
      <c r="J1212" t="str" cm="1">
        <f t="array" ref="J1212">_xlfn.IFS(Table_Sales[[#This Row],[amount]]&lt;1000,"Under 1000",Table_Sales[[#This Row],[amount]]&lt;3000,"1000 - 2999",Table_Sales[[#This Row],[amount]]&lt;5000,"3000 - 4999",TRUE,"5000 &amp; above")</f>
        <v>Under 1000</v>
      </c>
      <c r="K1212">
        <f>IF(COUNTIFS(INDEX(Table_Sales[order_id],1):Table_Sales[[#This Row],[order_id]],Table_Sales[[#This Row],[order_id]])=1,1,0)</f>
        <v>0</v>
      </c>
      <c r="L121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213" spans="1:12" x14ac:dyDescent="0.25">
      <c r="A1213" t="s">
        <v>100</v>
      </c>
      <c r="B1213" s="1">
        <v>41</v>
      </c>
      <c r="C1213" s="1">
        <v>6</v>
      </c>
      <c r="D1213">
        <v>5</v>
      </c>
      <c r="E1213" t="s">
        <v>23</v>
      </c>
      <c r="F1213" t="s">
        <v>43</v>
      </c>
      <c r="G1213" t="s">
        <v>19</v>
      </c>
      <c r="H1213">
        <f>IF(Table_Sales[[#This Row],[profit]]&lt;0,1,0)</f>
        <v>0</v>
      </c>
      <c r="I1213" t="str" cm="1">
        <f t="array" ref="I1213">_xlfn.IFS(Table_Sales[[#This Row],[quantity]]&lt;=3,"1-3",Table_Sales[[#This Row],[quantity]]&lt;=7,"2-7",Table_Sales[[#This Row],[quantity]]&lt;=10,"8-10",TRUE,"11 and above")</f>
        <v>2-7</v>
      </c>
      <c r="J1213" t="str" cm="1">
        <f t="array" ref="J1213">_xlfn.IFS(Table_Sales[[#This Row],[amount]]&lt;1000,"Under 1000",Table_Sales[[#This Row],[amount]]&lt;3000,"1000 - 2999",Table_Sales[[#This Row],[amount]]&lt;5000,"3000 - 4999",TRUE,"5000 &amp; above")</f>
        <v>Under 1000</v>
      </c>
      <c r="K1213">
        <f>IF(COUNTIFS(INDEX(Table_Sales[order_id],1):Table_Sales[[#This Row],[order_id]],Table_Sales[[#This Row],[order_id]])=1,1,0)</f>
        <v>0</v>
      </c>
      <c r="L121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214" spans="1:12" x14ac:dyDescent="0.25">
      <c r="A1214" t="s">
        <v>210</v>
      </c>
      <c r="B1214" s="1">
        <v>33</v>
      </c>
      <c r="C1214" s="1">
        <v>-12</v>
      </c>
      <c r="D1214">
        <v>5</v>
      </c>
      <c r="E1214" t="s">
        <v>23</v>
      </c>
      <c r="F1214" t="s">
        <v>30</v>
      </c>
      <c r="G1214" t="s">
        <v>10</v>
      </c>
      <c r="H1214">
        <f>IF(Table_Sales[[#This Row],[profit]]&lt;0,1,0)</f>
        <v>1</v>
      </c>
      <c r="I1214" t="str" cm="1">
        <f t="array" ref="I1214">_xlfn.IFS(Table_Sales[[#This Row],[quantity]]&lt;=3,"1-3",Table_Sales[[#This Row],[quantity]]&lt;=7,"2-7",Table_Sales[[#This Row],[quantity]]&lt;=10,"8-10",TRUE,"11 and above")</f>
        <v>2-7</v>
      </c>
      <c r="J1214" t="str" cm="1">
        <f t="array" ref="J1214">_xlfn.IFS(Table_Sales[[#This Row],[amount]]&lt;1000,"Under 1000",Table_Sales[[#This Row],[amount]]&lt;3000,"1000 - 2999",Table_Sales[[#This Row],[amount]]&lt;5000,"3000 - 4999",TRUE,"5000 &amp; above")</f>
        <v>Under 1000</v>
      </c>
      <c r="K1214">
        <f>IF(COUNTIFS(INDEX(Table_Sales[order_id],1):Table_Sales[[#This Row],[order_id]],Table_Sales[[#This Row],[order_id]])=1,1,0)</f>
        <v>0</v>
      </c>
      <c r="L121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215" spans="1:12" x14ac:dyDescent="0.25">
      <c r="A1215" t="s">
        <v>494</v>
      </c>
      <c r="B1215" s="1">
        <v>32</v>
      </c>
      <c r="C1215" s="1">
        <v>3</v>
      </c>
      <c r="D1215">
        <v>8</v>
      </c>
      <c r="E1215" t="s">
        <v>23</v>
      </c>
      <c r="F1215" t="s">
        <v>30</v>
      </c>
      <c r="G1215" t="s">
        <v>10</v>
      </c>
      <c r="H1215">
        <f>IF(Table_Sales[[#This Row],[profit]]&lt;0,1,0)</f>
        <v>0</v>
      </c>
      <c r="I1215" t="str" cm="1">
        <f t="array" ref="I1215">_xlfn.IFS(Table_Sales[[#This Row],[quantity]]&lt;=3,"1-3",Table_Sales[[#This Row],[quantity]]&lt;=7,"2-7",Table_Sales[[#This Row],[quantity]]&lt;=10,"8-10",TRUE,"11 and above")</f>
        <v>8-10</v>
      </c>
      <c r="J1215" t="str" cm="1">
        <f t="array" ref="J1215">_xlfn.IFS(Table_Sales[[#This Row],[amount]]&lt;1000,"Under 1000",Table_Sales[[#This Row],[amount]]&lt;3000,"1000 - 2999",Table_Sales[[#This Row],[amount]]&lt;5000,"3000 - 4999",TRUE,"5000 &amp; above")</f>
        <v>Under 1000</v>
      </c>
      <c r="K1215">
        <f>IF(COUNTIFS(INDEX(Table_Sales[order_id],1):Table_Sales[[#This Row],[order_id]],Table_Sales[[#This Row],[order_id]])=1,1,0)</f>
        <v>1</v>
      </c>
      <c r="L121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216" spans="1:12" x14ac:dyDescent="0.25">
      <c r="A1216" t="s">
        <v>158</v>
      </c>
      <c r="B1216" s="1">
        <v>32</v>
      </c>
      <c r="C1216" s="1">
        <v>6</v>
      </c>
      <c r="D1216">
        <v>3</v>
      </c>
      <c r="E1216" t="s">
        <v>23</v>
      </c>
      <c r="F1216" t="s">
        <v>142</v>
      </c>
      <c r="G1216" t="s">
        <v>10</v>
      </c>
      <c r="H1216">
        <f>IF(Table_Sales[[#This Row],[profit]]&lt;0,1,0)</f>
        <v>0</v>
      </c>
      <c r="I1216" t="str" cm="1">
        <f t="array" ref="I1216">_xlfn.IFS(Table_Sales[[#This Row],[quantity]]&lt;=3,"1-3",Table_Sales[[#This Row],[quantity]]&lt;=7,"2-7",Table_Sales[[#This Row],[quantity]]&lt;=10,"8-10",TRUE,"11 and above")</f>
        <v>1-3</v>
      </c>
      <c r="J1216" t="str" cm="1">
        <f t="array" ref="J1216">_xlfn.IFS(Table_Sales[[#This Row],[amount]]&lt;1000,"Under 1000",Table_Sales[[#This Row],[amount]]&lt;3000,"1000 - 2999",Table_Sales[[#This Row],[amount]]&lt;5000,"3000 - 4999",TRUE,"5000 &amp; above")</f>
        <v>Under 1000</v>
      </c>
      <c r="K1216">
        <f>IF(COUNTIFS(INDEX(Table_Sales[order_id],1):Table_Sales[[#This Row],[order_id]],Table_Sales[[#This Row],[order_id]])=1,1,0)</f>
        <v>0</v>
      </c>
      <c r="L121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217" spans="1:12" x14ac:dyDescent="0.25">
      <c r="A1217" t="s">
        <v>275</v>
      </c>
      <c r="B1217" s="1">
        <v>179</v>
      </c>
      <c r="C1217" s="1">
        <v>77</v>
      </c>
      <c r="D1217">
        <v>1</v>
      </c>
      <c r="E1217" t="s">
        <v>23</v>
      </c>
      <c r="F1217" t="s">
        <v>26</v>
      </c>
      <c r="G1217" t="s">
        <v>28</v>
      </c>
      <c r="H1217">
        <f>IF(Table_Sales[[#This Row],[profit]]&lt;0,1,0)</f>
        <v>0</v>
      </c>
      <c r="I1217" t="str" cm="1">
        <f t="array" ref="I1217">_xlfn.IFS(Table_Sales[[#This Row],[quantity]]&lt;=3,"1-3",Table_Sales[[#This Row],[quantity]]&lt;=7,"2-7",Table_Sales[[#This Row],[quantity]]&lt;=10,"8-10",TRUE,"11 and above")</f>
        <v>1-3</v>
      </c>
      <c r="J1217" t="str" cm="1">
        <f t="array" ref="J1217">_xlfn.IFS(Table_Sales[[#This Row],[amount]]&lt;1000,"Under 1000",Table_Sales[[#This Row],[amount]]&lt;3000,"1000 - 2999",Table_Sales[[#This Row],[amount]]&lt;5000,"3000 - 4999",TRUE,"5000 &amp; above")</f>
        <v>Under 1000</v>
      </c>
      <c r="K1217">
        <f>IF(COUNTIFS(INDEX(Table_Sales[order_id],1):Table_Sales[[#This Row],[order_id]],Table_Sales[[#This Row],[order_id]])=1,1,0)</f>
        <v>0</v>
      </c>
      <c r="L121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218" spans="1:12" x14ac:dyDescent="0.25">
      <c r="A1218" t="s">
        <v>386</v>
      </c>
      <c r="B1218" s="1">
        <v>31</v>
      </c>
      <c r="C1218" s="1">
        <v>10</v>
      </c>
      <c r="D1218">
        <v>1</v>
      </c>
      <c r="E1218" t="s">
        <v>23</v>
      </c>
      <c r="F1218" t="s">
        <v>32</v>
      </c>
      <c r="G1218" t="s">
        <v>10</v>
      </c>
      <c r="H1218">
        <f>IF(Table_Sales[[#This Row],[profit]]&lt;0,1,0)</f>
        <v>0</v>
      </c>
      <c r="I1218" t="str" cm="1">
        <f t="array" ref="I1218">_xlfn.IFS(Table_Sales[[#This Row],[quantity]]&lt;=3,"1-3",Table_Sales[[#This Row],[quantity]]&lt;=7,"2-7",Table_Sales[[#This Row],[quantity]]&lt;=10,"8-10",TRUE,"11 and above")</f>
        <v>1-3</v>
      </c>
      <c r="J1218" t="str" cm="1">
        <f t="array" ref="J1218">_xlfn.IFS(Table_Sales[[#This Row],[amount]]&lt;1000,"Under 1000",Table_Sales[[#This Row],[amount]]&lt;3000,"1000 - 2999",Table_Sales[[#This Row],[amount]]&lt;5000,"3000 - 4999",TRUE,"5000 &amp; above")</f>
        <v>Under 1000</v>
      </c>
      <c r="K1218">
        <f>IF(COUNTIFS(INDEX(Table_Sales[order_id],1):Table_Sales[[#This Row],[order_id]],Table_Sales[[#This Row],[order_id]])=1,1,0)</f>
        <v>0</v>
      </c>
      <c r="L121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219" spans="1:12" x14ac:dyDescent="0.25">
      <c r="A1219" t="s">
        <v>89</v>
      </c>
      <c r="B1219" s="1">
        <v>140</v>
      </c>
      <c r="C1219" s="1">
        <v>68</v>
      </c>
      <c r="D1219">
        <v>5</v>
      </c>
      <c r="E1219" t="s">
        <v>23</v>
      </c>
      <c r="F1219" t="s">
        <v>81</v>
      </c>
      <c r="G1219" t="s">
        <v>10</v>
      </c>
      <c r="H1219">
        <f>IF(Table_Sales[[#This Row],[profit]]&lt;0,1,0)</f>
        <v>0</v>
      </c>
      <c r="I1219" t="str" cm="1">
        <f t="array" ref="I1219">_xlfn.IFS(Table_Sales[[#This Row],[quantity]]&lt;=3,"1-3",Table_Sales[[#This Row],[quantity]]&lt;=7,"2-7",Table_Sales[[#This Row],[quantity]]&lt;=10,"8-10",TRUE,"11 and above")</f>
        <v>2-7</v>
      </c>
      <c r="J1219" t="str" cm="1">
        <f t="array" ref="J1219">_xlfn.IFS(Table_Sales[[#This Row],[amount]]&lt;1000,"Under 1000",Table_Sales[[#This Row],[amount]]&lt;3000,"1000 - 2999",Table_Sales[[#This Row],[amount]]&lt;5000,"3000 - 4999",TRUE,"5000 &amp; above")</f>
        <v>Under 1000</v>
      </c>
      <c r="K1219">
        <f>IF(COUNTIFS(INDEX(Table_Sales[order_id],1):Table_Sales[[#This Row],[order_id]],Table_Sales[[#This Row],[order_id]])=1,1,0)</f>
        <v>0</v>
      </c>
      <c r="L121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220" spans="1:12" x14ac:dyDescent="0.25">
      <c r="A1220" t="s">
        <v>461</v>
      </c>
      <c r="B1220" s="1">
        <v>529</v>
      </c>
      <c r="C1220" s="1">
        <v>137</v>
      </c>
      <c r="D1220">
        <v>3</v>
      </c>
      <c r="E1220" t="s">
        <v>8</v>
      </c>
      <c r="F1220" t="s">
        <v>21</v>
      </c>
      <c r="G1220" t="s">
        <v>82</v>
      </c>
      <c r="H1220">
        <f>IF(Table_Sales[[#This Row],[profit]]&lt;0,1,0)</f>
        <v>0</v>
      </c>
      <c r="I1220" t="str" cm="1">
        <f t="array" ref="I1220">_xlfn.IFS(Table_Sales[[#This Row],[quantity]]&lt;=3,"1-3",Table_Sales[[#This Row],[quantity]]&lt;=7,"2-7",Table_Sales[[#This Row],[quantity]]&lt;=10,"8-10",TRUE,"11 and above")</f>
        <v>1-3</v>
      </c>
      <c r="J1220" t="str" cm="1">
        <f t="array" ref="J1220">_xlfn.IFS(Table_Sales[[#This Row],[amount]]&lt;1000,"Under 1000",Table_Sales[[#This Row],[amount]]&lt;3000,"1000 - 2999",Table_Sales[[#This Row],[amount]]&lt;5000,"3000 - 4999",TRUE,"5000 &amp; above")</f>
        <v>Under 1000</v>
      </c>
      <c r="K1220">
        <f>IF(COUNTIFS(INDEX(Table_Sales[order_id],1):Table_Sales[[#This Row],[order_id]],Table_Sales[[#This Row],[order_id]])=1,1,0)</f>
        <v>0</v>
      </c>
      <c r="L122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221" spans="1:12" x14ac:dyDescent="0.25">
      <c r="A1221" t="s">
        <v>495</v>
      </c>
      <c r="B1221" s="1">
        <v>534</v>
      </c>
      <c r="C1221" s="1">
        <v>0</v>
      </c>
      <c r="D1221">
        <v>3</v>
      </c>
      <c r="E1221" t="s">
        <v>23</v>
      </c>
      <c r="F1221" t="s">
        <v>26</v>
      </c>
      <c r="G1221" t="s">
        <v>82</v>
      </c>
      <c r="H1221">
        <f>IF(Table_Sales[[#This Row],[profit]]&lt;0,1,0)</f>
        <v>0</v>
      </c>
      <c r="I1221" t="str" cm="1">
        <f t="array" ref="I1221">_xlfn.IFS(Table_Sales[[#This Row],[quantity]]&lt;=3,"1-3",Table_Sales[[#This Row],[quantity]]&lt;=7,"2-7",Table_Sales[[#This Row],[quantity]]&lt;=10,"8-10",TRUE,"11 and above")</f>
        <v>1-3</v>
      </c>
      <c r="J1221" t="str" cm="1">
        <f t="array" ref="J1221">_xlfn.IFS(Table_Sales[[#This Row],[amount]]&lt;1000,"Under 1000",Table_Sales[[#This Row],[amount]]&lt;3000,"1000 - 2999",Table_Sales[[#This Row],[amount]]&lt;5000,"3000 - 4999",TRUE,"5000 &amp; above")</f>
        <v>Under 1000</v>
      </c>
      <c r="K1221">
        <f>IF(COUNTIFS(INDEX(Table_Sales[order_id],1):Table_Sales[[#This Row],[order_id]],Table_Sales[[#This Row],[order_id]])=1,1,0)</f>
        <v>1</v>
      </c>
      <c r="L122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222" spans="1:12" x14ac:dyDescent="0.25">
      <c r="A1222" t="s">
        <v>351</v>
      </c>
      <c r="B1222" s="1">
        <v>41</v>
      </c>
      <c r="C1222" s="1">
        <v>-6</v>
      </c>
      <c r="D1222">
        <v>1</v>
      </c>
      <c r="E1222" t="s">
        <v>12</v>
      </c>
      <c r="F1222" t="s">
        <v>13</v>
      </c>
      <c r="G1222" t="s">
        <v>19</v>
      </c>
      <c r="H1222">
        <f>IF(Table_Sales[[#This Row],[profit]]&lt;0,1,0)</f>
        <v>1</v>
      </c>
      <c r="I1222" t="str" cm="1">
        <f t="array" ref="I1222">_xlfn.IFS(Table_Sales[[#This Row],[quantity]]&lt;=3,"1-3",Table_Sales[[#This Row],[quantity]]&lt;=7,"2-7",Table_Sales[[#This Row],[quantity]]&lt;=10,"8-10",TRUE,"11 and above")</f>
        <v>1-3</v>
      </c>
      <c r="J1222" t="str" cm="1">
        <f t="array" ref="J1222">_xlfn.IFS(Table_Sales[[#This Row],[amount]]&lt;1000,"Under 1000",Table_Sales[[#This Row],[amount]]&lt;3000,"1000 - 2999",Table_Sales[[#This Row],[amount]]&lt;5000,"3000 - 4999",TRUE,"5000 &amp; above")</f>
        <v>Under 1000</v>
      </c>
      <c r="K1222">
        <f>IF(COUNTIFS(INDEX(Table_Sales[order_id],1):Table_Sales[[#This Row],[order_id]],Table_Sales[[#This Row],[order_id]])=1,1,0)</f>
        <v>0</v>
      </c>
      <c r="L122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223" spans="1:12" x14ac:dyDescent="0.25">
      <c r="A1223" t="s">
        <v>208</v>
      </c>
      <c r="B1223" s="1">
        <v>379</v>
      </c>
      <c r="C1223" s="1">
        <v>63</v>
      </c>
      <c r="D1223">
        <v>2</v>
      </c>
      <c r="E1223" t="s">
        <v>23</v>
      </c>
      <c r="F1223" t="s">
        <v>26</v>
      </c>
      <c r="G1223" t="s">
        <v>10</v>
      </c>
      <c r="H1223">
        <f>IF(Table_Sales[[#This Row],[profit]]&lt;0,1,0)</f>
        <v>0</v>
      </c>
      <c r="I1223" t="str" cm="1">
        <f t="array" ref="I1223">_xlfn.IFS(Table_Sales[[#This Row],[quantity]]&lt;=3,"1-3",Table_Sales[[#This Row],[quantity]]&lt;=7,"2-7",Table_Sales[[#This Row],[quantity]]&lt;=10,"8-10",TRUE,"11 and above")</f>
        <v>1-3</v>
      </c>
      <c r="J1223" t="str" cm="1">
        <f t="array" ref="J1223">_xlfn.IFS(Table_Sales[[#This Row],[amount]]&lt;1000,"Under 1000",Table_Sales[[#This Row],[amount]]&lt;3000,"1000 - 2999",Table_Sales[[#This Row],[amount]]&lt;5000,"3000 - 4999",TRUE,"5000 &amp; above")</f>
        <v>Under 1000</v>
      </c>
      <c r="K1223">
        <f>IF(COUNTIFS(INDEX(Table_Sales[order_id],1):Table_Sales[[#This Row],[order_id]],Table_Sales[[#This Row],[order_id]])=1,1,0)</f>
        <v>0</v>
      </c>
      <c r="L122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224" spans="1:12" x14ac:dyDescent="0.25">
      <c r="A1224" t="s">
        <v>219</v>
      </c>
      <c r="B1224" s="1">
        <v>81</v>
      </c>
      <c r="C1224" s="1">
        <v>-44</v>
      </c>
      <c r="D1224">
        <v>3</v>
      </c>
      <c r="E1224" t="s">
        <v>23</v>
      </c>
      <c r="F1224" t="s">
        <v>57</v>
      </c>
      <c r="G1224" t="s">
        <v>10</v>
      </c>
      <c r="H1224">
        <f>IF(Table_Sales[[#This Row],[profit]]&lt;0,1,0)</f>
        <v>1</v>
      </c>
      <c r="I1224" t="str" cm="1">
        <f t="array" ref="I1224">_xlfn.IFS(Table_Sales[[#This Row],[quantity]]&lt;=3,"1-3",Table_Sales[[#This Row],[quantity]]&lt;=7,"2-7",Table_Sales[[#This Row],[quantity]]&lt;=10,"8-10",TRUE,"11 and above")</f>
        <v>1-3</v>
      </c>
      <c r="J1224" t="str" cm="1">
        <f t="array" ref="J1224">_xlfn.IFS(Table_Sales[[#This Row],[amount]]&lt;1000,"Under 1000",Table_Sales[[#This Row],[amount]]&lt;3000,"1000 - 2999",Table_Sales[[#This Row],[amount]]&lt;5000,"3000 - 4999",TRUE,"5000 &amp; above")</f>
        <v>Under 1000</v>
      </c>
      <c r="K1224">
        <f>IF(COUNTIFS(INDEX(Table_Sales[order_id],1):Table_Sales[[#This Row],[order_id]],Table_Sales[[#This Row],[order_id]])=1,1,0)</f>
        <v>0</v>
      </c>
      <c r="L122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225" spans="1:12" x14ac:dyDescent="0.25">
      <c r="A1225" t="s">
        <v>307</v>
      </c>
      <c r="B1225" s="1">
        <v>40</v>
      </c>
      <c r="C1225" s="1">
        <v>-33</v>
      </c>
      <c r="D1225">
        <v>5</v>
      </c>
      <c r="E1225" t="s">
        <v>23</v>
      </c>
      <c r="F1225" t="s">
        <v>30</v>
      </c>
      <c r="G1225" t="s">
        <v>19</v>
      </c>
      <c r="H1225">
        <f>IF(Table_Sales[[#This Row],[profit]]&lt;0,1,0)</f>
        <v>1</v>
      </c>
      <c r="I1225" t="str" cm="1">
        <f t="array" ref="I1225">_xlfn.IFS(Table_Sales[[#This Row],[quantity]]&lt;=3,"1-3",Table_Sales[[#This Row],[quantity]]&lt;=7,"2-7",Table_Sales[[#This Row],[quantity]]&lt;=10,"8-10",TRUE,"11 and above")</f>
        <v>2-7</v>
      </c>
      <c r="J1225" t="str" cm="1">
        <f t="array" ref="J1225">_xlfn.IFS(Table_Sales[[#This Row],[amount]]&lt;1000,"Under 1000",Table_Sales[[#This Row],[amount]]&lt;3000,"1000 - 2999",Table_Sales[[#This Row],[amount]]&lt;5000,"3000 - 4999",TRUE,"5000 &amp; above")</f>
        <v>Under 1000</v>
      </c>
      <c r="K1225">
        <f>IF(COUNTIFS(INDEX(Table_Sales[order_id],1):Table_Sales[[#This Row],[order_id]],Table_Sales[[#This Row],[order_id]])=1,1,0)</f>
        <v>0</v>
      </c>
      <c r="L122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226" spans="1:12" x14ac:dyDescent="0.25">
      <c r="A1226" t="s">
        <v>179</v>
      </c>
      <c r="B1226" s="1">
        <v>40</v>
      </c>
      <c r="C1226" s="1">
        <v>18</v>
      </c>
      <c r="D1226">
        <v>1</v>
      </c>
      <c r="E1226" t="s">
        <v>8</v>
      </c>
      <c r="F1226" t="s">
        <v>73</v>
      </c>
      <c r="G1226" t="s">
        <v>19</v>
      </c>
      <c r="H1226">
        <f>IF(Table_Sales[[#This Row],[profit]]&lt;0,1,0)</f>
        <v>0</v>
      </c>
      <c r="I1226" t="str" cm="1">
        <f t="array" ref="I1226">_xlfn.IFS(Table_Sales[[#This Row],[quantity]]&lt;=3,"1-3",Table_Sales[[#This Row],[quantity]]&lt;=7,"2-7",Table_Sales[[#This Row],[quantity]]&lt;=10,"8-10",TRUE,"11 and above")</f>
        <v>1-3</v>
      </c>
      <c r="J1226" t="str" cm="1">
        <f t="array" ref="J1226">_xlfn.IFS(Table_Sales[[#This Row],[amount]]&lt;1000,"Under 1000",Table_Sales[[#This Row],[amount]]&lt;3000,"1000 - 2999",Table_Sales[[#This Row],[amount]]&lt;5000,"3000 - 4999",TRUE,"5000 &amp; above")</f>
        <v>Under 1000</v>
      </c>
      <c r="K1226">
        <f>IF(COUNTIFS(INDEX(Table_Sales[order_id],1):Table_Sales[[#This Row],[order_id]],Table_Sales[[#This Row],[order_id]])=1,1,0)</f>
        <v>0</v>
      </c>
      <c r="L122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227" spans="1:12" x14ac:dyDescent="0.25">
      <c r="A1227" t="s">
        <v>123</v>
      </c>
      <c r="B1227" s="1">
        <v>534</v>
      </c>
      <c r="C1227" s="1">
        <v>0</v>
      </c>
      <c r="D1227">
        <v>3</v>
      </c>
      <c r="E1227" t="s">
        <v>23</v>
      </c>
      <c r="F1227" t="s">
        <v>26</v>
      </c>
      <c r="G1227" t="s">
        <v>82</v>
      </c>
      <c r="H1227">
        <f>IF(Table_Sales[[#This Row],[profit]]&lt;0,1,0)</f>
        <v>0</v>
      </c>
      <c r="I1227" t="str" cm="1">
        <f t="array" ref="I1227">_xlfn.IFS(Table_Sales[[#This Row],[quantity]]&lt;=3,"1-3",Table_Sales[[#This Row],[quantity]]&lt;=7,"2-7",Table_Sales[[#This Row],[quantity]]&lt;=10,"8-10",TRUE,"11 and above")</f>
        <v>1-3</v>
      </c>
      <c r="J1227" t="str" cm="1">
        <f t="array" ref="J1227">_xlfn.IFS(Table_Sales[[#This Row],[amount]]&lt;1000,"Under 1000",Table_Sales[[#This Row],[amount]]&lt;3000,"1000 - 2999",Table_Sales[[#This Row],[amount]]&lt;5000,"3000 - 4999",TRUE,"5000 &amp; above")</f>
        <v>Under 1000</v>
      </c>
      <c r="K1227">
        <f>IF(COUNTIFS(INDEX(Table_Sales[order_id],1):Table_Sales[[#This Row],[order_id]],Table_Sales[[#This Row],[order_id]])=1,1,0)</f>
        <v>0</v>
      </c>
      <c r="L122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228" spans="1:12" x14ac:dyDescent="0.25">
      <c r="A1228" t="s">
        <v>211</v>
      </c>
      <c r="B1228" s="1">
        <v>31</v>
      </c>
      <c r="C1228" s="1">
        <v>9</v>
      </c>
      <c r="D1228">
        <v>2</v>
      </c>
      <c r="E1228" t="s">
        <v>23</v>
      </c>
      <c r="F1228" t="s">
        <v>30</v>
      </c>
      <c r="G1228" t="s">
        <v>10</v>
      </c>
      <c r="H1228">
        <f>IF(Table_Sales[[#This Row],[profit]]&lt;0,1,0)</f>
        <v>0</v>
      </c>
      <c r="I1228" t="str" cm="1">
        <f t="array" ref="I1228">_xlfn.IFS(Table_Sales[[#This Row],[quantity]]&lt;=3,"1-3",Table_Sales[[#This Row],[quantity]]&lt;=7,"2-7",Table_Sales[[#This Row],[quantity]]&lt;=10,"8-10",TRUE,"11 and above")</f>
        <v>1-3</v>
      </c>
      <c r="J1228" t="str" cm="1">
        <f t="array" ref="J1228">_xlfn.IFS(Table_Sales[[#This Row],[amount]]&lt;1000,"Under 1000",Table_Sales[[#This Row],[amount]]&lt;3000,"1000 - 2999",Table_Sales[[#This Row],[amount]]&lt;5000,"3000 - 4999",TRUE,"5000 &amp; above")</f>
        <v>Under 1000</v>
      </c>
      <c r="K1228">
        <f>IF(COUNTIFS(INDEX(Table_Sales[order_id],1):Table_Sales[[#This Row],[order_id]],Table_Sales[[#This Row],[order_id]])=1,1,0)</f>
        <v>0</v>
      </c>
      <c r="L122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229" spans="1:12" x14ac:dyDescent="0.25">
      <c r="A1229" t="s">
        <v>170</v>
      </c>
      <c r="B1229" s="1">
        <v>473</v>
      </c>
      <c r="C1229" s="1">
        <v>-113</v>
      </c>
      <c r="D1229">
        <v>9</v>
      </c>
      <c r="E1229" t="s">
        <v>23</v>
      </c>
      <c r="F1229" t="s">
        <v>30</v>
      </c>
      <c r="G1229" t="s">
        <v>28</v>
      </c>
      <c r="H1229">
        <f>IF(Table_Sales[[#This Row],[profit]]&lt;0,1,0)</f>
        <v>1</v>
      </c>
      <c r="I1229" t="str" cm="1">
        <f t="array" ref="I1229">_xlfn.IFS(Table_Sales[[#This Row],[quantity]]&lt;=3,"1-3",Table_Sales[[#This Row],[quantity]]&lt;=7,"2-7",Table_Sales[[#This Row],[quantity]]&lt;=10,"8-10",TRUE,"11 and above")</f>
        <v>8-10</v>
      </c>
      <c r="J1229" t="str" cm="1">
        <f t="array" ref="J1229">_xlfn.IFS(Table_Sales[[#This Row],[amount]]&lt;1000,"Under 1000",Table_Sales[[#This Row],[amount]]&lt;3000,"1000 - 2999",Table_Sales[[#This Row],[amount]]&lt;5000,"3000 - 4999",TRUE,"5000 &amp; above")</f>
        <v>Under 1000</v>
      </c>
      <c r="K1229">
        <f>IF(COUNTIFS(INDEX(Table_Sales[order_id],1):Table_Sales[[#This Row],[order_id]],Table_Sales[[#This Row],[order_id]])=1,1,0)</f>
        <v>0</v>
      </c>
      <c r="L122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230" spans="1:12" x14ac:dyDescent="0.25">
      <c r="A1230" t="s">
        <v>496</v>
      </c>
      <c r="B1230" s="1">
        <v>31</v>
      </c>
      <c r="C1230" s="1">
        <v>-10</v>
      </c>
      <c r="D1230">
        <v>3</v>
      </c>
      <c r="E1230" t="s">
        <v>23</v>
      </c>
      <c r="F1230" t="s">
        <v>43</v>
      </c>
      <c r="G1230" t="s">
        <v>10</v>
      </c>
      <c r="H1230">
        <f>IF(Table_Sales[[#This Row],[profit]]&lt;0,1,0)</f>
        <v>1</v>
      </c>
      <c r="I1230" t="str" cm="1">
        <f t="array" ref="I1230">_xlfn.IFS(Table_Sales[[#This Row],[quantity]]&lt;=3,"1-3",Table_Sales[[#This Row],[quantity]]&lt;=7,"2-7",Table_Sales[[#This Row],[quantity]]&lt;=10,"8-10",TRUE,"11 and above")</f>
        <v>1-3</v>
      </c>
      <c r="J1230" t="str" cm="1">
        <f t="array" ref="J1230">_xlfn.IFS(Table_Sales[[#This Row],[amount]]&lt;1000,"Under 1000",Table_Sales[[#This Row],[amount]]&lt;3000,"1000 - 2999",Table_Sales[[#This Row],[amount]]&lt;5000,"3000 - 4999",TRUE,"5000 &amp; above")</f>
        <v>Under 1000</v>
      </c>
      <c r="K1230">
        <f>IF(COUNTIFS(INDEX(Table_Sales[order_id],1):Table_Sales[[#This Row],[order_id]],Table_Sales[[#This Row],[order_id]])=1,1,0)</f>
        <v>1</v>
      </c>
      <c r="L123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231" spans="1:12" x14ac:dyDescent="0.25">
      <c r="A1231" t="s">
        <v>469</v>
      </c>
      <c r="B1231" s="1">
        <v>31</v>
      </c>
      <c r="C1231" s="1">
        <v>-3</v>
      </c>
      <c r="D1231">
        <v>4</v>
      </c>
      <c r="E1231" t="s">
        <v>23</v>
      </c>
      <c r="F1231" t="s">
        <v>26</v>
      </c>
      <c r="G1231" t="s">
        <v>10</v>
      </c>
      <c r="H1231">
        <f>IF(Table_Sales[[#This Row],[profit]]&lt;0,1,0)</f>
        <v>1</v>
      </c>
      <c r="I1231" t="str" cm="1">
        <f t="array" ref="I1231">_xlfn.IFS(Table_Sales[[#This Row],[quantity]]&lt;=3,"1-3",Table_Sales[[#This Row],[quantity]]&lt;=7,"2-7",Table_Sales[[#This Row],[quantity]]&lt;=10,"8-10",TRUE,"11 and above")</f>
        <v>2-7</v>
      </c>
      <c r="J1231" t="str" cm="1">
        <f t="array" ref="J1231">_xlfn.IFS(Table_Sales[[#This Row],[amount]]&lt;1000,"Under 1000",Table_Sales[[#This Row],[amount]]&lt;3000,"1000 - 2999",Table_Sales[[#This Row],[amount]]&lt;5000,"3000 - 4999",TRUE,"5000 &amp; above")</f>
        <v>Under 1000</v>
      </c>
      <c r="K1231">
        <f>IF(COUNTIFS(INDEX(Table_Sales[order_id],1):Table_Sales[[#This Row],[order_id]],Table_Sales[[#This Row],[order_id]])=1,1,0)</f>
        <v>0</v>
      </c>
      <c r="L123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232" spans="1:12" x14ac:dyDescent="0.25">
      <c r="A1232" t="s">
        <v>127</v>
      </c>
      <c r="B1232" s="1">
        <v>91</v>
      </c>
      <c r="C1232" s="1">
        <v>15</v>
      </c>
      <c r="D1232">
        <v>6</v>
      </c>
      <c r="E1232" t="s">
        <v>23</v>
      </c>
      <c r="F1232" t="s">
        <v>81</v>
      </c>
      <c r="G1232" t="s">
        <v>28</v>
      </c>
      <c r="H1232">
        <f>IF(Table_Sales[[#This Row],[profit]]&lt;0,1,0)</f>
        <v>0</v>
      </c>
      <c r="I1232" t="str" cm="1">
        <f t="array" ref="I1232">_xlfn.IFS(Table_Sales[[#This Row],[quantity]]&lt;=3,"1-3",Table_Sales[[#This Row],[quantity]]&lt;=7,"2-7",Table_Sales[[#This Row],[quantity]]&lt;=10,"8-10",TRUE,"11 and above")</f>
        <v>2-7</v>
      </c>
      <c r="J1232" t="str" cm="1">
        <f t="array" ref="J1232">_xlfn.IFS(Table_Sales[[#This Row],[amount]]&lt;1000,"Under 1000",Table_Sales[[#This Row],[amount]]&lt;3000,"1000 - 2999",Table_Sales[[#This Row],[amount]]&lt;5000,"3000 - 4999",TRUE,"5000 &amp; above")</f>
        <v>Under 1000</v>
      </c>
      <c r="K1232">
        <f>IF(COUNTIFS(INDEX(Table_Sales[order_id],1):Table_Sales[[#This Row],[order_id]],Table_Sales[[#This Row],[order_id]])=1,1,0)</f>
        <v>0</v>
      </c>
      <c r="L123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233" spans="1:12" x14ac:dyDescent="0.25">
      <c r="A1233" t="s">
        <v>276</v>
      </c>
      <c r="B1233" s="1">
        <v>30</v>
      </c>
      <c r="C1233" s="1">
        <v>-25</v>
      </c>
      <c r="D1233">
        <v>2</v>
      </c>
      <c r="E1233" t="s">
        <v>23</v>
      </c>
      <c r="F1233" t="s">
        <v>81</v>
      </c>
      <c r="G1233" t="s">
        <v>10</v>
      </c>
      <c r="H1233">
        <f>IF(Table_Sales[[#This Row],[profit]]&lt;0,1,0)</f>
        <v>1</v>
      </c>
      <c r="I1233" t="str" cm="1">
        <f t="array" ref="I1233">_xlfn.IFS(Table_Sales[[#This Row],[quantity]]&lt;=3,"1-3",Table_Sales[[#This Row],[quantity]]&lt;=7,"2-7",Table_Sales[[#This Row],[quantity]]&lt;=10,"8-10",TRUE,"11 and above")</f>
        <v>1-3</v>
      </c>
      <c r="J1233" t="str" cm="1">
        <f t="array" ref="J1233">_xlfn.IFS(Table_Sales[[#This Row],[amount]]&lt;1000,"Under 1000",Table_Sales[[#This Row],[amount]]&lt;3000,"1000 - 2999",Table_Sales[[#This Row],[amount]]&lt;5000,"3000 - 4999",TRUE,"5000 &amp; above")</f>
        <v>Under 1000</v>
      </c>
      <c r="K1233">
        <f>IF(COUNTIFS(INDEX(Table_Sales[order_id],1):Table_Sales[[#This Row],[order_id]],Table_Sales[[#This Row],[order_id]])=1,1,0)</f>
        <v>0</v>
      </c>
      <c r="L123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234" spans="1:12" x14ac:dyDescent="0.25">
      <c r="A1234" t="s">
        <v>260</v>
      </c>
      <c r="B1234" s="1">
        <v>30</v>
      </c>
      <c r="C1234" s="1">
        <v>6</v>
      </c>
      <c r="D1234">
        <v>1</v>
      </c>
      <c r="E1234" t="s">
        <v>23</v>
      </c>
      <c r="F1234" t="s">
        <v>81</v>
      </c>
      <c r="G1234" t="s">
        <v>10</v>
      </c>
      <c r="H1234">
        <f>IF(Table_Sales[[#This Row],[profit]]&lt;0,1,0)</f>
        <v>0</v>
      </c>
      <c r="I1234" t="str" cm="1">
        <f t="array" ref="I1234">_xlfn.IFS(Table_Sales[[#This Row],[quantity]]&lt;=3,"1-3",Table_Sales[[#This Row],[quantity]]&lt;=7,"2-7",Table_Sales[[#This Row],[quantity]]&lt;=10,"8-10",TRUE,"11 and above")</f>
        <v>1-3</v>
      </c>
      <c r="J1234" t="str" cm="1">
        <f t="array" ref="J1234">_xlfn.IFS(Table_Sales[[#This Row],[amount]]&lt;1000,"Under 1000",Table_Sales[[#This Row],[amount]]&lt;3000,"1000 - 2999",Table_Sales[[#This Row],[amount]]&lt;5000,"3000 - 4999",TRUE,"5000 &amp; above")</f>
        <v>Under 1000</v>
      </c>
      <c r="K1234">
        <f>IF(COUNTIFS(INDEX(Table_Sales[order_id],1):Table_Sales[[#This Row],[order_id]],Table_Sales[[#This Row],[order_id]])=1,1,0)</f>
        <v>0</v>
      </c>
      <c r="L123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235" spans="1:12" x14ac:dyDescent="0.25">
      <c r="A1235" t="s">
        <v>37</v>
      </c>
      <c r="B1235" s="1">
        <v>40</v>
      </c>
      <c r="C1235" s="1">
        <v>0</v>
      </c>
      <c r="D1235">
        <v>3</v>
      </c>
      <c r="E1235" t="s">
        <v>23</v>
      </c>
      <c r="F1235" t="s">
        <v>26</v>
      </c>
      <c r="G1235" t="s">
        <v>19</v>
      </c>
      <c r="H1235">
        <f>IF(Table_Sales[[#This Row],[profit]]&lt;0,1,0)</f>
        <v>0</v>
      </c>
      <c r="I1235" t="str" cm="1">
        <f t="array" ref="I1235">_xlfn.IFS(Table_Sales[[#This Row],[quantity]]&lt;=3,"1-3",Table_Sales[[#This Row],[quantity]]&lt;=7,"2-7",Table_Sales[[#This Row],[quantity]]&lt;=10,"8-10",TRUE,"11 and above")</f>
        <v>1-3</v>
      </c>
      <c r="J1235" t="str" cm="1">
        <f t="array" ref="J1235">_xlfn.IFS(Table_Sales[[#This Row],[amount]]&lt;1000,"Under 1000",Table_Sales[[#This Row],[amount]]&lt;3000,"1000 - 2999",Table_Sales[[#This Row],[amount]]&lt;5000,"3000 - 4999",TRUE,"5000 &amp; above")</f>
        <v>Under 1000</v>
      </c>
      <c r="K1235">
        <f>IF(COUNTIFS(INDEX(Table_Sales[order_id],1):Table_Sales[[#This Row],[order_id]],Table_Sales[[#This Row],[order_id]])=1,1,0)</f>
        <v>0</v>
      </c>
      <c r="L123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236" spans="1:12" x14ac:dyDescent="0.25">
      <c r="A1236" t="s">
        <v>262</v>
      </c>
      <c r="B1236" s="1">
        <v>534</v>
      </c>
      <c r="C1236" s="1">
        <v>5</v>
      </c>
      <c r="D1236">
        <v>2</v>
      </c>
      <c r="E1236" t="s">
        <v>8</v>
      </c>
      <c r="F1236" t="s">
        <v>9</v>
      </c>
      <c r="G1236" t="s">
        <v>82</v>
      </c>
      <c r="H1236">
        <f>IF(Table_Sales[[#This Row],[profit]]&lt;0,1,0)</f>
        <v>0</v>
      </c>
      <c r="I1236" t="str" cm="1">
        <f t="array" ref="I1236">_xlfn.IFS(Table_Sales[[#This Row],[quantity]]&lt;=3,"1-3",Table_Sales[[#This Row],[quantity]]&lt;=7,"2-7",Table_Sales[[#This Row],[quantity]]&lt;=10,"8-10",TRUE,"11 and above")</f>
        <v>1-3</v>
      </c>
      <c r="J1236" t="str" cm="1">
        <f t="array" ref="J1236">_xlfn.IFS(Table_Sales[[#This Row],[amount]]&lt;1000,"Under 1000",Table_Sales[[#This Row],[amount]]&lt;3000,"1000 - 2999",Table_Sales[[#This Row],[amount]]&lt;5000,"3000 - 4999",TRUE,"5000 &amp; above")</f>
        <v>Under 1000</v>
      </c>
      <c r="K1236">
        <f>IF(COUNTIFS(INDEX(Table_Sales[order_id],1):Table_Sales[[#This Row],[order_id]],Table_Sales[[#This Row],[order_id]])=1,1,0)</f>
        <v>0</v>
      </c>
      <c r="L123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237" spans="1:12" x14ac:dyDescent="0.25">
      <c r="A1237" t="s">
        <v>141</v>
      </c>
      <c r="B1237" s="1">
        <v>539</v>
      </c>
      <c r="C1237" s="1">
        <v>-146</v>
      </c>
      <c r="D1237">
        <v>7</v>
      </c>
      <c r="E1237" t="s">
        <v>12</v>
      </c>
      <c r="F1237" t="s">
        <v>131</v>
      </c>
      <c r="G1237" t="s">
        <v>82</v>
      </c>
      <c r="H1237">
        <f>IF(Table_Sales[[#This Row],[profit]]&lt;0,1,0)</f>
        <v>1</v>
      </c>
      <c r="I1237" t="str" cm="1">
        <f t="array" ref="I1237">_xlfn.IFS(Table_Sales[[#This Row],[quantity]]&lt;=3,"1-3",Table_Sales[[#This Row],[quantity]]&lt;=7,"2-7",Table_Sales[[#This Row],[quantity]]&lt;=10,"8-10",TRUE,"11 and above")</f>
        <v>2-7</v>
      </c>
      <c r="J1237" t="str" cm="1">
        <f t="array" ref="J1237">_xlfn.IFS(Table_Sales[[#This Row],[amount]]&lt;1000,"Under 1000",Table_Sales[[#This Row],[amount]]&lt;3000,"1000 - 2999",Table_Sales[[#This Row],[amount]]&lt;5000,"3000 - 4999",TRUE,"5000 &amp; above")</f>
        <v>Under 1000</v>
      </c>
      <c r="K1237">
        <f>IF(COUNTIFS(INDEX(Table_Sales[order_id],1):Table_Sales[[#This Row],[order_id]],Table_Sales[[#This Row],[order_id]])=1,1,0)</f>
        <v>0</v>
      </c>
      <c r="L123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238" spans="1:12" x14ac:dyDescent="0.25">
      <c r="A1238" t="s">
        <v>497</v>
      </c>
      <c r="B1238" s="1">
        <v>490</v>
      </c>
      <c r="C1238" s="1">
        <v>-128</v>
      </c>
      <c r="D1238">
        <v>8</v>
      </c>
      <c r="E1238" t="s">
        <v>12</v>
      </c>
      <c r="F1238" t="s">
        <v>16</v>
      </c>
      <c r="G1238" t="s">
        <v>28</v>
      </c>
      <c r="H1238">
        <f>IF(Table_Sales[[#This Row],[profit]]&lt;0,1,0)</f>
        <v>1</v>
      </c>
      <c r="I1238" t="str" cm="1">
        <f t="array" ref="I1238">_xlfn.IFS(Table_Sales[[#This Row],[quantity]]&lt;=3,"1-3",Table_Sales[[#This Row],[quantity]]&lt;=7,"2-7",Table_Sales[[#This Row],[quantity]]&lt;=10,"8-10",TRUE,"11 and above")</f>
        <v>8-10</v>
      </c>
      <c r="J1238" t="str" cm="1">
        <f t="array" ref="J1238">_xlfn.IFS(Table_Sales[[#This Row],[amount]]&lt;1000,"Under 1000",Table_Sales[[#This Row],[amount]]&lt;3000,"1000 - 2999",Table_Sales[[#This Row],[amount]]&lt;5000,"3000 - 4999",TRUE,"5000 &amp; above")</f>
        <v>Under 1000</v>
      </c>
      <c r="K1238">
        <f>IF(COUNTIFS(INDEX(Table_Sales[order_id],1):Table_Sales[[#This Row],[order_id]],Table_Sales[[#This Row],[order_id]])=1,1,0)</f>
        <v>1</v>
      </c>
      <c r="L123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239" spans="1:12" x14ac:dyDescent="0.25">
      <c r="A1239" t="s">
        <v>55</v>
      </c>
      <c r="B1239" s="1">
        <v>163</v>
      </c>
      <c r="C1239" s="1">
        <v>81</v>
      </c>
      <c r="D1239">
        <v>2</v>
      </c>
      <c r="E1239" t="s">
        <v>8</v>
      </c>
      <c r="F1239" t="s">
        <v>73</v>
      </c>
      <c r="G1239" t="s">
        <v>10</v>
      </c>
      <c r="H1239">
        <f>IF(Table_Sales[[#This Row],[profit]]&lt;0,1,0)</f>
        <v>0</v>
      </c>
      <c r="I1239" t="str" cm="1">
        <f t="array" ref="I1239">_xlfn.IFS(Table_Sales[[#This Row],[quantity]]&lt;=3,"1-3",Table_Sales[[#This Row],[quantity]]&lt;=7,"2-7",Table_Sales[[#This Row],[quantity]]&lt;=10,"8-10",TRUE,"11 and above")</f>
        <v>1-3</v>
      </c>
      <c r="J1239" t="str" cm="1">
        <f t="array" ref="J1239">_xlfn.IFS(Table_Sales[[#This Row],[amount]]&lt;1000,"Under 1000",Table_Sales[[#This Row],[amount]]&lt;3000,"1000 - 2999",Table_Sales[[#This Row],[amount]]&lt;5000,"3000 - 4999",TRUE,"5000 &amp; above")</f>
        <v>Under 1000</v>
      </c>
      <c r="K1239">
        <f>IF(COUNTIFS(INDEX(Table_Sales[order_id],1):Table_Sales[[#This Row],[order_id]],Table_Sales[[#This Row],[order_id]])=1,1,0)</f>
        <v>0</v>
      </c>
      <c r="L123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240" spans="1:12" x14ac:dyDescent="0.25">
      <c r="A1240" t="s">
        <v>88</v>
      </c>
      <c r="B1240" s="1">
        <v>184</v>
      </c>
      <c r="C1240" s="1">
        <v>85</v>
      </c>
      <c r="D1240">
        <v>6</v>
      </c>
      <c r="E1240" t="s">
        <v>23</v>
      </c>
      <c r="F1240" t="s">
        <v>81</v>
      </c>
      <c r="G1240" t="s">
        <v>28</v>
      </c>
      <c r="H1240">
        <f>IF(Table_Sales[[#This Row],[profit]]&lt;0,1,0)</f>
        <v>0</v>
      </c>
      <c r="I1240" t="str" cm="1">
        <f t="array" ref="I1240">_xlfn.IFS(Table_Sales[[#This Row],[quantity]]&lt;=3,"1-3",Table_Sales[[#This Row],[quantity]]&lt;=7,"2-7",Table_Sales[[#This Row],[quantity]]&lt;=10,"8-10",TRUE,"11 and above")</f>
        <v>2-7</v>
      </c>
      <c r="J1240" t="str" cm="1">
        <f t="array" ref="J1240">_xlfn.IFS(Table_Sales[[#This Row],[amount]]&lt;1000,"Under 1000",Table_Sales[[#This Row],[amount]]&lt;3000,"1000 - 2999",Table_Sales[[#This Row],[amount]]&lt;5000,"3000 - 4999",TRUE,"5000 &amp; above")</f>
        <v>Under 1000</v>
      </c>
      <c r="K1240">
        <f>IF(COUNTIFS(INDEX(Table_Sales[order_id],1):Table_Sales[[#This Row],[order_id]],Table_Sales[[#This Row],[order_id]])=1,1,0)</f>
        <v>0</v>
      </c>
      <c r="L124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241" spans="1:12" x14ac:dyDescent="0.25">
      <c r="A1241" t="s">
        <v>440</v>
      </c>
      <c r="B1241" s="1">
        <v>494</v>
      </c>
      <c r="C1241" s="1">
        <v>54</v>
      </c>
      <c r="D1241">
        <v>4</v>
      </c>
      <c r="E1241" t="s">
        <v>12</v>
      </c>
      <c r="F1241" t="s">
        <v>16</v>
      </c>
      <c r="G1241" t="s">
        <v>10</v>
      </c>
      <c r="H1241">
        <f>IF(Table_Sales[[#This Row],[profit]]&lt;0,1,0)</f>
        <v>0</v>
      </c>
      <c r="I1241" t="str" cm="1">
        <f t="array" ref="I1241">_xlfn.IFS(Table_Sales[[#This Row],[quantity]]&lt;=3,"1-3",Table_Sales[[#This Row],[quantity]]&lt;=7,"2-7",Table_Sales[[#This Row],[quantity]]&lt;=10,"8-10",TRUE,"11 and above")</f>
        <v>2-7</v>
      </c>
      <c r="J1241" t="str" cm="1">
        <f t="array" ref="J1241">_xlfn.IFS(Table_Sales[[#This Row],[amount]]&lt;1000,"Under 1000",Table_Sales[[#This Row],[amount]]&lt;3000,"1000 - 2999",Table_Sales[[#This Row],[amount]]&lt;5000,"3000 - 4999",TRUE,"5000 &amp; above")</f>
        <v>Under 1000</v>
      </c>
      <c r="K1241">
        <f>IF(COUNTIFS(INDEX(Table_Sales[order_id],1):Table_Sales[[#This Row],[order_id]],Table_Sales[[#This Row],[order_id]])=1,1,0)</f>
        <v>0</v>
      </c>
      <c r="L124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242" spans="1:12" x14ac:dyDescent="0.25">
      <c r="A1242" t="s">
        <v>498</v>
      </c>
      <c r="B1242" s="1">
        <v>30</v>
      </c>
      <c r="C1242" s="1">
        <v>11</v>
      </c>
      <c r="D1242">
        <v>5</v>
      </c>
      <c r="E1242" t="s">
        <v>23</v>
      </c>
      <c r="F1242" t="s">
        <v>30</v>
      </c>
      <c r="G1242" t="s">
        <v>10</v>
      </c>
      <c r="H1242">
        <f>IF(Table_Sales[[#This Row],[profit]]&lt;0,1,0)</f>
        <v>0</v>
      </c>
      <c r="I1242" t="str" cm="1">
        <f t="array" ref="I1242">_xlfn.IFS(Table_Sales[[#This Row],[quantity]]&lt;=3,"1-3",Table_Sales[[#This Row],[quantity]]&lt;=7,"2-7",Table_Sales[[#This Row],[quantity]]&lt;=10,"8-10",TRUE,"11 and above")</f>
        <v>2-7</v>
      </c>
      <c r="J1242" t="str" cm="1">
        <f t="array" ref="J1242">_xlfn.IFS(Table_Sales[[#This Row],[amount]]&lt;1000,"Under 1000",Table_Sales[[#This Row],[amount]]&lt;3000,"1000 - 2999",Table_Sales[[#This Row],[amount]]&lt;5000,"3000 - 4999",TRUE,"5000 &amp; above")</f>
        <v>Under 1000</v>
      </c>
      <c r="K1242">
        <f>IF(COUNTIFS(INDEX(Table_Sales[order_id],1):Table_Sales[[#This Row],[order_id]],Table_Sales[[#This Row],[order_id]])=1,1,0)</f>
        <v>1</v>
      </c>
      <c r="L124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243" spans="1:12" x14ac:dyDescent="0.25">
      <c r="A1243" t="s">
        <v>420</v>
      </c>
      <c r="B1243" s="1">
        <v>30</v>
      </c>
      <c r="C1243" s="1">
        <v>0</v>
      </c>
      <c r="D1243">
        <v>1</v>
      </c>
      <c r="E1243" t="s">
        <v>23</v>
      </c>
      <c r="F1243" t="s">
        <v>32</v>
      </c>
      <c r="G1243" t="s">
        <v>10</v>
      </c>
      <c r="H1243">
        <f>IF(Table_Sales[[#This Row],[profit]]&lt;0,1,0)</f>
        <v>0</v>
      </c>
      <c r="I1243" t="str" cm="1">
        <f t="array" ref="I1243">_xlfn.IFS(Table_Sales[[#This Row],[quantity]]&lt;=3,"1-3",Table_Sales[[#This Row],[quantity]]&lt;=7,"2-7",Table_Sales[[#This Row],[quantity]]&lt;=10,"8-10",TRUE,"11 and above")</f>
        <v>1-3</v>
      </c>
      <c r="J1243" t="str" cm="1">
        <f t="array" ref="J1243">_xlfn.IFS(Table_Sales[[#This Row],[amount]]&lt;1000,"Under 1000",Table_Sales[[#This Row],[amount]]&lt;3000,"1000 - 2999",Table_Sales[[#This Row],[amount]]&lt;5000,"3000 - 4999",TRUE,"5000 &amp; above")</f>
        <v>Under 1000</v>
      </c>
      <c r="K1243">
        <f>IF(COUNTIFS(INDEX(Table_Sales[order_id],1):Table_Sales[[#This Row],[order_id]],Table_Sales[[#This Row],[order_id]])=1,1,0)</f>
        <v>0</v>
      </c>
      <c r="L124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244" spans="1:12" x14ac:dyDescent="0.25">
      <c r="A1244" t="s">
        <v>61</v>
      </c>
      <c r="B1244" s="1">
        <v>39</v>
      </c>
      <c r="C1244" s="1">
        <v>-18</v>
      </c>
      <c r="D1244">
        <v>2</v>
      </c>
      <c r="E1244" t="s">
        <v>23</v>
      </c>
      <c r="F1244" t="s">
        <v>63</v>
      </c>
      <c r="G1244" t="s">
        <v>19</v>
      </c>
      <c r="H1244">
        <f>IF(Table_Sales[[#This Row],[profit]]&lt;0,1,0)</f>
        <v>1</v>
      </c>
      <c r="I1244" t="str" cm="1">
        <f t="array" ref="I1244">_xlfn.IFS(Table_Sales[[#This Row],[quantity]]&lt;=3,"1-3",Table_Sales[[#This Row],[quantity]]&lt;=7,"2-7",Table_Sales[[#This Row],[quantity]]&lt;=10,"8-10",TRUE,"11 and above")</f>
        <v>1-3</v>
      </c>
      <c r="J1244" t="str" cm="1">
        <f t="array" ref="J1244">_xlfn.IFS(Table_Sales[[#This Row],[amount]]&lt;1000,"Under 1000",Table_Sales[[#This Row],[amount]]&lt;3000,"1000 - 2999",Table_Sales[[#This Row],[amount]]&lt;5000,"3000 - 4999",TRUE,"5000 &amp; above")</f>
        <v>Under 1000</v>
      </c>
      <c r="K1244">
        <f>IF(COUNTIFS(INDEX(Table_Sales[order_id],1):Table_Sales[[#This Row],[order_id]],Table_Sales[[#This Row],[order_id]])=1,1,0)</f>
        <v>0</v>
      </c>
      <c r="L124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245" spans="1:12" x14ac:dyDescent="0.25">
      <c r="A1245" t="s">
        <v>306</v>
      </c>
      <c r="B1245" s="1">
        <v>1700</v>
      </c>
      <c r="C1245" s="1">
        <v>85</v>
      </c>
      <c r="D1245">
        <v>3</v>
      </c>
      <c r="E1245" t="s">
        <v>23</v>
      </c>
      <c r="F1245" t="s">
        <v>24</v>
      </c>
      <c r="G1245" t="s">
        <v>10</v>
      </c>
      <c r="H1245">
        <f>IF(Table_Sales[[#This Row],[profit]]&lt;0,1,0)</f>
        <v>0</v>
      </c>
      <c r="I1245" t="str" cm="1">
        <f t="array" ref="I1245">_xlfn.IFS(Table_Sales[[#This Row],[quantity]]&lt;=3,"1-3",Table_Sales[[#This Row],[quantity]]&lt;=7,"2-7",Table_Sales[[#This Row],[quantity]]&lt;=10,"8-10",TRUE,"11 and above")</f>
        <v>1-3</v>
      </c>
      <c r="J1245" t="str" cm="1">
        <f t="array" ref="J1245">_xlfn.IFS(Table_Sales[[#This Row],[amount]]&lt;1000,"Under 1000",Table_Sales[[#This Row],[amount]]&lt;3000,"1000 - 2999",Table_Sales[[#This Row],[amount]]&lt;5000,"3000 - 4999",TRUE,"5000 &amp; above")</f>
        <v>1000 - 2999</v>
      </c>
      <c r="K1245">
        <f>IF(COUNTIFS(INDEX(Table_Sales[order_id],1):Table_Sales[[#This Row],[order_id]],Table_Sales[[#This Row],[order_id]])=1,1,0)</f>
        <v>0</v>
      </c>
      <c r="L124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246" spans="1:12" x14ac:dyDescent="0.25">
      <c r="A1246" t="s">
        <v>143</v>
      </c>
      <c r="B1246" s="1">
        <v>332</v>
      </c>
      <c r="C1246" s="1">
        <v>-43</v>
      </c>
      <c r="D1246">
        <v>6</v>
      </c>
      <c r="E1246" t="s">
        <v>8</v>
      </c>
      <c r="F1246" t="s">
        <v>21</v>
      </c>
      <c r="G1246" t="s">
        <v>28</v>
      </c>
      <c r="H1246">
        <f>IF(Table_Sales[[#This Row],[profit]]&lt;0,1,0)</f>
        <v>1</v>
      </c>
      <c r="I1246" t="str" cm="1">
        <f t="array" ref="I1246">_xlfn.IFS(Table_Sales[[#This Row],[quantity]]&lt;=3,"1-3",Table_Sales[[#This Row],[quantity]]&lt;=7,"2-7",Table_Sales[[#This Row],[quantity]]&lt;=10,"8-10",TRUE,"11 and above")</f>
        <v>2-7</v>
      </c>
      <c r="J1246" t="str" cm="1">
        <f t="array" ref="J1246">_xlfn.IFS(Table_Sales[[#This Row],[amount]]&lt;1000,"Under 1000",Table_Sales[[#This Row],[amount]]&lt;3000,"1000 - 2999",Table_Sales[[#This Row],[amount]]&lt;5000,"3000 - 4999",TRUE,"5000 &amp; above")</f>
        <v>Under 1000</v>
      </c>
      <c r="K1246">
        <f>IF(COUNTIFS(INDEX(Table_Sales[order_id],1):Table_Sales[[#This Row],[order_id]],Table_Sales[[#This Row],[order_id]])=1,1,0)</f>
        <v>0</v>
      </c>
      <c r="L124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247" spans="1:12" x14ac:dyDescent="0.25">
      <c r="A1247" t="s">
        <v>234</v>
      </c>
      <c r="B1247" s="1">
        <v>436</v>
      </c>
      <c r="C1247" s="1">
        <v>131</v>
      </c>
      <c r="D1247">
        <v>9</v>
      </c>
      <c r="E1247" t="s">
        <v>23</v>
      </c>
      <c r="F1247" t="s">
        <v>30</v>
      </c>
      <c r="G1247" t="s">
        <v>28</v>
      </c>
      <c r="H1247">
        <f>IF(Table_Sales[[#This Row],[profit]]&lt;0,1,0)</f>
        <v>0</v>
      </c>
      <c r="I1247" t="str" cm="1">
        <f t="array" ref="I1247">_xlfn.IFS(Table_Sales[[#This Row],[quantity]]&lt;=3,"1-3",Table_Sales[[#This Row],[quantity]]&lt;=7,"2-7",Table_Sales[[#This Row],[quantity]]&lt;=10,"8-10",TRUE,"11 and above")</f>
        <v>8-10</v>
      </c>
      <c r="J1247" t="str" cm="1">
        <f t="array" ref="J1247">_xlfn.IFS(Table_Sales[[#This Row],[amount]]&lt;1000,"Under 1000",Table_Sales[[#This Row],[amount]]&lt;3000,"1000 - 2999",Table_Sales[[#This Row],[amount]]&lt;5000,"3000 - 4999",TRUE,"5000 &amp; above")</f>
        <v>Under 1000</v>
      </c>
      <c r="K1247">
        <f>IF(COUNTIFS(INDEX(Table_Sales[order_id],1):Table_Sales[[#This Row],[order_id]],Table_Sales[[#This Row],[order_id]])=1,1,0)</f>
        <v>0</v>
      </c>
      <c r="L124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248" spans="1:12" x14ac:dyDescent="0.25">
      <c r="A1248" t="s">
        <v>265</v>
      </c>
      <c r="B1248" s="1">
        <v>30</v>
      </c>
      <c r="C1248" s="1">
        <v>-5</v>
      </c>
      <c r="D1248">
        <v>2</v>
      </c>
      <c r="E1248" t="s">
        <v>12</v>
      </c>
      <c r="F1248" t="s">
        <v>131</v>
      </c>
      <c r="G1248" t="s">
        <v>10</v>
      </c>
      <c r="H1248">
        <f>IF(Table_Sales[[#This Row],[profit]]&lt;0,1,0)</f>
        <v>1</v>
      </c>
      <c r="I1248" t="str" cm="1">
        <f t="array" ref="I1248">_xlfn.IFS(Table_Sales[[#This Row],[quantity]]&lt;=3,"1-3",Table_Sales[[#This Row],[quantity]]&lt;=7,"2-7",Table_Sales[[#This Row],[quantity]]&lt;=10,"8-10",TRUE,"11 and above")</f>
        <v>1-3</v>
      </c>
      <c r="J1248" t="str" cm="1">
        <f t="array" ref="J1248">_xlfn.IFS(Table_Sales[[#This Row],[amount]]&lt;1000,"Under 1000",Table_Sales[[#This Row],[amount]]&lt;3000,"1000 - 2999",Table_Sales[[#This Row],[amount]]&lt;5000,"3000 - 4999",TRUE,"5000 &amp; above")</f>
        <v>Under 1000</v>
      </c>
      <c r="K1248">
        <f>IF(COUNTIFS(INDEX(Table_Sales[order_id],1):Table_Sales[[#This Row],[order_id]],Table_Sales[[#This Row],[order_id]])=1,1,0)</f>
        <v>0</v>
      </c>
      <c r="L124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249" spans="1:12" x14ac:dyDescent="0.25">
      <c r="A1249" t="s">
        <v>266</v>
      </c>
      <c r="B1249" s="1">
        <v>30</v>
      </c>
      <c r="C1249" s="1">
        <v>-10</v>
      </c>
      <c r="D1249">
        <v>2</v>
      </c>
      <c r="E1249" t="s">
        <v>23</v>
      </c>
      <c r="F1249" t="s">
        <v>57</v>
      </c>
      <c r="G1249" t="s">
        <v>10</v>
      </c>
      <c r="H1249">
        <f>IF(Table_Sales[[#This Row],[profit]]&lt;0,1,0)</f>
        <v>1</v>
      </c>
      <c r="I1249" t="str" cm="1">
        <f t="array" ref="I1249">_xlfn.IFS(Table_Sales[[#This Row],[quantity]]&lt;=3,"1-3",Table_Sales[[#This Row],[quantity]]&lt;=7,"2-7",Table_Sales[[#This Row],[quantity]]&lt;=10,"8-10",TRUE,"11 and above")</f>
        <v>1-3</v>
      </c>
      <c r="J1249" t="str" cm="1">
        <f t="array" ref="J1249">_xlfn.IFS(Table_Sales[[#This Row],[amount]]&lt;1000,"Under 1000",Table_Sales[[#This Row],[amount]]&lt;3000,"1000 - 2999",Table_Sales[[#This Row],[amount]]&lt;5000,"3000 - 4999",TRUE,"5000 &amp; above")</f>
        <v>Under 1000</v>
      </c>
      <c r="K1249">
        <f>IF(COUNTIFS(INDEX(Table_Sales[order_id],1):Table_Sales[[#This Row],[order_id]],Table_Sales[[#This Row],[order_id]])=1,1,0)</f>
        <v>0</v>
      </c>
      <c r="L124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250" spans="1:12" x14ac:dyDescent="0.25">
      <c r="A1250" t="s">
        <v>208</v>
      </c>
      <c r="B1250" s="1">
        <v>38</v>
      </c>
      <c r="C1250" s="1">
        <v>-13</v>
      </c>
      <c r="D1250">
        <v>3</v>
      </c>
      <c r="E1250" t="s">
        <v>23</v>
      </c>
      <c r="F1250" t="s">
        <v>57</v>
      </c>
      <c r="G1250" t="s">
        <v>19</v>
      </c>
      <c r="H1250">
        <f>IF(Table_Sales[[#This Row],[profit]]&lt;0,1,0)</f>
        <v>1</v>
      </c>
      <c r="I1250" t="str" cm="1">
        <f t="array" ref="I1250">_xlfn.IFS(Table_Sales[[#This Row],[quantity]]&lt;=3,"1-3",Table_Sales[[#This Row],[quantity]]&lt;=7,"2-7",Table_Sales[[#This Row],[quantity]]&lt;=10,"8-10",TRUE,"11 and above")</f>
        <v>1-3</v>
      </c>
      <c r="J1250" t="str" cm="1">
        <f t="array" ref="J1250">_xlfn.IFS(Table_Sales[[#This Row],[amount]]&lt;1000,"Under 1000",Table_Sales[[#This Row],[amount]]&lt;3000,"1000 - 2999",Table_Sales[[#This Row],[amount]]&lt;5000,"3000 - 4999",TRUE,"5000 &amp; above")</f>
        <v>Under 1000</v>
      </c>
      <c r="K1250">
        <f>IF(COUNTIFS(INDEX(Table_Sales[order_id],1):Table_Sales[[#This Row],[order_id]],Table_Sales[[#This Row],[order_id]])=1,1,0)</f>
        <v>0</v>
      </c>
      <c r="L125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251" spans="1:12" x14ac:dyDescent="0.25">
      <c r="A1251" t="s">
        <v>172</v>
      </c>
      <c r="B1251" s="1">
        <v>511</v>
      </c>
      <c r="C1251" s="1">
        <v>194</v>
      </c>
      <c r="D1251">
        <v>3</v>
      </c>
      <c r="E1251" t="s">
        <v>12</v>
      </c>
      <c r="F1251" t="s">
        <v>13</v>
      </c>
      <c r="G1251" t="s">
        <v>28</v>
      </c>
      <c r="H1251">
        <f>IF(Table_Sales[[#This Row],[profit]]&lt;0,1,0)</f>
        <v>0</v>
      </c>
      <c r="I1251" t="str" cm="1">
        <f t="array" ref="I1251">_xlfn.IFS(Table_Sales[[#This Row],[quantity]]&lt;=3,"1-3",Table_Sales[[#This Row],[quantity]]&lt;=7,"2-7",Table_Sales[[#This Row],[quantity]]&lt;=10,"8-10",TRUE,"11 and above")</f>
        <v>1-3</v>
      </c>
      <c r="J1251" t="str" cm="1">
        <f t="array" ref="J1251">_xlfn.IFS(Table_Sales[[#This Row],[amount]]&lt;1000,"Under 1000",Table_Sales[[#This Row],[amount]]&lt;3000,"1000 - 2999",Table_Sales[[#This Row],[amount]]&lt;5000,"3000 - 4999",TRUE,"5000 &amp; above")</f>
        <v>Under 1000</v>
      </c>
      <c r="K1251">
        <f>IF(COUNTIFS(INDEX(Table_Sales[order_id],1):Table_Sales[[#This Row],[order_id]],Table_Sales[[#This Row],[order_id]])=1,1,0)</f>
        <v>0</v>
      </c>
      <c r="L125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252" spans="1:12" x14ac:dyDescent="0.25">
      <c r="A1252" t="s">
        <v>67</v>
      </c>
      <c r="B1252" s="1">
        <v>37</v>
      </c>
      <c r="C1252" s="1">
        <v>-53</v>
      </c>
      <c r="D1252">
        <v>3</v>
      </c>
      <c r="E1252" t="s">
        <v>23</v>
      </c>
      <c r="F1252" t="s">
        <v>26</v>
      </c>
      <c r="G1252" t="s">
        <v>19</v>
      </c>
      <c r="H1252">
        <f>IF(Table_Sales[[#This Row],[profit]]&lt;0,1,0)</f>
        <v>1</v>
      </c>
      <c r="I1252" t="str" cm="1">
        <f t="array" ref="I1252">_xlfn.IFS(Table_Sales[[#This Row],[quantity]]&lt;=3,"1-3",Table_Sales[[#This Row],[quantity]]&lt;=7,"2-7",Table_Sales[[#This Row],[quantity]]&lt;=10,"8-10",TRUE,"11 and above")</f>
        <v>1-3</v>
      </c>
      <c r="J1252" t="str" cm="1">
        <f t="array" ref="J1252">_xlfn.IFS(Table_Sales[[#This Row],[amount]]&lt;1000,"Under 1000",Table_Sales[[#This Row],[amount]]&lt;3000,"1000 - 2999",Table_Sales[[#This Row],[amount]]&lt;5000,"3000 - 4999",TRUE,"5000 &amp; above")</f>
        <v>Under 1000</v>
      </c>
      <c r="K1252">
        <f>IF(COUNTIFS(INDEX(Table_Sales[order_id],1):Table_Sales[[#This Row],[order_id]],Table_Sales[[#This Row],[order_id]])=1,1,0)</f>
        <v>0</v>
      </c>
      <c r="L125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253" spans="1:12" x14ac:dyDescent="0.25">
      <c r="A1253" t="s">
        <v>111</v>
      </c>
      <c r="B1253" s="1">
        <v>513</v>
      </c>
      <c r="C1253" s="1">
        <v>215</v>
      </c>
      <c r="D1253">
        <v>2</v>
      </c>
      <c r="E1253" t="s">
        <v>8</v>
      </c>
      <c r="F1253" t="s">
        <v>73</v>
      </c>
      <c r="G1253" t="s">
        <v>10</v>
      </c>
      <c r="H1253">
        <f>IF(Table_Sales[[#This Row],[profit]]&lt;0,1,0)</f>
        <v>0</v>
      </c>
      <c r="I1253" t="str" cm="1">
        <f t="array" ref="I1253">_xlfn.IFS(Table_Sales[[#This Row],[quantity]]&lt;=3,"1-3",Table_Sales[[#This Row],[quantity]]&lt;=7,"2-7",Table_Sales[[#This Row],[quantity]]&lt;=10,"8-10",TRUE,"11 and above")</f>
        <v>1-3</v>
      </c>
      <c r="J1253" t="str" cm="1">
        <f t="array" ref="J1253">_xlfn.IFS(Table_Sales[[#This Row],[amount]]&lt;1000,"Under 1000",Table_Sales[[#This Row],[amount]]&lt;3000,"1000 - 2999",Table_Sales[[#This Row],[amount]]&lt;5000,"3000 - 4999",TRUE,"5000 &amp; above")</f>
        <v>Under 1000</v>
      </c>
      <c r="K1253">
        <f>IF(COUNTIFS(INDEX(Table_Sales[order_id],1):Table_Sales[[#This Row],[order_id]],Table_Sales[[#This Row],[order_id]])=1,1,0)</f>
        <v>0</v>
      </c>
      <c r="L125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254" spans="1:12" x14ac:dyDescent="0.25">
      <c r="A1254" t="s">
        <v>100</v>
      </c>
      <c r="B1254" s="1">
        <v>516</v>
      </c>
      <c r="C1254" s="1">
        <v>69</v>
      </c>
      <c r="D1254">
        <v>4</v>
      </c>
      <c r="E1254" t="s">
        <v>12</v>
      </c>
      <c r="F1254" t="s">
        <v>16</v>
      </c>
      <c r="G1254" t="s">
        <v>28</v>
      </c>
      <c r="H1254">
        <f>IF(Table_Sales[[#This Row],[profit]]&lt;0,1,0)</f>
        <v>0</v>
      </c>
      <c r="I1254" t="str" cm="1">
        <f t="array" ref="I1254">_xlfn.IFS(Table_Sales[[#This Row],[quantity]]&lt;=3,"1-3",Table_Sales[[#This Row],[quantity]]&lt;=7,"2-7",Table_Sales[[#This Row],[quantity]]&lt;=10,"8-10",TRUE,"11 and above")</f>
        <v>2-7</v>
      </c>
      <c r="J1254" t="str" cm="1">
        <f t="array" ref="J1254">_xlfn.IFS(Table_Sales[[#This Row],[amount]]&lt;1000,"Under 1000",Table_Sales[[#This Row],[amount]]&lt;3000,"1000 - 2999",Table_Sales[[#This Row],[amount]]&lt;5000,"3000 - 4999",TRUE,"5000 &amp; above")</f>
        <v>Under 1000</v>
      </c>
      <c r="K1254">
        <f>IF(COUNTIFS(INDEX(Table_Sales[order_id],1):Table_Sales[[#This Row],[order_id]],Table_Sales[[#This Row],[order_id]])=1,1,0)</f>
        <v>0</v>
      </c>
      <c r="L125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255" spans="1:12" x14ac:dyDescent="0.25">
      <c r="A1255" t="s">
        <v>163</v>
      </c>
      <c r="B1255" s="1">
        <v>559</v>
      </c>
      <c r="C1255" s="1">
        <v>-19</v>
      </c>
      <c r="D1255">
        <v>2</v>
      </c>
      <c r="E1255" t="s">
        <v>23</v>
      </c>
      <c r="F1255" t="s">
        <v>24</v>
      </c>
      <c r="G1255" t="s">
        <v>82</v>
      </c>
      <c r="H1255">
        <f>IF(Table_Sales[[#This Row],[profit]]&lt;0,1,0)</f>
        <v>1</v>
      </c>
      <c r="I1255" t="str" cm="1">
        <f t="array" ref="I1255">_xlfn.IFS(Table_Sales[[#This Row],[quantity]]&lt;=3,"1-3",Table_Sales[[#This Row],[quantity]]&lt;=7,"2-7",Table_Sales[[#This Row],[quantity]]&lt;=10,"8-10",TRUE,"11 and above")</f>
        <v>1-3</v>
      </c>
      <c r="J1255" t="str" cm="1">
        <f t="array" ref="J1255">_xlfn.IFS(Table_Sales[[#This Row],[amount]]&lt;1000,"Under 1000",Table_Sales[[#This Row],[amount]]&lt;3000,"1000 - 2999",Table_Sales[[#This Row],[amount]]&lt;5000,"3000 - 4999",TRUE,"5000 &amp; above")</f>
        <v>Under 1000</v>
      </c>
      <c r="K1255">
        <f>IF(COUNTIFS(INDEX(Table_Sales[order_id],1):Table_Sales[[#This Row],[order_id]],Table_Sales[[#This Row],[order_id]])=1,1,0)</f>
        <v>0</v>
      </c>
      <c r="L125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256" spans="1:12" x14ac:dyDescent="0.25">
      <c r="A1256" t="s">
        <v>499</v>
      </c>
      <c r="B1256" s="1">
        <v>29</v>
      </c>
      <c r="C1256" s="1">
        <v>-10</v>
      </c>
      <c r="D1256">
        <v>3</v>
      </c>
      <c r="E1256" t="s">
        <v>23</v>
      </c>
      <c r="F1256" t="s">
        <v>43</v>
      </c>
      <c r="G1256" t="s">
        <v>10</v>
      </c>
      <c r="H1256">
        <f>IF(Table_Sales[[#This Row],[profit]]&lt;0,1,0)</f>
        <v>1</v>
      </c>
      <c r="I1256" t="str" cm="1">
        <f t="array" ref="I1256">_xlfn.IFS(Table_Sales[[#This Row],[quantity]]&lt;=3,"1-3",Table_Sales[[#This Row],[quantity]]&lt;=7,"2-7",Table_Sales[[#This Row],[quantity]]&lt;=10,"8-10",TRUE,"11 and above")</f>
        <v>1-3</v>
      </c>
      <c r="J1256" t="str" cm="1">
        <f t="array" ref="J1256">_xlfn.IFS(Table_Sales[[#This Row],[amount]]&lt;1000,"Under 1000",Table_Sales[[#This Row],[amount]]&lt;3000,"1000 - 2999",Table_Sales[[#This Row],[amount]]&lt;5000,"3000 - 4999",TRUE,"5000 &amp; above")</f>
        <v>Under 1000</v>
      </c>
      <c r="K1256">
        <f>IF(COUNTIFS(INDEX(Table_Sales[order_id],1):Table_Sales[[#This Row],[order_id]],Table_Sales[[#This Row],[order_id]])=1,1,0)</f>
        <v>1</v>
      </c>
      <c r="L125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257" spans="1:12" x14ac:dyDescent="0.25">
      <c r="A1257" t="s">
        <v>400</v>
      </c>
      <c r="B1257" s="1">
        <v>148</v>
      </c>
      <c r="C1257" s="1">
        <v>52</v>
      </c>
      <c r="D1257">
        <v>5</v>
      </c>
      <c r="E1257" t="s">
        <v>23</v>
      </c>
      <c r="F1257" t="s">
        <v>57</v>
      </c>
      <c r="G1257" t="s">
        <v>28</v>
      </c>
      <c r="H1257">
        <f>IF(Table_Sales[[#This Row],[profit]]&lt;0,1,0)</f>
        <v>0</v>
      </c>
      <c r="I1257" t="str" cm="1">
        <f t="array" ref="I1257">_xlfn.IFS(Table_Sales[[#This Row],[quantity]]&lt;=3,"1-3",Table_Sales[[#This Row],[quantity]]&lt;=7,"2-7",Table_Sales[[#This Row],[quantity]]&lt;=10,"8-10",TRUE,"11 and above")</f>
        <v>2-7</v>
      </c>
      <c r="J1257" t="str" cm="1">
        <f t="array" ref="J1257">_xlfn.IFS(Table_Sales[[#This Row],[amount]]&lt;1000,"Under 1000",Table_Sales[[#This Row],[amount]]&lt;3000,"1000 - 2999",Table_Sales[[#This Row],[amount]]&lt;5000,"3000 - 4999",TRUE,"5000 &amp; above")</f>
        <v>Under 1000</v>
      </c>
      <c r="K1257">
        <f>IF(COUNTIFS(INDEX(Table_Sales[order_id],1):Table_Sales[[#This Row],[order_id]],Table_Sales[[#This Row],[order_id]])=1,1,0)</f>
        <v>0</v>
      </c>
      <c r="L125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258" spans="1:12" x14ac:dyDescent="0.25">
      <c r="A1258" t="s">
        <v>273</v>
      </c>
      <c r="B1258" s="1">
        <v>559</v>
      </c>
      <c r="C1258" s="1">
        <v>-174</v>
      </c>
      <c r="D1258">
        <v>2</v>
      </c>
      <c r="E1258" t="s">
        <v>8</v>
      </c>
      <c r="F1258" t="s">
        <v>9</v>
      </c>
      <c r="G1258" t="s">
        <v>82</v>
      </c>
      <c r="H1258">
        <f>IF(Table_Sales[[#This Row],[profit]]&lt;0,1,0)</f>
        <v>1</v>
      </c>
      <c r="I1258" t="str" cm="1">
        <f t="array" ref="I1258">_xlfn.IFS(Table_Sales[[#This Row],[quantity]]&lt;=3,"1-3",Table_Sales[[#This Row],[quantity]]&lt;=7,"2-7",Table_Sales[[#This Row],[quantity]]&lt;=10,"8-10",TRUE,"11 and above")</f>
        <v>1-3</v>
      </c>
      <c r="J1258" t="str" cm="1">
        <f t="array" ref="J1258">_xlfn.IFS(Table_Sales[[#This Row],[amount]]&lt;1000,"Under 1000",Table_Sales[[#This Row],[amount]]&lt;3000,"1000 - 2999",Table_Sales[[#This Row],[amount]]&lt;5000,"3000 - 4999",TRUE,"5000 &amp; above")</f>
        <v>Under 1000</v>
      </c>
      <c r="K1258">
        <f>IF(COUNTIFS(INDEX(Table_Sales[order_id],1):Table_Sales[[#This Row],[order_id]],Table_Sales[[#This Row],[order_id]])=1,1,0)</f>
        <v>0</v>
      </c>
      <c r="L125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259" spans="1:12" x14ac:dyDescent="0.25">
      <c r="A1259" t="s">
        <v>299</v>
      </c>
      <c r="B1259" s="1">
        <v>527</v>
      </c>
      <c r="C1259" s="1">
        <v>26</v>
      </c>
      <c r="D1259">
        <v>3</v>
      </c>
      <c r="E1259" t="s">
        <v>8</v>
      </c>
      <c r="F1259" t="s">
        <v>9</v>
      </c>
      <c r="G1259" t="s">
        <v>10</v>
      </c>
      <c r="H1259">
        <f>IF(Table_Sales[[#This Row],[profit]]&lt;0,1,0)</f>
        <v>0</v>
      </c>
      <c r="I1259" t="str" cm="1">
        <f t="array" ref="I1259">_xlfn.IFS(Table_Sales[[#This Row],[quantity]]&lt;=3,"1-3",Table_Sales[[#This Row],[quantity]]&lt;=7,"2-7",Table_Sales[[#This Row],[quantity]]&lt;=10,"8-10",TRUE,"11 and above")</f>
        <v>1-3</v>
      </c>
      <c r="J1259" t="str" cm="1">
        <f t="array" ref="J1259">_xlfn.IFS(Table_Sales[[#This Row],[amount]]&lt;1000,"Under 1000",Table_Sales[[#This Row],[amount]]&lt;3000,"1000 - 2999",Table_Sales[[#This Row],[amount]]&lt;5000,"3000 - 4999",TRUE,"5000 &amp; above")</f>
        <v>Under 1000</v>
      </c>
      <c r="K1259">
        <f>IF(COUNTIFS(INDEX(Table_Sales[order_id],1):Table_Sales[[#This Row],[order_id]],Table_Sales[[#This Row],[order_id]])=1,1,0)</f>
        <v>0</v>
      </c>
      <c r="L125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260" spans="1:12" x14ac:dyDescent="0.25">
      <c r="A1260" t="s">
        <v>300</v>
      </c>
      <c r="B1260" s="1">
        <v>560</v>
      </c>
      <c r="C1260" s="1">
        <v>44</v>
      </c>
      <c r="D1260">
        <v>3</v>
      </c>
      <c r="E1260" t="s">
        <v>23</v>
      </c>
      <c r="F1260" t="s">
        <v>26</v>
      </c>
      <c r="G1260" t="s">
        <v>82</v>
      </c>
      <c r="H1260">
        <f>IF(Table_Sales[[#This Row],[profit]]&lt;0,1,0)</f>
        <v>0</v>
      </c>
      <c r="I1260" t="str" cm="1">
        <f t="array" ref="I1260">_xlfn.IFS(Table_Sales[[#This Row],[quantity]]&lt;=3,"1-3",Table_Sales[[#This Row],[quantity]]&lt;=7,"2-7",Table_Sales[[#This Row],[quantity]]&lt;=10,"8-10",TRUE,"11 and above")</f>
        <v>1-3</v>
      </c>
      <c r="J1260" t="str" cm="1">
        <f t="array" ref="J1260">_xlfn.IFS(Table_Sales[[#This Row],[amount]]&lt;1000,"Under 1000",Table_Sales[[#This Row],[amount]]&lt;3000,"1000 - 2999",Table_Sales[[#This Row],[amount]]&lt;5000,"3000 - 4999",TRUE,"5000 &amp; above")</f>
        <v>Under 1000</v>
      </c>
      <c r="K1260">
        <f>IF(COUNTIFS(INDEX(Table_Sales[order_id],1):Table_Sales[[#This Row],[order_id]],Table_Sales[[#This Row],[order_id]])=1,1,0)</f>
        <v>0</v>
      </c>
      <c r="L126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261" spans="1:12" x14ac:dyDescent="0.25">
      <c r="A1261" t="s">
        <v>225</v>
      </c>
      <c r="B1261" s="1">
        <v>571</v>
      </c>
      <c r="C1261" s="1">
        <v>108</v>
      </c>
      <c r="D1261">
        <v>12</v>
      </c>
      <c r="E1261" t="s">
        <v>23</v>
      </c>
      <c r="F1261" t="s">
        <v>57</v>
      </c>
      <c r="G1261" t="s">
        <v>82</v>
      </c>
      <c r="H1261">
        <f>IF(Table_Sales[[#This Row],[profit]]&lt;0,1,0)</f>
        <v>0</v>
      </c>
      <c r="I1261" t="str" cm="1">
        <f t="array" ref="I1261">_xlfn.IFS(Table_Sales[[#This Row],[quantity]]&lt;=3,"1-3",Table_Sales[[#This Row],[quantity]]&lt;=7,"2-7",Table_Sales[[#This Row],[quantity]]&lt;=10,"8-10",TRUE,"11 and above")</f>
        <v>11 and above</v>
      </c>
      <c r="J1261" t="str" cm="1">
        <f t="array" ref="J1261">_xlfn.IFS(Table_Sales[[#This Row],[amount]]&lt;1000,"Under 1000",Table_Sales[[#This Row],[amount]]&lt;3000,"1000 - 2999",Table_Sales[[#This Row],[amount]]&lt;5000,"3000 - 4999",TRUE,"5000 &amp; above")</f>
        <v>Under 1000</v>
      </c>
      <c r="K1261">
        <f>IF(COUNTIFS(INDEX(Table_Sales[order_id],1):Table_Sales[[#This Row],[order_id]],Table_Sales[[#This Row],[order_id]])=1,1,0)</f>
        <v>0</v>
      </c>
      <c r="L126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262" spans="1:12" x14ac:dyDescent="0.25">
      <c r="A1262" t="s">
        <v>500</v>
      </c>
      <c r="B1262" s="1">
        <v>29</v>
      </c>
      <c r="C1262" s="1">
        <v>2</v>
      </c>
      <c r="D1262">
        <v>3</v>
      </c>
      <c r="E1262" t="s">
        <v>23</v>
      </c>
      <c r="F1262" t="s">
        <v>43</v>
      </c>
      <c r="G1262" t="s">
        <v>10</v>
      </c>
      <c r="H1262">
        <f>IF(Table_Sales[[#This Row],[profit]]&lt;0,1,0)</f>
        <v>0</v>
      </c>
      <c r="I1262" t="str" cm="1">
        <f t="array" ref="I1262">_xlfn.IFS(Table_Sales[[#This Row],[quantity]]&lt;=3,"1-3",Table_Sales[[#This Row],[quantity]]&lt;=7,"2-7",Table_Sales[[#This Row],[quantity]]&lt;=10,"8-10",TRUE,"11 and above")</f>
        <v>1-3</v>
      </c>
      <c r="J1262" t="str" cm="1">
        <f t="array" ref="J1262">_xlfn.IFS(Table_Sales[[#This Row],[amount]]&lt;1000,"Under 1000",Table_Sales[[#This Row],[amount]]&lt;3000,"1000 - 2999",Table_Sales[[#This Row],[amount]]&lt;5000,"3000 - 4999",TRUE,"5000 &amp; above")</f>
        <v>Under 1000</v>
      </c>
      <c r="K1262">
        <f>IF(COUNTIFS(INDEX(Table_Sales[order_id],1):Table_Sales[[#This Row],[order_id]],Table_Sales[[#This Row],[order_id]])=1,1,0)</f>
        <v>1</v>
      </c>
      <c r="L126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263" spans="1:12" x14ac:dyDescent="0.25">
      <c r="A1263" t="s">
        <v>299</v>
      </c>
      <c r="B1263" s="1">
        <v>29</v>
      </c>
      <c r="C1263" s="1">
        <v>3</v>
      </c>
      <c r="D1263">
        <v>2</v>
      </c>
      <c r="E1263" t="s">
        <v>23</v>
      </c>
      <c r="F1263" t="s">
        <v>57</v>
      </c>
      <c r="G1263" t="s">
        <v>10</v>
      </c>
      <c r="H1263">
        <f>IF(Table_Sales[[#This Row],[profit]]&lt;0,1,0)</f>
        <v>0</v>
      </c>
      <c r="I1263" t="str" cm="1">
        <f t="array" ref="I1263">_xlfn.IFS(Table_Sales[[#This Row],[quantity]]&lt;=3,"1-3",Table_Sales[[#This Row],[quantity]]&lt;=7,"2-7",Table_Sales[[#This Row],[quantity]]&lt;=10,"8-10",TRUE,"11 and above")</f>
        <v>1-3</v>
      </c>
      <c r="J1263" t="str" cm="1">
        <f t="array" ref="J1263">_xlfn.IFS(Table_Sales[[#This Row],[amount]]&lt;1000,"Under 1000",Table_Sales[[#This Row],[amount]]&lt;3000,"1000 - 2999",Table_Sales[[#This Row],[amount]]&lt;5000,"3000 - 4999",TRUE,"5000 &amp; above")</f>
        <v>Under 1000</v>
      </c>
      <c r="K1263">
        <f>IF(COUNTIFS(INDEX(Table_Sales[order_id],1):Table_Sales[[#This Row],[order_id]],Table_Sales[[#This Row],[order_id]])=1,1,0)</f>
        <v>0</v>
      </c>
      <c r="L126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264" spans="1:12" x14ac:dyDescent="0.25">
      <c r="A1264" t="s">
        <v>284</v>
      </c>
      <c r="B1264" s="1">
        <v>29</v>
      </c>
      <c r="C1264" s="1">
        <v>-3</v>
      </c>
      <c r="D1264">
        <v>3</v>
      </c>
      <c r="E1264" t="s">
        <v>23</v>
      </c>
      <c r="F1264" t="s">
        <v>26</v>
      </c>
      <c r="G1264" t="s">
        <v>10</v>
      </c>
      <c r="H1264">
        <f>IF(Table_Sales[[#This Row],[profit]]&lt;0,1,0)</f>
        <v>1</v>
      </c>
      <c r="I1264" t="str" cm="1">
        <f t="array" ref="I1264">_xlfn.IFS(Table_Sales[[#This Row],[quantity]]&lt;=3,"1-3",Table_Sales[[#This Row],[quantity]]&lt;=7,"2-7",Table_Sales[[#This Row],[quantity]]&lt;=10,"8-10",TRUE,"11 and above")</f>
        <v>1-3</v>
      </c>
      <c r="J1264" t="str" cm="1">
        <f t="array" ref="J1264">_xlfn.IFS(Table_Sales[[#This Row],[amount]]&lt;1000,"Under 1000",Table_Sales[[#This Row],[amount]]&lt;3000,"1000 - 2999",Table_Sales[[#This Row],[amount]]&lt;5000,"3000 - 4999",TRUE,"5000 &amp; above")</f>
        <v>Under 1000</v>
      </c>
      <c r="K1264">
        <f>IF(COUNTIFS(INDEX(Table_Sales[order_id],1):Table_Sales[[#This Row],[order_id]],Table_Sales[[#This Row],[order_id]])=1,1,0)</f>
        <v>0</v>
      </c>
      <c r="L126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265" spans="1:12" x14ac:dyDescent="0.25">
      <c r="A1265" t="s">
        <v>501</v>
      </c>
      <c r="B1265" s="1">
        <v>35</v>
      </c>
      <c r="C1265" s="1">
        <v>14</v>
      </c>
      <c r="D1265">
        <v>2</v>
      </c>
      <c r="E1265" t="s">
        <v>23</v>
      </c>
      <c r="F1265" t="s">
        <v>57</v>
      </c>
      <c r="G1265" t="s">
        <v>19</v>
      </c>
      <c r="H1265">
        <f>IF(Table_Sales[[#This Row],[profit]]&lt;0,1,0)</f>
        <v>0</v>
      </c>
      <c r="I1265" t="str" cm="1">
        <f t="array" ref="I1265">_xlfn.IFS(Table_Sales[[#This Row],[quantity]]&lt;=3,"1-3",Table_Sales[[#This Row],[quantity]]&lt;=7,"2-7",Table_Sales[[#This Row],[quantity]]&lt;=10,"8-10",TRUE,"11 and above")</f>
        <v>1-3</v>
      </c>
      <c r="J1265" t="str" cm="1">
        <f t="array" ref="J1265">_xlfn.IFS(Table_Sales[[#This Row],[amount]]&lt;1000,"Under 1000",Table_Sales[[#This Row],[amount]]&lt;3000,"1000 - 2999",Table_Sales[[#This Row],[amount]]&lt;5000,"3000 - 4999",TRUE,"5000 &amp; above")</f>
        <v>Under 1000</v>
      </c>
      <c r="K1265">
        <f>IF(COUNTIFS(INDEX(Table_Sales[order_id],1):Table_Sales[[#This Row],[order_id]],Table_Sales[[#This Row],[order_id]])=1,1,0)</f>
        <v>1</v>
      </c>
      <c r="L126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266" spans="1:12" x14ac:dyDescent="0.25">
      <c r="A1266" t="s">
        <v>41</v>
      </c>
      <c r="B1266" s="1">
        <v>579</v>
      </c>
      <c r="C1266" s="1">
        <v>139</v>
      </c>
      <c r="D1266">
        <v>3</v>
      </c>
      <c r="E1266" t="s">
        <v>8</v>
      </c>
      <c r="F1266" t="s">
        <v>18</v>
      </c>
      <c r="G1266" t="s">
        <v>82</v>
      </c>
      <c r="H1266">
        <f>IF(Table_Sales[[#This Row],[profit]]&lt;0,1,0)</f>
        <v>0</v>
      </c>
      <c r="I1266" t="str" cm="1">
        <f t="array" ref="I1266">_xlfn.IFS(Table_Sales[[#This Row],[quantity]]&lt;=3,"1-3",Table_Sales[[#This Row],[quantity]]&lt;=7,"2-7",Table_Sales[[#This Row],[quantity]]&lt;=10,"8-10",TRUE,"11 and above")</f>
        <v>1-3</v>
      </c>
      <c r="J1266" t="str" cm="1">
        <f t="array" ref="J1266">_xlfn.IFS(Table_Sales[[#This Row],[amount]]&lt;1000,"Under 1000",Table_Sales[[#This Row],[amount]]&lt;3000,"1000 - 2999",Table_Sales[[#This Row],[amount]]&lt;5000,"3000 - 4999",TRUE,"5000 &amp; above")</f>
        <v>Under 1000</v>
      </c>
      <c r="K1266">
        <f>IF(COUNTIFS(INDEX(Table_Sales[order_id],1):Table_Sales[[#This Row],[order_id]],Table_Sales[[#This Row],[order_id]])=1,1,0)</f>
        <v>0</v>
      </c>
      <c r="L126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267" spans="1:12" x14ac:dyDescent="0.25">
      <c r="A1267" t="s">
        <v>36</v>
      </c>
      <c r="B1267" s="1">
        <v>29</v>
      </c>
      <c r="C1267" s="1">
        <v>-24</v>
      </c>
      <c r="D1267">
        <v>4</v>
      </c>
      <c r="E1267" t="s">
        <v>23</v>
      </c>
      <c r="F1267" t="s">
        <v>63</v>
      </c>
      <c r="G1267" t="s">
        <v>10</v>
      </c>
      <c r="H1267">
        <f>IF(Table_Sales[[#This Row],[profit]]&lt;0,1,0)</f>
        <v>1</v>
      </c>
      <c r="I1267" t="str" cm="1">
        <f t="array" ref="I1267">_xlfn.IFS(Table_Sales[[#This Row],[quantity]]&lt;=3,"1-3",Table_Sales[[#This Row],[quantity]]&lt;=7,"2-7",Table_Sales[[#This Row],[quantity]]&lt;=10,"8-10",TRUE,"11 and above")</f>
        <v>2-7</v>
      </c>
      <c r="J1267" t="str" cm="1">
        <f t="array" ref="J1267">_xlfn.IFS(Table_Sales[[#This Row],[amount]]&lt;1000,"Under 1000",Table_Sales[[#This Row],[amount]]&lt;3000,"1000 - 2999",Table_Sales[[#This Row],[amount]]&lt;5000,"3000 - 4999",TRUE,"5000 &amp; above")</f>
        <v>Under 1000</v>
      </c>
      <c r="K1267">
        <f>IF(COUNTIFS(INDEX(Table_Sales[order_id],1):Table_Sales[[#This Row],[order_id]],Table_Sales[[#This Row],[order_id]])=1,1,0)</f>
        <v>0</v>
      </c>
      <c r="L126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268" spans="1:12" x14ac:dyDescent="0.25">
      <c r="A1268" t="s">
        <v>67</v>
      </c>
      <c r="B1268" s="1">
        <v>593</v>
      </c>
      <c r="C1268" s="1">
        <v>213</v>
      </c>
      <c r="D1268">
        <v>4</v>
      </c>
      <c r="E1268" t="s">
        <v>12</v>
      </c>
      <c r="F1268" t="s">
        <v>16</v>
      </c>
      <c r="G1268" t="s">
        <v>82</v>
      </c>
      <c r="H1268">
        <f>IF(Table_Sales[[#This Row],[profit]]&lt;0,1,0)</f>
        <v>0</v>
      </c>
      <c r="I1268" t="str" cm="1">
        <f t="array" ref="I1268">_xlfn.IFS(Table_Sales[[#This Row],[quantity]]&lt;=3,"1-3",Table_Sales[[#This Row],[quantity]]&lt;=7,"2-7",Table_Sales[[#This Row],[quantity]]&lt;=10,"8-10",TRUE,"11 and above")</f>
        <v>2-7</v>
      </c>
      <c r="J1268" t="str" cm="1">
        <f t="array" ref="J1268">_xlfn.IFS(Table_Sales[[#This Row],[amount]]&lt;1000,"Under 1000",Table_Sales[[#This Row],[amount]]&lt;3000,"1000 - 2999",Table_Sales[[#This Row],[amount]]&lt;5000,"3000 - 4999",TRUE,"5000 &amp; above")</f>
        <v>Under 1000</v>
      </c>
      <c r="K1268">
        <f>IF(COUNTIFS(INDEX(Table_Sales[order_id],1):Table_Sales[[#This Row],[order_id]],Table_Sales[[#This Row],[order_id]])=1,1,0)</f>
        <v>0</v>
      </c>
      <c r="L126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269" spans="1:12" x14ac:dyDescent="0.25">
      <c r="A1269" t="s">
        <v>173</v>
      </c>
      <c r="B1269" s="1">
        <v>217</v>
      </c>
      <c r="C1269" s="1">
        <v>72</v>
      </c>
      <c r="D1269">
        <v>2</v>
      </c>
      <c r="E1269" t="s">
        <v>12</v>
      </c>
      <c r="F1269" t="s">
        <v>131</v>
      </c>
      <c r="G1269" t="s">
        <v>10</v>
      </c>
      <c r="H1269">
        <f>IF(Table_Sales[[#This Row],[profit]]&lt;0,1,0)</f>
        <v>0</v>
      </c>
      <c r="I1269" t="str" cm="1">
        <f t="array" ref="I1269">_xlfn.IFS(Table_Sales[[#This Row],[quantity]]&lt;=3,"1-3",Table_Sales[[#This Row],[quantity]]&lt;=7,"2-7",Table_Sales[[#This Row],[quantity]]&lt;=10,"8-10",TRUE,"11 and above")</f>
        <v>1-3</v>
      </c>
      <c r="J1269" t="str" cm="1">
        <f t="array" ref="J1269">_xlfn.IFS(Table_Sales[[#This Row],[amount]]&lt;1000,"Under 1000",Table_Sales[[#This Row],[amount]]&lt;3000,"1000 - 2999",Table_Sales[[#This Row],[amount]]&lt;5000,"3000 - 4999",TRUE,"5000 &amp; above")</f>
        <v>Under 1000</v>
      </c>
      <c r="K1269">
        <f>IF(COUNTIFS(INDEX(Table_Sales[order_id],1):Table_Sales[[#This Row],[order_id]],Table_Sales[[#This Row],[order_id]])=1,1,0)</f>
        <v>0</v>
      </c>
      <c r="L126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270" spans="1:12" x14ac:dyDescent="0.25">
      <c r="A1270" t="s">
        <v>502</v>
      </c>
      <c r="B1270" s="1">
        <v>353</v>
      </c>
      <c r="C1270" s="1">
        <v>90</v>
      </c>
      <c r="D1270">
        <v>8</v>
      </c>
      <c r="E1270" t="s">
        <v>23</v>
      </c>
      <c r="F1270" t="s">
        <v>26</v>
      </c>
      <c r="G1270" t="s">
        <v>10</v>
      </c>
      <c r="H1270">
        <f>IF(Table_Sales[[#This Row],[profit]]&lt;0,1,0)</f>
        <v>0</v>
      </c>
      <c r="I1270" t="str" cm="1">
        <f t="array" ref="I1270">_xlfn.IFS(Table_Sales[[#This Row],[quantity]]&lt;=3,"1-3",Table_Sales[[#This Row],[quantity]]&lt;=7,"2-7",Table_Sales[[#This Row],[quantity]]&lt;=10,"8-10",TRUE,"11 and above")</f>
        <v>8-10</v>
      </c>
      <c r="J1270" t="str" cm="1">
        <f t="array" ref="J1270">_xlfn.IFS(Table_Sales[[#This Row],[amount]]&lt;1000,"Under 1000",Table_Sales[[#This Row],[amount]]&lt;3000,"1000 - 2999",Table_Sales[[#This Row],[amount]]&lt;5000,"3000 - 4999",TRUE,"5000 &amp; above")</f>
        <v>Under 1000</v>
      </c>
      <c r="K1270">
        <f>IF(COUNTIFS(INDEX(Table_Sales[order_id],1):Table_Sales[[#This Row],[order_id]],Table_Sales[[#This Row],[order_id]])=1,1,0)</f>
        <v>1</v>
      </c>
      <c r="L127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271" spans="1:12" x14ac:dyDescent="0.25">
      <c r="A1271" t="s">
        <v>230</v>
      </c>
      <c r="B1271" s="1">
        <v>382</v>
      </c>
      <c r="C1271" s="1">
        <v>92</v>
      </c>
      <c r="D1271">
        <v>2</v>
      </c>
      <c r="E1271" t="s">
        <v>8</v>
      </c>
      <c r="F1271" t="s">
        <v>18</v>
      </c>
      <c r="G1271" t="s">
        <v>10</v>
      </c>
      <c r="H1271">
        <f>IF(Table_Sales[[#This Row],[profit]]&lt;0,1,0)</f>
        <v>0</v>
      </c>
      <c r="I1271" t="str" cm="1">
        <f t="array" ref="I1271">_xlfn.IFS(Table_Sales[[#This Row],[quantity]]&lt;=3,"1-3",Table_Sales[[#This Row],[quantity]]&lt;=7,"2-7",Table_Sales[[#This Row],[quantity]]&lt;=10,"8-10",TRUE,"11 and above")</f>
        <v>1-3</v>
      </c>
      <c r="J1271" t="str" cm="1">
        <f t="array" ref="J1271">_xlfn.IFS(Table_Sales[[#This Row],[amount]]&lt;1000,"Under 1000",Table_Sales[[#This Row],[amount]]&lt;3000,"1000 - 2999",Table_Sales[[#This Row],[amount]]&lt;5000,"3000 - 4999",TRUE,"5000 &amp; above")</f>
        <v>Under 1000</v>
      </c>
      <c r="K1271">
        <f>IF(COUNTIFS(INDEX(Table_Sales[order_id],1):Table_Sales[[#This Row],[order_id]],Table_Sales[[#This Row],[order_id]])=1,1,0)</f>
        <v>0</v>
      </c>
      <c r="L127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272" spans="1:12" x14ac:dyDescent="0.25">
      <c r="A1272" t="s">
        <v>192</v>
      </c>
      <c r="B1272" s="1">
        <v>597</v>
      </c>
      <c r="C1272" s="1">
        <v>93</v>
      </c>
      <c r="D1272">
        <v>4</v>
      </c>
      <c r="E1272" t="s">
        <v>12</v>
      </c>
      <c r="F1272" t="s">
        <v>13</v>
      </c>
      <c r="G1272" t="s">
        <v>82</v>
      </c>
      <c r="H1272">
        <f>IF(Table_Sales[[#This Row],[profit]]&lt;0,1,0)</f>
        <v>0</v>
      </c>
      <c r="I1272" t="str" cm="1">
        <f t="array" ref="I1272">_xlfn.IFS(Table_Sales[[#This Row],[quantity]]&lt;=3,"1-3",Table_Sales[[#This Row],[quantity]]&lt;=7,"2-7",Table_Sales[[#This Row],[quantity]]&lt;=10,"8-10",TRUE,"11 and above")</f>
        <v>2-7</v>
      </c>
      <c r="J1272" t="str" cm="1">
        <f t="array" ref="J1272">_xlfn.IFS(Table_Sales[[#This Row],[amount]]&lt;1000,"Under 1000",Table_Sales[[#This Row],[amount]]&lt;3000,"1000 - 2999",Table_Sales[[#This Row],[amount]]&lt;5000,"3000 - 4999",TRUE,"5000 &amp; above")</f>
        <v>Under 1000</v>
      </c>
      <c r="K1272">
        <f>IF(COUNTIFS(INDEX(Table_Sales[order_id],1):Table_Sales[[#This Row],[order_id]],Table_Sales[[#This Row],[order_id]])=1,1,0)</f>
        <v>0</v>
      </c>
      <c r="L127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273" spans="1:12" x14ac:dyDescent="0.25">
      <c r="A1273" t="s">
        <v>503</v>
      </c>
      <c r="B1273" s="1">
        <v>212</v>
      </c>
      <c r="C1273" s="1">
        <v>97</v>
      </c>
      <c r="D1273">
        <v>7</v>
      </c>
      <c r="E1273" t="s">
        <v>23</v>
      </c>
      <c r="F1273" t="s">
        <v>30</v>
      </c>
      <c r="G1273" t="s">
        <v>10</v>
      </c>
      <c r="H1273">
        <f>IF(Table_Sales[[#This Row],[profit]]&lt;0,1,0)</f>
        <v>0</v>
      </c>
      <c r="I1273" t="str" cm="1">
        <f t="array" ref="I1273">_xlfn.IFS(Table_Sales[[#This Row],[quantity]]&lt;=3,"1-3",Table_Sales[[#This Row],[quantity]]&lt;=7,"2-7",Table_Sales[[#This Row],[quantity]]&lt;=10,"8-10",TRUE,"11 and above")</f>
        <v>2-7</v>
      </c>
      <c r="J1273" t="str" cm="1">
        <f t="array" ref="J1273">_xlfn.IFS(Table_Sales[[#This Row],[amount]]&lt;1000,"Under 1000",Table_Sales[[#This Row],[amount]]&lt;3000,"1000 - 2999",Table_Sales[[#This Row],[amount]]&lt;5000,"3000 - 4999",TRUE,"5000 &amp; above")</f>
        <v>Under 1000</v>
      </c>
      <c r="K1273">
        <f>IF(COUNTIFS(INDEX(Table_Sales[order_id],1):Table_Sales[[#This Row],[order_id]],Table_Sales[[#This Row],[order_id]])=1,1,0)</f>
        <v>1</v>
      </c>
      <c r="L127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274" spans="1:12" x14ac:dyDescent="0.25">
      <c r="A1274" t="s">
        <v>269</v>
      </c>
      <c r="B1274" s="1">
        <v>689</v>
      </c>
      <c r="C1274" s="1">
        <v>90</v>
      </c>
      <c r="D1274">
        <v>5</v>
      </c>
      <c r="E1274" t="s">
        <v>23</v>
      </c>
      <c r="F1274" t="s">
        <v>26</v>
      </c>
      <c r="G1274" t="s">
        <v>10</v>
      </c>
      <c r="H1274">
        <f>IF(Table_Sales[[#This Row],[profit]]&lt;0,1,0)</f>
        <v>0</v>
      </c>
      <c r="I1274" t="str" cm="1">
        <f t="array" ref="I1274">_xlfn.IFS(Table_Sales[[#This Row],[quantity]]&lt;=3,"1-3",Table_Sales[[#This Row],[quantity]]&lt;=7,"2-7",Table_Sales[[#This Row],[quantity]]&lt;=10,"8-10",TRUE,"11 and above")</f>
        <v>2-7</v>
      </c>
      <c r="J1274" t="str" cm="1">
        <f t="array" ref="J1274">_xlfn.IFS(Table_Sales[[#This Row],[amount]]&lt;1000,"Under 1000",Table_Sales[[#This Row],[amount]]&lt;3000,"1000 - 2999",Table_Sales[[#This Row],[amount]]&lt;5000,"3000 - 4999",TRUE,"5000 &amp; above")</f>
        <v>Under 1000</v>
      </c>
      <c r="K1274">
        <f>IF(COUNTIFS(INDEX(Table_Sales[order_id],1):Table_Sales[[#This Row],[order_id]],Table_Sales[[#This Row],[order_id]])=1,1,0)</f>
        <v>0</v>
      </c>
      <c r="L127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275" spans="1:12" x14ac:dyDescent="0.25">
      <c r="A1275" t="s">
        <v>504</v>
      </c>
      <c r="B1275" s="1">
        <v>28</v>
      </c>
      <c r="C1275" s="1">
        <v>-10</v>
      </c>
      <c r="D1275">
        <v>3</v>
      </c>
      <c r="E1275" t="s">
        <v>23</v>
      </c>
      <c r="F1275" t="s">
        <v>43</v>
      </c>
      <c r="G1275" t="s">
        <v>10</v>
      </c>
      <c r="H1275">
        <f>IF(Table_Sales[[#This Row],[profit]]&lt;0,1,0)</f>
        <v>1</v>
      </c>
      <c r="I1275" t="str" cm="1">
        <f t="array" ref="I1275">_xlfn.IFS(Table_Sales[[#This Row],[quantity]]&lt;=3,"1-3",Table_Sales[[#This Row],[quantity]]&lt;=7,"2-7",Table_Sales[[#This Row],[quantity]]&lt;=10,"8-10",TRUE,"11 and above")</f>
        <v>1-3</v>
      </c>
      <c r="J1275" t="str" cm="1">
        <f t="array" ref="J1275">_xlfn.IFS(Table_Sales[[#This Row],[amount]]&lt;1000,"Under 1000",Table_Sales[[#This Row],[amount]]&lt;3000,"1000 - 2999",Table_Sales[[#This Row],[amount]]&lt;5000,"3000 - 4999",TRUE,"5000 &amp; above")</f>
        <v>Under 1000</v>
      </c>
      <c r="K1275">
        <f>IF(COUNTIFS(INDEX(Table_Sales[order_id],1):Table_Sales[[#This Row],[order_id]],Table_Sales[[#This Row],[order_id]])=1,1,0)</f>
        <v>1</v>
      </c>
      <c r="L127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276" spans="1:12" x14ac:dyDescent="0.25">
      <c r="A1276" t="s">
        <v>205</v>
      </c>
      <c r="B1276" s="1">
        <v>34</v>
      </c>
      <c r="C1276" s="1">
        <v>12</v>
      </c>
      <c r="D1276">
        <v>3</v>
      </c>
      <c r="E1276" t="s">
        <v>23</v>
      </c>
      <c r="F1276" t="s">
        <v>30</v>
      </c>
      <c r="G1276" t="s">
        <v>19</v>
      </c>
      <c r="H1276">
        <f>IF(Table_Sales[[#This Row],[profit]]&lt;0,1,0)</f>
        <v>0</v>
      </c>
      <c r="I1276" t="str" cm="1">
        <f t="array" ref="I1276">_xlfn.IFS(Table_Sales[[#This Row],[quantity]]&lt;=3,"1-3",Table_Sales[[#This Row],[quantity]]&lt;=7,"2-7",Table_Sales[[#This Row],[quantity]]&lt;=10,"8-10",TRUE,"11 and above")</f>
        <v>1-3</v>
      </c>
      <c r="J1276" t="str" cm="1">
        <f t="array" ref="J1276">_xlfn.IFS(Table_Sales[[#This Row],[amount]]&lt;1000,"Under 1000",Table_Sales[[#This Row],[amount]]&lt;3000,"1000 - 2999",Table_Sales[[#This Row],[amount]]&lt;5000,"3000 - 4999",TRUE,"5000 &amp; above")</f>
        <v>Under 1000</v>
      </c>
      <c r="K1276">
        <f>IF(COUNTIFS(INDEX(Table_Sales[order_id],1):Table_Sales[[#This Row],[order_id]],Table_Sales[[#This Row],[order_id]])=1,1,0)</f>
        <v>0</v>
      </c>
      <c r="L127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277" spans="1:12" x14ac:dyDescent="0.25">
      <c r="A1277" t="s">
        <v>88</v>
      </c>
      <c r="B1277" s="1">
        <v>600</v>
      </c>
      <c r="C1277" s="1">
        <v>-102</v>
      </c>
      <c r="D1277">
        <v>5</v>
      </c>
      <c r="E1277" t="s">
        <v>8</v>
      </c>
      <c r="F1277" t="s">
        <v>9</v>
      </c>
      <c r="G1277" t="s">
        <v>82</v>
      </c>
      <c r="H1277">
        <f>IF(Table_Sales[[#This Row],[profit]]&lt;0,1,0)</f>
        <v>1</v>
      </c>
      <c r="I1277" t="str" cm="1">
        <f t="array" ref="I1277">_xlfn.IFS(Table_Sales[[#This Row],[quantity]]&lt;=3,"1-3",Table_Sales[[#This Row],[quantity]]&lt;=7,"2-7",Table_Sales[[#This Row],[quantity]]&lt;=10,"8-10",TRUE,"11 and above")</f>
        <v>2-7</v>
      </c>
      <c r="J1277" t="str" cm="1">
        <f t="array" ref="J1277">_xlfn.IFS(Table_Sales[[#This Row],[amount]]&lt;1000,"Under 1000",Table_Sales[[#This Row],[amount]]&lt;3000,"1000 - 2999",Table_Sales[[#This Row],[amount]]&lt;5000,"3000 - 4999",TRUE,"5000 &amp; above")</f>
        <v>Under 1000</v>
      </c>
      <c r="K1277">
        <f>IF(COUNTIFS(INDEX(Table_Sales[order_id],1):Table_Sales[[#This Row],[order_id]],Table_Sales[[#This Row],[order_id]])=1,1,0)</f>
        <v>0</v>
      </c>
      <c r="L127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278" spans="1:12" x14ac:dyDescent="0.25">
      <c r="A1278" t="s">
        <v>505</v>
      </c>
      <c r="B1278" s="1">
        <v>637</v>
      </c>
      <c r="C1278" s="1">
        <v>113</v>
      </c>
      <c r="D1278">
        <v>5</v>
      </c>
      <c r="E1278" t="s">
        <v>23</v>
      </c>
      <c r="F1278" t="s">
        <v>26</v>
      </c>
      <c r="G1278" t="s">
        <v>28</v>
      </c>
      <c r="H1278">
        <f>IF(Table_Sales[[#This Row],[profit]]&lt;0,1,0)</f>
        <v>0</v>
      </c>
      <c r="I1278" t="str" cm="1">
        <f t="array" ref="I1278">_xlfn.IFS(Table_Sales[[#This Row],[quantity]]&lt;=3,"1-3",Table_Sales[[#This Row],[quantity]]&lt;=7,"2-7",Table_Sales[[#This Row],[quantity]]&lt;=10,"8-10",TRUE,"11 and above")</f>
        <v>2-7</v>
      </c>
      <c r="J1278" t="str" cm="1">
        <f t="array" ref="J1278">_xlfn.IFS(Table_Sales[[#This Row],[amount]]&lt;1000,"Under 1000",Table_Sales[[#This Row],[amount]]&lt;3000,"1000 - 2999",Table_Sales[[#This Row],[amount]]&lt;5000,"3000 - 4999",TRUE,"5000 &amp; above")</f>
        <v>Under 1000</v>
      </c>
      <c r="K1278">
        <f>IF(COUNTIFS(INDEX(Table_Sales[order_id],1):Table_Sales[[#This Row],[order_id]],Table_Sales[[#This Row],[order_id]])=1,1,0)</f>
        <v>1</v>
      </c>
      <c r="L127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279" spans="1:12" x14ac:dyDescent="0.25">
      <c r="A1279" t="s">
        <v>62</v>
      </c>
      <c r="B1279" s="1">
        <v>616</v>
      </c>
      <c r="C1279" s="1">
        <v>-69</v>
      </c>
      <c r="D1279">
        <v>7</v>
      </c>
      <c r="E1279" t="s">
        <v>12</v>
      </c>
      <c r="F1279" t="s">
        <v>131</v>
      </c>
      <c r="G1279" t="s">
        <v>82</v>
      </c>
      <c r="H1279">
        <f>IF(Table_Sales[[#This Row],[profit]]&lt;0,1,0)</f>
        <v>1</v>
      </c>
      <c r="I1279" t="str" cm="1">
        <f t="array" ref="I1279">_xlfn.IFS(Table_Sales[[#This Row],[quantity]]&lt;=3,"1-3",Table_Sales[[#This Row],[quantity]]&lt;=7,"2-7",Table_Sales[[#This Row],[quantity]]&lt;=10,"8-10",TRUE,"11 and above")</f>
        <v>2-7</v>
      </c>
      <c r="J1279" t="str" cm="1">
        <f t="array" ref="J1279">_xlfn.IFS(Table_Sales[[#This Row],[amount]]&lt;1000,"Under 1000",Table_Sales[[#This Row],[amount]]&lt;3000,"1000 - 2999",Table_Sales[[#This Row],[amount]]&lt;5000,"3000 - 4999",TRUE,"5000 &amp; above")</f>
        <v>Under 1000</v>
      </c>
      <c r="K1279">
        <f>IF(COUNTIFS(INDEX(Table_Sales[order_id],1):Table_Sales[[#This Row],[order_id]],Table_Sales[[#This Row],[order_id]])=1,1,0)</f>
        <v>0</v>
      </c>
      <c r="L127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280" spans="1:12" x14ac:dyDescent="0.25">
      <c r="A1280" t="s">
        <v>123</v>
      </c>
      <c r="B1280" s="1">
        <v>624</v>
      </c>
      <c r="C1280" s="1">
        <v>37</v>
      </c>
      <c r="D1280">
        <v>2</v>
      </c>
      <c r="E1280" t="s">
        <v>8</v>
      </c>
      <c r="F1280" t="s">
        <v>9</v>
      </c>
      <c r="G1280" t="s">
        <v>82</v>
      </c>
      <c r="H1280">
        <f>IF(Table_Sales[[#This Row],[profit]]&lt;0,1,0)</f>
        <v>0</v>
      </c>
      <c r="I1280" t="str" cm="1">
        <f t="array" ref="I1280">_xlfn.IFS(Table_Sales[[#This Row],[quantity]]&lt;=3,"1-3",Table_Sales[[#This Row],[quantity]]&lt;=7,"2-7",Table_Sales[[#This Row],[quantity]]&lt;=10,"8-10",TRUE,"11 and above")</f>
        <v>1-3</v>
      </c>
      <c r="J1280" t="str" cm="1">
        <f t="array" ref="J1280">_xlfn.IFS(Table_Sales[[#This Row],[amount]]&lt;1000,"Under 1000",Table_Sales[[#This Row],[amount]]&lt;3000,"1000 - 2999",Table_Sales[[#This Row],[amount]]&lt;5000,"3000 - 4999",TRUE,"5000 &amp; above")</f>
        <v>Under 1000</v>
      </c>
      <c r="K1280">
        <f>IF(COUNTIFS(INDEX(Table_Sales[order_id],1):Table_Sales[[#This Row],[order_id]],Table_Sales[[#This Row],[order_id]])=1,1,0)</f>
        <v>0</v>
      </c>
      <c r="L128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281" spans="1:12" x14ac:dyDescent="0.25">
      <c r="A1281" t="s">
        <v>385</v>
      </c>
      <c r="B1281" s="1">
        <v>28</v>
      </c>
      <c r="C1281" s="1">
        <v>4</v>
      </c>
      <c r="D1281">
        <v>1</v>
      </c>
      <c r="E1281" t="s">
        <v>23</v>
      </c>
      <c r="F1281" t="s">
        <v>81</v>
      </c>
      <c r="G1281" t="s">
        <v>10</v>
      </c>
      <c r="H1281">
        <f>IF(Table_Sales[[#This Row],[profit]]&lt;0,1,0)</f>
        <v>0</v>
      </c>
      <c r="I1281" t="str" cm="1">
        <f t="array" ref="I1281">_xlfn.IFS(Table_Sales[[#This Row],[quantity]]&lt;=3,"1-3",Table_Sales[[#This Row],[quantity]]&lt;=7,"2-7",Table_Sales[[#This Row],[quantity]]&lt;=10,"8-10",TRUE,"11 and above")</f>
        <v>1-3</v>
      </c>
      <c r="J1281" t="str" cm="1">
        <f t="array" ref="J1281">_xlfn.IFS(Table_Sales[[#This Row],[amount]]&lt;1000,"Under 1000",Table_Sales[[#This Row],[amount]]&lt;3000,"1000 - 2999",Table_Sales[[#This Row],[amount]]&lt;5000,"3000 - 4999",TRUE,"5000 &amp; above")</f>
        <v>Under 1000</v>
      </c>
      <c r="K1281">
        <f>IF(COUNTIFS(INDEX(Table_Sales[order_id],1):Table_Sales[[#This Row],[order_id]],Table_Sales[[#This Row],[order_id]])=1,1,0)</f>
        <v>0</v>
      </c>
      <c r="L128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282" spans="1:12" x14ac:dyDescent="0.25">
      <c r="A1282" t="s">
        <v>276</v>
      </c>
      <c r="B1282" s="1">
        <v>584</v>
      </c>
      <c r="C1282" s="1">
        <v>-444</v>
      </c>
      <c r="D1282">
        <v>7</v>
      </c>
      <c r="E1282" t="s">
        <v>8</v>
      </c>
      <c r="F1282" t="s">
        <v>18</v>
      </c>
      <c r="G1282" t="s">
        <v>28</v>
      </c>
      <c r="H1282">
        <f>IF(Table_Sales[[#This Row],[profit]]&lt;0,1,0)</f>
        <v>1</v>
      </c>
      <c r="I1282" t="str" cm="1">
        <f t="array" ref="I1282">_xlfn.IFS(Table_Sales[[#This Row],[quantity]]&lt;=3,"1-3",Table_Sales[[#This Row],[quantity]]&lt;=7,"2-7",Table_Sales[[#This Row],[quantity]]&lt;=10,"8-10",TRUE,"11 and above")</f>
        <v>2-7</v>
      </c>
      <c r="J1282" t="str" cm="1">
        <f t="array" ref="J1282">_xlfn.IFS(Table_Sales[[#This Row],[amount]]&lt;1000,"Under 1000",Table_Sales[[#This Row],[amount]]&lt;3000,"1000 - 2999",Table_Sales[[#This Row],[amount]]&lt;5000,"3000 - 4999",TRUE,"5000 &amp; above")</f>
        <v>Under 1000</v>
      </c>
      <c r="K1282">
        <f>IF(COUNTIFS(INDEX(Table_Sales[order_id],1):Table_Sales[[#This Row],[order_id]],Table_Sales[[#This Row],[order_id]])=1,1,0)</f>
        <v>0</v>
      </c>
      <c r="L128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283" spans="1:12" x14ac:dyDescent="0.25">
      <c r="A1283" t="s">
        <v>178</v>
      </c>
      <c r="B1283" s="1">
        <v>28</v>
      </c>
      <c r="C1283" s="1">
        <v>6</v>
      </c>
      <c r="D1283">
        <v>4</v>
      </c>
      <c r="E1283" t="s">
        <v>23</v>
      </c>
      <c r="F1283" t="s">
        <v>43</v>
      </c>
      <c r="G1283" t="s">
        <v>10</v>
      </c>
      <c r="H1283">
        <f>IF(Table_Sales[[#This Row],[profit]]&lt;0,1,0)</f>
        <v>0</v>
      </c>
      <c r="I1283" t="str" cm="1">
        <f t="array" ref="I1283">_xlfn.IFS(Table_Sales[[#This Row],[quantity]]&lt;=3,"1-3",Table_Sales[[#This Row],[quantity]]&lt;=7,"2-7",Table_Sales[[#This Row],[quantity]]&lt;=10,"8-10",TRUE,"11 and above")</f>
        <v>2-7</v>
      </c>
      <c r="J1283" t="str" cm="1">
        <f t="array" ref="J1283">_xlfn.IFS(Table_Sales[[#This Row],[amount]]&lt;1000,"Under 1000",Table_Sales[[#This Row],[amount]]&lt;3000,"1000 - 2999",Table_Sales[[#This Row],[amount]]&lt;5000,"3000 - 4999",TRUE,"5000 &amp; above")</f>
        <v>Under 1000</v>
      </c>
      <c r="K1283">
        <f>IF(COUNTIFS(INDEX(Table_Sales[order_id],1):Table_Sales[[#This Row],[order_id]],Table_Sales[[#This Row],[order_id]])=1,1,0)</f>
        <v>0</v>
      </c>
      <c r="L128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284" spans="1:12" x14ac:dyDescent="0.25">
      <c r="A1284" t="s">
        <v>17</v>
      </c>
      <c r="B1284" s="1">
        <v>33</v>
      </c>
      <c r="C1284" s="1">
        <v>-1</v>
      </c>
      <c r="D1284">
        <v>1</v>
      </c>
      <c r="E1284" t="s">
        <v>23</v>
      </c>
      <c r="F1284" t="s">
        <v>26</v>
      </c>
      <c r="G1284" t="s">
        <v>19</v>
      </c>
      <c r="H1284">
        <f>IF(Table_Sales[[#This Row],[profit]]&lt;0,1,0)</f>
        <v>1</v>
      </c>
      <c r="I1284" t="str" cm="1">
        <f t="array" ref="I1284">_xlfn.IFS(Table_Sales[[#This Row],[quantity]]&lt;=3,"1-3",Table_Sales[[#This Row],[quantity]]&lt;=7,"2-7",Table_Sales[[#This Row],[quantity]]&lt;=10,"8-10",TRUE,"11 and above")</f>
        <v>1-3</v>
      </c>
      <c r="J1284" t="str" cm="1">
        <f t="array" ref="J1284">_xlfn.IFS(Table_Sales[[#This Row],[amount]]&lt;1000,"Under 1000",Table_Sales[[#This Row],[amount]]&lt;3000,"1000 - 2999",Table_Sales[[#This Row],[amount]]&lt;5000,"3000 - 4999",TRUE,"5000 &amp; above")</f>
        <v>Under 1000</v>
      </c>
      <c r="K1284">
        <f>IF(COUNTIFS(INDEX(Table_Sales[order_id],1):Table_Sales[[#This Row],[order_id]],Table_Sales[[#This Row],[order_id]])=1,1,0)</f>
        <v>0</v>
      </c>
      <c r="L128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285" spans="1:12" x14ac:dyDescent="0.25">
      <c r="A1285" t="s">
        <v>288</v>
      </c>
      <c r="B1285" s="1">
        <v>27</v>
      </c>
      <c r="C1285" s="1">
        <v>-20</v>
      </c>
      <c r="D1285">
        <v>2</v>
      </c>
      <c r="E1285" t="s">
        <v>23</v>
      </c>
      <c r="F1285" t="s">
        <v>30</v>
      </c>
      <c r="G1285" t="s">
        <v>10</v>
      </c>
      <c r="H1285">
        <f>IF(Table_Sales[[#This Row],[profit]]&lt;0,1,0)</f>
        <v>1</v>
      </c>
      <c r="I1285" t="str" cm="1">
        <f t="array" ref="I1285">_xlfn.IFS(Table_Sales[[#This Row],[quantity]]&lt;=3,"1-3",Table_Sales[[#This Row],[quantity]]&lt;=7,"2-7",Table_Sales[[#This Row],[quantity]]&lt;=10,"8-10",TRUE,"11 and above")</f>
        <v>1-3</v>
      </c>
      <c r="J1285" t="str" cm="1">
        <f t="array" ref="J1285">_xlfn.IFS(Table_Sales[[#This Row],[amount]]&lt;1000,"Under 1000",Table_Sales[[#This Row],[amount]]&lt;3000,"1000 - 2999",Table_Sales[[#This Row],[amount]]&lt;5000,"3000 - 4999",TRUE,"5000 &amp; above")</f>
        <v>Under 1000</v>
      </c>
      <c r="K1285">
        <f>IF(COUNTIFS(INDEX(Table_Sales[order_id],1):Table_Sales[[#This Row],[order_id]],Table_Sales[[#This Row],[order_id]])=1,1,0)</f>
        <v>0</v>
      </c>
      <c r="L128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286" spans="1:12" x14ac:dyDescent="0.25">
      <c r="A1286" t="s">
        <v>187</v>
      </c>
      <c r="B1286" s="1">
        <v>27</v>
      </c>
      <c r="C1286" s="1">
        <v>5</v>
      </c>
      <c r="D1286">
        <v>2</v>
      </c>
      <c r="E1286" t="s">
        <v>23</v>
      </c>
      <c r="F1286" t="s">
        <v>43</v>
      </c>
      <c r="G1286" t="s">
        <v>10</v>
      </c>
      <c r="H1286">
        <f>IF(Table_Sales[[#This Row],[profit]]&lt;0,1,0)</f>
        <v>0</v>
      </c>
      <c r="I1286" t="str" cm="1">
        <f t="array" ref="I1286">_xlfn.IFS(Table_Sales[[#This Row],[quantity]]&lt;=3,"1-3",Table_Sales[[#This Row],[quantity]]&lt;=7,"2-7",Table_Sales[[#This Row],[quantity]]&lt;=10,"8-10",TRUE,"11 and above")</f>
        <v>1-3</v>
      </c>
      <c r="J1286" t="str" cm="1">
        <f t="array" ref="J1286">_xlfn.IFS(Table_Sales[[#This Row],[amount]]&lt;1000,"Under 1000",Table_Sales[[#This Row],[amount]]&lt;3000,"1000 - 2999",Table_Sales[[#This Row],[amount]]&lt;5000,"3000 - 4999",TRUE,"5000 &amp; above")</f>
        <v>Under 1000</v>
      </c>
      <c r="K1286">
        <f>IF(COUNTIFS(INDEX(Table_Sales[order_id],1):Table_Sales[[#This Row],[order_id]],Table_Sales[[#This Row],[order_id]])=1,1,0)</f>
        <v>0</v>
      </c>
      <c r="L128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287" spans="1:12" x14ac:dyDescent="0.25">
      <c r="A1287" t="s">
        <v>91</v>
      </c>
      <c r="B1287" s="1">
        <v>27</v>
      </c>
      <c r="C1287" s="1">
        <v>4</v>
      </c>
      <c r="D1287">
        <v>3</v>
      </c>
      <c r="E1287" t="s">
        <v>23</v>
      </c>
      <c r="F1287" t="s">
        <v>43</v>
      </c>
      <c r="G1287" t="s">
        <v>10</v>
      </c>
      <c r="H1287">
        <f>IF(Table_Sales[[#This Row],[profit]]&lt;0,1,0)</f>
        <v>0</v>
      </c>
      <c r="I1287" t="str" cm="1">
        <f t="array" ref="I1287">_xlfn.IFS(Table_Sales[[#This Row],[quantity]]&lt;=3,"1-3",Table_Sales[[#This Row],[quantity]]&lt;=7,"2-7",Table_Sales[[#This Row],[quantity]]&lt;=10,"8-10",TRUE,"11 and above")</f>
        <v>1-3</v>
      </c>
      <c r="J1287" t="str" cm="1">
        <f t="array" ref="J1287">_xlfn.IFS(Table_Sales[[#This Row],[amount]]&lt;1000,"Under 1000",Table_Sales[[#This Row],[amount]]&lt;3000,"1000 - 2999",Table_Sales[[#This Row],[amount]]&lt;5000,"3000 - 4999",TRUE,"5000 &amp; above")</f>
        <v>Under 1000</v>
      </c>
      <c r="K1287">
        <f>IF(COUNTIFS(INDEX(Table_Sales[order_id],1):Table_Sales[[#This Row],[order_id]],Table_Sales[[#This Row],[order_id]])=1,1,0)</f>
        <v>0</v>
      </c>
      <c r="L128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288" spans="1:12" x14ac:dyDescent="0.25">
      <c r="A1288" t="s">
        <v>298</v>
      </c>
      <c r="B1288" s="1">
        <v>635</v>
      </c>
      <c r="C1288" s="1">
        <v>-349</v>
      </c>
      <c r="D1288">
        <v>5</v>
      </c>
      <c r="E1288" t="s">
        <v>23</v>
      </c>
      <c r="F1288" t="s">
        <v>26</v>
      </c>
      <c r="G1288" t="s">
        <v>82</v>
      </c>
      <c r="H1288">
        <f>IF(Table_Sales[[#This Row],[profit]]&lt;0,1,0)</f>
        <v>1</v>
      </c>
      <c r="I1288" t="str" cm="1">
        <f t="array" ref="I1288">_xlfn.IFS(Table_Sales[[#This Row],[quantity]]&lt;=3,"1-3",Table_Sales[[#This Row],[quantity]]&lt;=7,"2-7",Table_Sales[[#This Row],[quantity]]&lt;=10,"8-10",TRUE,"11 and above")</f>
        <v>2-7</v>
      </c>
      <c r="J1288" t="str" cm="1">
        <f t="array" ref="J1288">_xlfn.IFS(Table_Sales[[#This Row],[amount]]&lt;1000,"Under 1000",Table_Sales[[#This Row],[amount]]&lt;3000,"1000 - 2999",Table_Sales[[#This Row],[amount]]&lt;5000,"3000 - 4999",TRUE,"5000 &amp; above")</f>
        <v>Under 1000</v>
      </c>
      <c r="K1288">
        <f>IF(COUNTIFS(INDEX(Table_Sales[order_id],1):Table_Sales[[#This Row],[order_id]],Table_Sales[[#This Row],[order_id]])=1,1,0)</f>
        <v>0</v>
      </c>
      <c r="L128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289" spans="1:12" x14ac:dyDescent="0.25">
      <c r="A1289" t="s">
        <v>291</v>
      </c>
      <c r="B1289" s="1">
        <v>598</v>
      </c>
      <c r="C1289" s="1">
        <v>166</v>
      </c>
      <c r="D1289">
        <v>4</v>
      </c>
      <c r="E1289" t="s">
        <v>12</v>
      </c>
      <c r="F1289" t="s">
        <v>16</v>
      </c>
      <c r="G1289" t="s">
        <v>28</v>
      </c>
      <c r="H1289">
        <f>IF(Table_Sales[[#This Row],[profit]]&lt;0,1,0)</f>
        <v>0</v>
      </c>
      <c r="I1289" t="str" cm="1">
        <f t="array" ref="I1289">_xlfn.IFS(Table_Sales[[#This Row],[quantity]]&lt;=3,"1-3",Table_Sales[[#This Row],[quantity]]&lt;=7,"2-7",Table_Sales[[#This Row],[quantity]]&lt;=10,"8-10",TRUE,"11 and above")</f>
        <v>2-7</v>
      </c>
      <c r="J1289" t="str" cm="1">
        <f t="array" ref="J1289">_xlfn.IFS(Table_Sales[[#This Row],[amount]]&lt;1000,"Under 1000",Table_Sales[[#This Row],[amount]]&lt;3000,"1000 - 2999",Table_Sales[[#This Row],[amount]]&lt;5000,"3000 - 4999",TRUE,"5000 &amp; above")</f>
        <v>Under 1000</v>
      </c>
      <c r="K1289">
        <f>IF(COUNTIFS(INDEX(Table_Sales[order_id],1):Table_Sales[[#This Row],[order_id]],Table_Sales[[#This Row],[order_id]])=1,1,0)</f>
        <v>0</v>
      </c>
      <c r="L128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290" spans="1:12" x14ac:dyDescent="0.25">
      <c r="A1290" t="s">
        <v>385</v>
      </c>
      <c r="B1290" s="1">
        <v>636</v>
      </c>
      <c r="C1290" s="1">
        <v>-204</v>
      </c>
      <c r="D1290">
        <v>2</v>
      </c>
      <c r="E1290" t="s">
        <v>8</v>
      </c>
      <c r="F1290" t="s">
        <v>18</v>
      </c>
      <c r="G1290" t="s">
        <v>82</v>
      </c>
      <c r="H1290">
        <f>IF(Table_Sales[[#This Row],[profit]]&lt;0,1,0)</f>
        <v>1</v>
      </c>
      <c r="I1290" t="str" cm="1">
        <f t="array" ref="I1290">_xlfn.IFS(Table_Sales[[#This Row],[quantity]]&lt;=3,"1-3",Table_Sales[[#This Row],[quantity]]&lt;=7,"2-7",Table_Sales[[#This Row],[quantity]]&lt;=10,"8-10",TRUE,"11 and above")</f>
        <v>1-3</v>
      </c>
      <c r="J1290" t="str" cm="1">
        <f t="array" ref="J1290">_xlfn.IFS(Table_Sales[[#This Row],[amount]]&lt;1000,"Under 1000",Table_Sales[[#This Row],[amount]]&lt;3000,"1000 - 2999",Table_Sales[[#This Row],[amount]]&lt;5000,"3000 - 4999",TRUE,"5000 &amp; above")</f>
        <v>Under 1000</v>
      </c>
      <c r="K1290">
        <f>IF(COUNTIFS(INDEX(Table_Sales[order_id],1):Table_Sales[[#This Row],[order_id]],Table_Sales[[#This Row],[order_id]])=1,1,0)</f>
        <v>0</v>
      </c>
      <c r="L129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291" spans="1:12" x14ac:dyDescent="0.25">
      <c r="A1291" t="s">
        <v>382</v>
      </c>
      <c r="B1291" s="1">
        <v>27</v>
      </c>
      <c r="C1291" s="1">
        <v>9</v>
      </c>
      <c r="D1291">
        <v>2</v>
      </c>
      <c r="E1291" t="s">
        <v>23</v>
      </c>
      <c r="F1291" t="s">
        <v>30</v>
      </c>
      <c r="G1291" t="s">
        <v>10</v>
      </c>
      <c r="H1291">
        <f>IF(Table_Sales[[#This Row],[profit]]&lt;0,1,0)</f>
        <v>0</v>
      </c>
      <c r="I1291" t="str" cm="1">
        <f t="array" ref="I1291">_xlfn.IFS(Table_Sales[[#This Row],[quantity]]&lt;=3,"1-3",Table_Sales[[#This Row],[quantity]]&lt;=7,"2-7",Table_Sales[[#This Row],[quantity]]&lt;=10,"8-10",TRUE,"11 and above")</f>
        <v>1-3</v>
      </c>
      <c r="J1291" t="str" cm="1">
        <f t="array" ref="J1291">_xlfn.IFS(Table_Sales[[#This Row],[amount]]&lt;1000,"Under 1000",Table_Sales[[#This Row],[amount]]&lt;3000,"1000 - 2999",Table_Sales[[#This Row],[amount]]&lt;5000,"3000 - 4999",TRUE,"5000 &amp; above")</f>
        <v>Under 1000</v>
      </c>
      <c r="K1291">
        <f>IF(COUNTIFS(INDEX(Table_Sales[order_id],1):Table_Sales[[#This Row],[order_id]],Table_Sales[[#This Row],[order_id]])=1,1,0)</f>
        <v>0</v>
      </c>
      <c r="L129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292" spans="1:12" x14ac:dyDescent="0.25">
      <c r="A1292" t="s">
        <v>182</v>
      </c>
      <c r="B1292" s="1">
        <v>27</v>
      </c>
      <c r="C1292" s="1">
        <v>-6</v>
      </c>
      <c r="D1292">
        <v>4</v>
      </c>
      <c r="E1292" t="s">
        <v>23</v>
      </c>
      <c r="F1292" t="s">
        <v>30</v>
      </c>
      <c r="G1292" t="s">
        <v>10</v>
      </c>
      <c r="H1292">
        <f>IF(Table_Sales[[#This Row],[profit]]&lt;0,1,0)</f>
        <v>1</v>
      </c>
      <c r="I1292" t="str" cm="1">
        <f t="array" ref="I1292">_xlfn.IFS(Table_Sales[[#This Row],[quantity]]&lt;=3,"1-3",Table_Sales[[#This Row],[quantity]]&lt;=7,"2-7",Table_Sales[[#This Row],[quantity]]&lt;=10,"8-10",TRUE,"11 and above")</f>
        <v>2-7</v>
      </c>
      <c r="J1292" t="str" cm="1">
        <f t="array" ref="J1292">_xlfn.IFS(Table_Sales[[#This Row],[amount]]&lt;1000,"Under 1000",Table_Sales[[#This Row],[amount]]&lt;3000,"1000 - 2999",Table_Sales[[#This Row],[amount]]&lt;5000,"3000 - 4999",TRUE,"5000 &amp; above")</f>
        <v>Under 1000</v>
      </c>
      <c r="K1292">
        <f>IF(COUNTIFS(INDEX(Table_Sales[order_id],1):Table_Sales[[#This Row],[order_id]],Table_Sales[[#This Row],[order_id]])=1,1,0)</f>
        <v>0</v>
      </c>
      <c r="L129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293" spans="1:12" x14ac:dyDescent="0.25">
      <c r="A1293" t="s">
        <v>157</v>
      </c>
      <c r="B1293" s="1">
        <v>637</v>
      </c>
      <c r="C1293" s="1">
        <v>212</v>
      </c>
      <c r="D1293">
        <v>8</v>
      </c>
      <c r="E1293" t="s">
        <v>8</v>
      </c>
      <c r="F1293" t="s">
        <v>21</v>
      </c>
      <c r="G1293" t="s">
        <v>82</v>
      </c>
      <c r="H1293">
        <f>IF(Table_Sales[[#This Row],[profit]]&lt;0,1,0)</f>
        <v>0</v>
      </c>
      <c r="I1293" t="str" cm="1">
        <f t="array" ref="I1293">_xlfn.IFS(Table_Sales[[#This Row],[quantity]]&lt;=3,"1-3",Table_Sales[[#This Row],[quantity]]&lt;=7,"2-7",Table_Sales[[#This Row],[quantity]]&lt;=10,"8-10",TRUE,"11 and above")</f>
        <v>8-10</v>
      </c>
      <c r="J1293" t="str" cm="1">
        <f t="array" ref="J1293">_xlfn.IFS(Table_Sales[[#This Row],[amount]]&lt;1000,"Under 1000",Table_Sales[[#This Row],[amount]]&lt;3000,"1000 - 2999",Table_Sales[[#This Row],[amount]]&lt;5000,"3000 - 4999",TRUE,"5000 &amp; above")</f>
        <v>Under 1000</v>
      </c>
      <c r="K1293">
        <f>IF(COUNTIFS(INDEX(Table_Sales[order_id],1):Table_Sales[[#This Row],[order_id]],Table_Sales[[#This Row],[order_id]])=1,1,0)</f>
        <v>0</v>
      </c>
      <c r="L129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294" spans="1:12" x14ac:dyDescent="0.25">
      <c r="A1294" t="s">
        <v>253</v>
      </c>
      <c r="B1294" s="1">
        <v>290</v>
      </c>
      <c r="C1294" s="1">
        <v>110</v>
      </c>
      <c r="D1294">
        <v>9</v>
      </c>
      <c r="E1294" t="s">
        <v>23</v>
      </c>
      <c r="F1294" t="s">
        <v>57</v>
      </c>
      <c r="G1294" t="s">
        <v>28</v>
      </c>
      <c r="H1294">
        <f>IF(Table_Sales[[#This Row],[profit]]&lt;0,1,0)</f>
        <v>0</v>
      </c>
      <c r="I1294" t="str" cm="1">
        <f t="array" ref="I1294">_xlfn.IFS(Table_Sales[[#This Row],[quantity]]&lt;=3,"1-3",Table_Sales[[#This Row],[quantity]]&lt;=7,"2-7",Table_Sales[[#This Row],[quantity]]&lt;=10,"8-10",TRUE,"11 and above")</f>
        <v>8-10</v>
      </c>
      <c r="J1294" t="str" cm="1">
        <f t="array" ref="J1294">_xlfn.IFS(Table_Sales[[#This Row],[amount]]&lt;1000,"Under 1000",Table_Sales[[#This Row],[amount]]&lt;3000,"1000 - 2999",Table_Sales[[#This Row],[amount]]&lt;5000,"3000 - 4999",TRUE,"5000 &amp; above")</f>
        <v>Under 1000</v>
      </c>
      <c r="K1294">
        <f>IF(COUNTIFS(INDEX(Table_Sales[order_id],1):Table_Sales[[#This Row],[order_id]],Table_Sales[[#This Row],[order_id]])=1,1,0)</f>
        <v>0</v>
      </c>
      <c r="L129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295" spans="1:12" x14ac:dyDescent="0.25">
      <c r="A1295" t="s">
        <v>506</v>
      </c>
      <c r="B1295" s="1">
        <v>27</v>
      </c>
      <c r="C1295" s="1">
        <v>-25</v>
      </c>
      <c r="D1295">
        <v>2</v>
      </c>
      <c r="E1295" t="s">
        <v>23</v>
      </c>
      <c r="F1295" t="s">
        <v>57</v>
      </c>
      <c r="G1295" t="s">
        <v>10</v>
      </c>
      <c r="H1295">
        <f>IF(Table_Sales[[#This Row],[profit]]&lt;0,1,0)</f>
        <v>1</v>
      </c>
      <c r="I1295" t="str" cm="1">
        <f t="array" ref="I1295">_xlfn.IFS(Table_Sales[[#This Row],[quantity]]&lt;=3,"1-3",Table_Sales[[#This Row],[quantity]]&lt;=7,"2-7",Table_Sales[[#This Row],[quantity]]&lt;=10,"8-10",TRUE,"11 and above")</f>
        <v>1-3</v>
      </c>
      <c r="J1295" t="str" cm="1">
        <f t="array" ref="J1295">_xlfn.IFS(Table_Sales[[#This Row],[amount]]&lt;1000,"Under 1000",Table_Sales[[#This Row],[amount]]&lt;3000,"1000 - 2999",Table_Sales[[#This Row],[amount]]&lt;5000,"3000 - 4999",TRUE,"5000 &amp; above")</f>
        <v>Under 1000</v>
      </c>
      <c r="K1295">
        <f>IF(COUNTIFS(INDEX(Table_Sales[order_id],1):Table_Sales[[#This Row],[order_id]],Table_Sales[[#This Row],[order_id]])=1,1,0)</f>
        <v>1</v>
      </c>
      <c r="L129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296" spans="1:12" x14ac:dyDescent="0.25">
      <c r="A1296" t="s">
        <v>507</v>
      </c>
      <c r="B1296" s="1">
        <v>632</v>
      </c>
      <c r="C1296" s="1">
        <v>-114</v>
      </c>
      <c r="D1296">
        <v>4</v>
      </c>
      <c r="E1296" t="s">
        <v>12</v>
      </c>
      <c r="F1296" t="s">
        <v>45</v>
      </c>
      <c r="G1296" t="s">
        <v>28</v>
      </c>
      <c r="H1296">
        <f>IF(Table_Sales[[#This Row],[profit]]&lt;0,1,0)</f>
        <v>1</v>
      </c>
      <c r="I1296" t="str" cm="1">
        <f t="array" ref="I1296">_xlfn.IFS(Table_Sales[[#This Row],[quantity]]&lt;=3,"1-3",Table_Sales[[#This Row],[quantity]]&lt;=7,"2-7",Table_Sales[[#This Row],[quantity]]&lt;=10,"8-10",TRUE,"11 and above")</f>
        <v>2-7</v>
      </c>
      <c r="J1296" t="str" cm="1">
        <f t="array" ref="J1296">_xlfn.IFS(Table_Sales[[#This Row],[amount]]&lt;1000,"Under 1000",Table_Sales[[#This Row],[amount]]&lt;3000,"1000 - 2999",Table_Sales[[#This Row],[amount]]&lt;5000,"3000 - 4999",TRUE,"5000 &amp; above")</f>
        <v>Under 1000</v>
      </c>
      <c r="K1296">
        <f>IF(COUNTIFS(INDEX(Table_Sales[order_id],1):Table_Sales[[#This Row],[order_id]],Table_Sales[[#This Row],[order_id]])=1,1,0)</f>
        <v>1</v>
      </c>
      <c r="L129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297" spans="1:12" x14ac:dyDescent="0.25">
      <c r="A1297" t="s">
        <v>36</v>
      </c>
      <c r="B1297" s="1">
        <v>643</v>
      </c>
      <c r="C1297" s="1">
        <v>-45</v>
      </c>
      <c r="D1297">
        <v>2</v>
      </c>
      <c r="E1297" t="s">
        <v>8</v>
      </c>
      <c r="F1297" t="s">
        <v>18</v>
      </c>
      <c r="G1297" t="s">
        <v>82</v>
      </c>
      <c r="H1297">
        <f>IF(Table_Sales[[#This Row],[profit]]&lt;0,1,0)</f>
        <v>1</v>
      </c>
      <c r="I1297" t="str" cm="1">
        <f t="array" ref="I1297">_xlfn.IFS(Table_Sales[[#This Row],[quantity]]&lt;=3,"1-3",Table_Sales[[#This Row],[quantity]]&lt;=7,"2-7",Table_Sales[[#This Row],[quantity]]&lt;=10,"8-10",TRUE,"11 and above")</f>
        <v>1-3</v>
      </c>
      <c r="J1297" t="str" cm="1">
        <f t="array" ref="J1297">_xlfn.IFS(Table_Sales[[#This Row],[amount]]&lt;1000,"Under 1000",Table_Sales[[#This Row],[amount]]&lt;3000,"1000 - 2999",Table_Sales[[#This Row],[amount]]&lt;5000,"3000 - 4999",TRUE,"5000 &amp; above")</f>
        <v>Under 1000</v>
      </c>
      <c r="K1297">
        <f>IF(COUNTIFS(INDEX(Table_Sales[order_id],1):Table_Sales[[#This Row],[order_id]],Table_Sales[[#This Row],[order_id]])=1,1,0)</f>
        <v>0</v>
      </c>
      <c r="L129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298" spans="1:12" x14ac:dyDescent="0.25">
      <c r="A1298" t="s">
        <v>60</v>
      </c>
      <c r="B1298" s="1">
        <v>652</v>
      </c>
      <c r="C1298" s="1">
        <v>13</v>
      </c>
      <c r="D1298">
        <v>6</v>
      </c>
      <c r="E1298" t="s">
        <v>12</v>
      </c>
      <c r="F1298" t="s">
        <v>131</v>
      </c>
      <c r="G1298" t="s">
        <v>82</v>
      </c>
      <c r="H1298">
        <f>IF(Table_Sales[[#This Row],[profit]]&lt;0,1,0)</f>
        <v>0</v>
      </c>
      <c r="I1298" t="str" cm="1">
        <f t="array" ref="I1298">_xlfn.IFS(Table_Sales[[#This Row],[quantity]]&lt;=3,"1-3",Table_Sales[[#This Row],[quantity]]&lt;=7,"2-7",Table_Sales[[#This Row],[quantity]]&lt;=10,"8-10",TRUE,"11 and above")</f>
        <v>2-7</v>
      </c>
      <c r="J1298" t="str" cm="1">
        <f t="array" ref="J1298">_xlfn.IFS(Table_Sales[[#This Row],[amount]]&lt;1000,"Under 1000",Table_Sales[[#This Row],[amount]]&lt;3000,"1000 - 2999",Table_Sales[[#This Row],[amount]]&lt;5000,"3000 - 4999",TRUE,"5000 &amp; above")</f>
        <v>Under 1000</v>
      </c>
      <c r="K1298">
        <f>IF(COUNTIFS(INDEX(Table_Sales[order_id],1):Table_Sales[[#This Row],[order_id]],Table_Sales[[#This Row],[order_id]])=1,1,0)</f>
        <v>0</v>
      </c>
      <c r="L129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299" spans="1:12" x14ac:dyDescent="0.25">
      <c r="A1299" t="s">
        <v>127</v>
      </c>
      <c r="B1299" s="1">
        <v>33</v>
      </c>
      <c r="C1299" s="1">
        <v>-27</v>
      </c>
      <c r="D1299">
        <v>1</v>
      </c>
      <c r="E1299" t="s">
        <v>12</v>
      </c>
      <c r="F1299" t="s">
        <v>13</v>
      </c>
      <c r="G1299" t="s">
        <v>19</v>
      </c>
      <c r="H1299">
        <f>IF(Table_Sales[[#This Row],[profit]]&lt;0,1,0)</f>
        <v>1</v>
      </c>
      <c r="I1299" t="str" cm="1">
        <f t="array" ref="I1299">_xlfn.IFS(Table_Sales[[#This Row],[quantity]]&lt;=3,"1-3",Table_Sales[[#This Row],[quantity]]&lt;=7,"2-7",Table_Sales[[#This Row],[quantity]]&lt;=10,"8-10",TRUE,"11 and above")</f>
        <v>1-3</v>
      </c>
      <c r="J1299" t="str" cm="1">
        <f t="array" ref="J1299">_xlfn.IFS(Table_Sales[[#This Row],[amount]]&lt;1000,"Under 1000",Table_Sales[[#This Row],[amount]]&lt;3000,"1000 - 2999",Table_Sales[[#This Row],[amount]]&lt;5000,"3000 - 4999",TRUE,"5000 &amp; above")</f>
        <v>Under 1000</v>
      </c>
      <c r="K1299">
        <f>IF(COUNTIFS(INDEX(Table_Sales[order_id],1):Table_Sales[[#This Row],[order_id]],Table_Sales[[#This Row],[order_id]])=1,1,0)</f>
        <v>0</v>
      </c>
      <c r="L129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300" spans="1:12" x14ac:dyDescent="0.25">
      <c r="A1300" t="s">
        <v>388</v>
      </c>
      <c r="B1300" s="1">
        <v>26</v>
      </c>
      <c r="C1300" s="1">
        <v>2</v>
      </c>
      <c r="D1300">
        <v>2</v>
      </c>
      <c r="E1300" t="s">
        <v>23</v>
      </c>
      <c r="F1300" t="s">
        <v>30</v>
      </c>
      <c r="G1300" t="s">
        <v>10</v>
      </c>
      <c r="H1300">
        <f>IF(Table_Sales[[#This Row],[profit]]&lt;0,1,0)</f>
        <v>0</v>
      </c>
      <c r="I1300" t="str" cm="1">
        <f t="array" ref="I1300">_xlfn.IFS(Table_Sales[[#This Row],[quantity]]&lt;=3,"1-3",Table_Sales[[#This Row],[quantity]]&lt;=7,"2-7",Table_Sales[[#This Row],[quantity]]&lt;=10,"8-10",TRUE,"11 and above")</f>
        <v>1-3</v>
      </c>
      <c r="J1300" t="str" cm="1">
        <f t="array" ref="J1300">_xlfn.IFS(Table_Sales[[#This Row],[amount]]&lt;1000,"Under 1000",Table_Sales[[#This Row],[amount]]&lt;3000,"1000 - 2999",Table_Sales[[#This Row],[amount]]&lt;5000,"3000 - 4999",TRUE,"5000 &amp; above")</f>
        <v>Under 1000</v>
      </c>
      <c r="K1300">
        <f>IF(COUNTIFS(INDEX(Table_Sales[order_id],1):Table_Sales[[#This Row],[order_id]],Table_Sales[[#This Row],[order_id]])=1,1,0)</f>
        <v>0</v>
      </c>
      <c r="L130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301" spans="1:12" x14ac:dyDescent="0.25">
      <c r="A1301" t="s">
        <v>371</v>
      </c>
      <c r="B1301" s="1">
        <v>633</v>
      </c>
      <c r="C1301" s="1">
        <v>-633</v>
      </c>
      <c r="D1301">
        <v>11</v>
      </c>
      <c r="E1301" t="s">
        <v>8</v>
      </c>
      <c r="F1301" t="s">
        <v>73</v>
      </c>
      <c r="G1301" t="s">
        <v>28</v>
      </c>
      <c r="H1301">
        <f>IF(Table_Sales[[#This Row],[profit]]&lt;0,1,0)</f>
        <v>1</v>
      </c>
      <c r="I1301" t="str" cm="1">
        <f t="array" ref="I1301">_xlfn.IFS(Table_Sales[[#This Row],[quantity]]&lt;=3,"1-3",Table_Sales[[#This Row],[quantity]]&lt;=7,"2-7",Table_Sales[[#This Row],[quantity]]&lt;=10,"8-10",TRUE,"11 and above")</f>
        <v>11 and above</v>
      </c>
      <c r="J1301" t="str" cm="1">
        <f t="array" ref="J1301">_xlfn.IFS(Table_Sales[[#This Row],[amount]]&lt;1000,"Under 1000",Table_Sales[[#This Row],[amount]]&lt;3000,"1000 - 2999",Table_Sales[[#This Row],[amount]]&lt;5000,"3000 - 4999",TRUE,"5000 &amp; above")</f>
        <v>Under 1000</v>
      </c>
      <c r="K1301">
        <f>IF(COUNTIFS(INDEX(Table_Sales[order_id],1):Table_Sales[[#This Row],[order_id]],Table_Sales[[#This Row],[order_id]])=1,1,0)</f>
        <v>0</v>
      </c>
      <c r="L130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302" spans="1:12" x14ac:dyDescent="0.25">
      <c r="A1302" t="s">
        <v>22</v>
      </c>
      <c r="B1302" s="1">
        <v>26</v>
      </c>
      <c r="C1302" s="1">
        <v>9</v>
      </c>
      <c r="D1302">
        <v>2</v>
      </c>
      <c r="E1302" t="s">
        <v>23</v>
      </c>
      <c r="F1302" t="s">
        <v>63</v>
      </c>
      <c r="G1302" t="s">
        <v>10</v>
      </c>
      <c r="H1302">
        <f>IF(Table_Sales[[#This Row],[profit]]&lt;0,1,0)</f>
        <v>0</v>
      </c>
      <c r="I1302" t="str" cm="1">
        <f t="array" ref="I1302">_xlfn.IFS(Table_Sales[[#This Row],[quantity]]&lt;=3,"1-3",Table_Sales[[#This Row],[quantity]]&lt;=7,"2-7",Table_Sales[[#This Row],[quantity]]&lt;=10,"8-10",TRUE,"11 and above")</f>
        <v>1-3</v>
      </c>
      <c r="J1302" t="str" cm="1">
        <f t="array" ref="J1302">_xlfn.IFS(Table_Sales[[#This Row],[amount]]&lt;1000,"Under 1000",Table_Sales[[#This Row],[amount]]&lt;3000,"1000 - 2999",Table_Sales[[#This Row],[amount]]&lt;5000,"3000 - 4999",TRUE,"5000 &amp; above")</f>
        <v>Under 1000</v>
      </c>
      <c r="K1302">
        <f>IF(COUNTIFS(INDEX(Table_Sales[order_id],1):Table_Sales[[#This Row],[order_id]],Table_Sales[[#This Row],[order_id]])=1,1,0)</f>
        <v>0</v>
      </c>
      <c r="L130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303" spans="1:12" x14ac:dyDescent="0.25">
      <c r="A1303" t="s">
        <v>115</v>
      </c>
      <c r="B1303" s="1">
        <v>191</v>
      </c>
      <c r="C1303" s="1">
        <v>93</v>
      </c>
      <c r="D1303">
        <v>4</v>
      </c>
      <c r="E1303" t="s">
        <v>23</v>
      </c>
      <c r="F1303" t="s">
        <v>142</v>
      </c>
      <c r="G1303" t="s">
        <v>28</v>
      </c>
      <c r="H1303">
        <f>IF(Table_Sales[[#This Row],[profit]]&lt;0,1,0)</f>
        <v>0</v>
      </c>
      <c r="I1303" t="str" cm="1">
        <f t="array" ref="I1303">_xlfn.IFS(Table_Sales[[#This Row],[quantity]]&lt;=3,"1-3",Table_Sales[[#This Row],[quantity]]&lt;=7,"2-7",Table_Sales[[#This Row],[quantity]]&lt;=10,"8-10",TRUE,"11 and above")</f>
        <v>2-7</v>
      </c>
      <c r="J1303" t="str" cm="1">
        <f t="array" ref="J1303">_xlfn.IFS(Table_Sales[[#This Row],[amount]]&lt;1000,"Under 1000",Table_Sales[[#This Row],[amount]]&lt;3000,"1000 - 2999",Table_Sales[[#This Row],[amount]]&lt;5000,"3000 - 4999",TRUE,"5000 &amp; above")</f>
        <v>Under 1000</v>
      </c>
      <c r="K1303">
        <f>IF(COUNTIFS(INDEX(Table_Sales[order_id],1):Table_Sales[[#This Row],[order_id]],Table_Sales[[#This Row],[order_id]])=1,1,0)</f>
        <v>0</v>
      </c>
      <c r="L130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304" spans="1:12" x14ac:dyDescent="0.25">
      <c r="A1304" t="s">
        <v>25</v>
      </c>
      <c r="B1304" s="1">
        <v>887</v>
      </c>
      <c r="C1304" s="1">
        <v>80</v>
      </c>
      <c r="D1304">
        <v>3</v>
      </c>
      <c r="E1304" t="s">
        <v>8</v>
      </c>
      <c r="F1304" t="s">
        <v>18</v>
      </c>
      <c r="G1304" t="s">
        <v>28</v>
      </c>
      <c r="H1304">
        <f>IF(Table_Sales[[#This Row],[profit]]&lt;0,1,0)</f>
        <v>0</v>
      </c>
      <c r="I1304" t="str" cm="1">
        <f t="array" ref="I1304">_xlfn.IFS(Table_Sales[[#This Row],[quantity]]&lt;=3,"1-3",Table_Sales[[#This Row],[quantity]]&lt;=7,"2-7",Table_Sales[[#This Row],[quantity]]&lt;=10,"8-10",TRUE,"11 and above")</f>
        <v>1-3</v>
      </c>
      <c r="J1304" t="str" cm="1">
        <f t="array" ref="J1304">_xlfn.IFS(Table_Sales[[#This Row],[amount]]&lt;1000,"Under 1000",Table_Sales[[#This Row],[amount]]&lt;3000,"1000 - 2999",Table_Sales[[#This Row],[amount]]&lt;5000,"3000 - 4999",TRUE,"5000 &amp; above")</f>
        <v>Under 1000</v>
      </c>
      <c r="K1304">
        <f>IF(COUNTIFS(INDEX(Table_Sales[order_id],1):Table_Sales[[#This Row],[order_id]],Table_Sales[[#This Row],[order_id]])=1,1,0)</f>
        <v>0</v>
      </c>
      <c r="L130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305" spans="1:12" x14ac:dyDescent="0.25">
      <c r="A1305" t="s">
        <v>508</v>
      </c>
      <c r="B1305" s="1">
        <v>637</v>
      </c>
      <c r="C1305" s="1">
        <v>261</v>
      </c>
      <c r="D1305">
        <v>2</v>
      </c>
      <c r="E1305" t="s">
        <v>8</v>
      </c>
      <c r="F1305" t="s">
        <v>18</v>
      </c>
      <c r="G1305" t="s">
        <v>10</v>
      </c>
      <c r="H1305">
        <f>IF(Table_Sales[[#This Row],[profit]]&lt;0,1,0)</f>
        <v>0</v>
      </c>
      <c r="I1305" t="str" cm="1">
        <f t="array" ref="I1305">_xlfn.IFS(Table_Sales[[#This Row],[quantity]]&lt;=3,"1-3",Table_Sales[[#This Row],[quantity]]&lt;=7,"2-7",Table_Sales[[#This Row],[quantity]]&lt;=10,"8-10",TRUE,"11 and above")</f>
        <v>1-3</v>
      </c>
      <c r="J1305" t="str" cm="1">
        <f t="array" ref="J1305">_xlfn.IFS(Table_Sales[[#This Row],[amount]]&lt;1000,"Under 1000",Table_Sales[[#This Row],[amount]]&lt;3000,"1000 - 2999",Table_Sales[[#This Row],[amount]]&lt;5000,"3000 - 4999",TRUE,"5000 &amp; above")</f>
        <v>Under 1000</v>
      </c>
      <c r="K1305">
        <f>IF(COUNTIFS(INDEX(Table_Sales[order_id],1):Table_Sales[[#This Row],[order_id]],Table_Sales[[#This Row],[order_id]])=1,1,0)</f>
        <v>1</v>
      </c>
      <c r="L130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306" spans="1:12" x14ac:dyDescent="0.25">
      <c r="A1306" t="s">
        <v>252</v>
      </c>
      <c r="B1306" s="1">
        <v>670</v>
      </c>
      <c r="C1306" s="1">
        <v>15</v>
      </c>
      <c r="D1306">
        <v>5</v>
      </c>
      <c r="E1306" t="s">
        <v>12</v>
      </c>
      <c r="F1306" t="s">
        <v>16</v>
      </c>
      <c r="G1306" t="s">
        <v>82</v>
      </c>
      <c r="H1306">
        <f>IF(Table_Sales[[#This Row],[profit]]&lt;0,1,0)</f>
        <v>0</v>
      </c>
      <c r="I1306" t="str" cm="1">
        <f t="array" ref="I1306">_xlfn.IFS(Table_Sales[[#This Row],[quantity]]&lt;=3,"1-3",Table_Sales[[#This Row],[quantity]]&lt;=7,"2-7",Table_Sales[[#This Row],[quantity]]&lt;=10,"8-10",TRUE,"11 and above")</f>
        <v>2-7</v>
      </c>
      <c r="J1306" t="str" cm="1">
        <f t="array" ref="J1306">_xlfn.IFS(Table_Sales[[#This Row],[amount]]&lt;1000,"Under 1000",Table_Sales[[#This Row],[amount]]&lt;3000,"1000 - 2999",Table_Sales[[#This Row],[amount]]&lt;5000,"3000 - 4999",TRUE,"5000 &amp; above")</f>
        <v>Under 1000</v>
      </c>
      <c r="K1306">
        <f>IF(COUNTIFS(INDEX(Table_Sales[order_id],1):Table_Sales[[#This Row],[order_id]],Table_Sales[[#This Row],[order_id]])=1,1,0)</f>
        <v>0</v>
      </c>
      <c r="L130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307" spans="1:12" x14ac:dyDescent="0.25">
      <c r="A1307" t="s">
        <v>72</v>
      </c>
      <c r="B1307" s="1">
        <v>26</v>
      </c>
      <c r="C1307" s="1">
        <v>7</v>
      </c>
      <c r="D1307">
        <v>4</v>
      </c>
      <c r="E1307" t="s">
        <v>23</v>
      </c>
      <c r="F1307" t="s">
        <v>30</v>
      </c>
      <c r="G1307" t="s">
        <v>10</v>
      </c>
      <c r="H1307">
        <f>IF(Table_Sales[[#This Row],[profit]]&lt;0,1,0)</f>
        <v>0</v>
      </c>
      <c r="I1307" t="str" cm="1">
        <f t="array" ref="I1307">_xlfn.IFS(Table_Sales[[#This Row],[quantity]]&lt;=3,"1-3",Table_Sales[[#This Row],[quantity]]&lt;=7,"2-7",Table_Sales[[#This Row],[quantity]]&lt;=10,"8-10",TRUE,"11 and above")</f>
        <v>2-7</v>
      </c>
      <c r="J1307" t="str" cm="1">
        <f t="array" ref="J1307">_xlfn.IFS(Table_Sales[[#This Row],[amount]]&lt;1000,"Under 1000",Table_Sales[[#This Row],[amount]]&lt;3000,"1000 - 2999",Table_Sales[[#This Row],[amount]]&lt;5000,"3000 - 4999",TRUE,"5000 &amp; above")</f>
        <v>Under 1000</v>
      </c>
      <c r="K1307">
        <f>IF(COUNTIFS(INDEX(Table_Sales[order_id],1):Table_Sales[[#This Row],[order_id]],Table_Sales[[#This Row],[order_id]])=1,1,0)</f>
        <v>0</v>
      </c>
      <c r="L130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308" spans="1:12" x14ac:dyDescent="0.25">
      <c r="A1308" t="s">
        <v>88</v>
      </c>
      <c r="B1308" s="1">
        <v>676</v>
      </c>
      <c r="C1308" s="1">
        <v>195</v>
      </c>
      <c r="D1308">
        <v>5</v>
      </c>
      <c r="E1308" t="s">
        <v>12</v>
      </c>
      <c r="F1308" t="s">
        <v>16</v>
      </c>
      <c r="G1308" t="s">
        <v>82</v>
      </c>
      <c r="H1308">
        <f>IF(Table_Sales[[#This Row],[profit]]&lt;0,1,0)</f>
        <v>0</v>
      </c>
      <c r="I1308" t="str" cm="1">
        <f t="array" ref="I1308">_xlfn.IFS(Table_Sales[[#This Row],[quantity]]&lt;=3,"1-3",Table_Sales[[#This Row],[quantity]]&lt;=7,"2-7",Table_Sales[[#This Row],[quantity]]&lt;=10,"8-10",TRUE,"11 and above")</f>
        <v>2-7</v>
      </c>
      <c r="J1308" t="str" cm="1">
        <f t="array" ref="J1308">_xlfn.IFS(Table_Sales[[#This Row],[amount]]&lt;1000,"Under 1000",Table_Sales[[#This Row],[amount]]&lt;3000,"1000 - 2999",Table_Sales[[#This Row],[amount]]&lt;5000,"3000 - 4999",TRUE,"5000 &amp; above")</f>
        <v>Under 1000</v>
      </c>
      <c r="K1308">
        <f>IF(COUNTIFS(INDEX(Table_Sales[order_id],1):Table_Sales[[#This Row],[order_id]],Table_Sales[[#This Row],[order_id]])=1,1,0)</f>
        <v>0</v>
      </c>
      <c r="L130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309" spans="1:12" x14ac:dyDescent="0.25">
      <c r="A1309" t="s">
        <v>509</v>
      </c>
      <c r="B1309" s="1">
        <v>26</v>
      </c>
      <c r="C1309" s="1">
        <v>12</v>
      </c>
      <c r="D1309">
        <v>3</v>
      </c>
      <c r="E1309" t="s">
        <v>23</v>
      </c>
      <c r="F1309" t="s">
        <v>30</v>
      </c>
      <c r="G1309" t="s">
        <v>10</v>
      </c>
      <c r="H1309">
        <f>IF(Table_Sales[[#This Row],[profit]]&lt;0,1,0)</f>
        <v>0</v>
      </c>
      <c r="I1309" t="str" cm="1">
        <f t="array" ref="I1309">_xlfn.IFS(Table_Sales[[#This Row],[quantity]]&lt;=3,"1-3",Table_Sales[[#This Row],[quantity]]&lt;=7,"2-7",Table_Sales[[#This Row],[quantity]]&lt;=10,"8-10",TRUE,"11 and above")</f>
        <v>1-3</v>
      </c>
      <c r="J1309" t="str" cm="1">
        <f t="array" ref="J1309">_xlfn.IFS(Table_Sales[[#This Row],[amount]]&lt;1000,"Under 1000",Table_Sales[[#This Row],[amount]]&lt;3000,"1000 - 2999",Table_Sales[[#This Row],[amount]]&lt;5000,"3000 - 4999",TRUE,"5000 &amp; above")</f>
        <v>Under 1000</v>
      </c>
      <c r="K1309">
        <f>IF(COUNTIFS(INDEX(Table_Sales[order_id],1):Table_Sales[[#This Row],[order_id]],Table_Sales[[#This Row],[order_id]])=1,1,0)</f>
        <v>1</v>
      </c>
      <c r="L130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310" spans="1:12" x14ac:dyDescent="0.25">
      <c r="A1310" t="s">
        <v>66</v>
      </c>
      <c r="B1310" s="1">
        <v>26</v>
      </c>
      <c r="C1310" s="1">
        <v>-24</v>
      </c>
      <c r="D1310">
        <v>1</v>
      </c>
      <c r="E1310" t="s">
        <v>23</v>
      </c>
      <c r="F1310" t="s">
        <v>57</v>
      </c>
      <c r="G1310" t="s">
        <v>10</v>
      </c>
      <c r="H1310">
        <f>IF(Table_Sales[[#This Row],[profit]]&lt;0,1,0)</f>
        <v>1</v>
      </c>
      <c r="I1310" t="str" cm="1">
        <f t="array" ref="I1310">_xlfn.IFS(Table_Sales[[#This Row],[quantity]]&lt;=3,"1-3",Table_Sales[[#This Row],[quantity]]&lt;=7,"2-7",Table_Sales[[#This Row],[quantity]]&lt;=10,"8-10",TRUE,"11 and above")</f>
        <v>1-3</v>
      </c>
      <c r="J1310" t="str" cm="1">
        <f t="array" ref="J1310">_xlfn.IFS(Table_Sales[[#This Row],[amount]]&lt;1000,"Under 1000",Table_Sales[[#This Row],[amount]]&lt;3000,"1000 - 2999",Table_Sales[[#This Row],[amount]]&lt;5000,"3000 - 4999",TRUE,"5000 &amp; above")</f>
        <v>Under 1000</v>
      </c>
      <c r="K1310">
        <f>IF(COUNTIFS(INDEX(Table_Sales[order_id],1):Table_Sales[[#This Row],[order_id]],Table_Sales[[#This Row],[order_id]])=1,1,0)</f>
        <v>0</v>
      </c>
      <c r="L131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311" spans="1:12" x14ac:dyDescent="0.25">
      <c r="A1311" t="s">
        <v>122</v>
      </c>
      <c r="B1311" s="1">
        <v>25</v>
      </c>
      <c r="C1311" s="1">
        <v>7</v>
      </c>
      <c r="D1311">
        <v>2</v>
      </c>
      <c r="E1311" t="s">
        <v>23</v>
      </c>
      <c r="F1311" t="s">
        <v>57</v>
      </c>
      <c r="G1311" t="s">
        <v>10</v>
      </c>
      <c r="H1311">
        <f>IF(Table_Sales[[#This Row],[profit]]&lt;0,1,0)</f>
        <v>0</v>
      </c>
      <c r="I1311" t="str" cm="1">
        <f t="array" ref="I1311">_xlfn.IFS(Table_Sales[[#This Row],[quantity]]&lt;=3,"1-3",Table_Sales[[#This Row],[quantity]]&lt;=7,"2-7",Table_Sales[[#This Row],[quantity]]&lt;=10,"8-10",TRUE,"11 and above")</f>
        <v>1-3</v>
      </c>
      <c r="J1311" t="str" cm="1">
        <f t="array" ref="J1311">_xlfn.IFS(Table_Sales[[#This Row],[amount]]&lt;1000,"Under 1000",Table_Sales[[#This Row],[amount]]&lt;3000,"1000 - 2999",Table_Sales[[#This Row],[amount]]&lt;5000,"3000 - 4999",TRUE,"5000 &amp; above")</f>
        <v>Under 1000</v>
      </c>
      <c r="K1311">
        <f>IF(COUNTIFS(INDEX(Table_Sales[order_id],1):Table_Sales[[#This Row],[order_id]],Table_Sales[[#This Row],[order_id]])=1,1,0)</f>
        <v>0</v>
      </c>
      <c r="L131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312" spans="1:12" x14ac:dyDescent="0.25">
      <c r="A1312" t="s">
        <v>149</v>
      </c>
      <c r="B1312" s="1">
        <v>24</v>
      </c>
      <c r="C1312" s="1">
        <v>-30</v>
      </c>
      <c r="D1312">
        <v>1</v>
      </c>
      <c r="E1312" t="s">
        <v>12</v>
      </c>
      <c r="F1312" t="s">
        <v>13</v>
      </c>
      <c r="G1312" t="s">
        <v>10</v>
      </c>
      <c r="H1312">
        <f>IF(Table_Sales[[#This Row],[profit]]&lt;0,1,0)</f>
        <v>1</v>
      </c>
      <c r="I1312" t="str" cm="1">
        <f t="array" ref="I1312">_xlfn.IFS(Table_Sales[[#This Row],[quantity]]&lt;=3,"1-3",Table_Sales[[#This Row],[quantity]]&lt;=7,"2-7",Table_Sales[[#This Row],[quantity]]&lt;=10,"8-10",TRUE,"11 and above")</f>
        <v>1-3</v>
      </c>
      <c r="J1312" t="str" cm="1">
        <f t="array" ref="J1312">_xlfn.IFS(Table_Sales[[#This Row],[amount]]&lt;1000,"Under 1000",Table_Sales[[#This Row],[amount]]&lt;3000,"1000 - 2999",Table_Sales[[#This Row],[amount]]&lt;5000,"3000 - 4999",TRUE,"5000 &amp; above")</f>
        <v>Under 1000</v>
      </c>
      <c r="K1312">
        <f>IF(COUNTIFS(INDEX(Table_Sales[order_id],1):Table_Sales[[#This Row],[order_id]],Table_Sales[[#This Row],[order_id]])=1,1,0)</f>
        <v>0</v>
      </c>
      <c r="L131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313" spans="1:12" x14ac:dyDescent="0.25">
      <c r="A1313" t="s">
        <v>223</v>
      </c>
      <c r="B1313" s="1">
        <v>32</v>
      </c>
      <c r="C1313" s="1">
        <v>-12</v>
      </c>
      <c r="D1313">
        <v>1</v>
      </c>
      <c r="E1313" t="s">
        <v>12</v>
      </c>
      <c r="F1313" t="s">
        <v>13</v>
      </c>
      <c r="G1313" t="s">
        <v>19</v>
      </c>
      <c r="H1313">
        <f>IF(Table_Sales[[#This Row],[profit]]&lt;0,1,0)</f>
        <v>1</v>
      </c>
      <c r="I1313" t="str" cm="1">
        <f t="array" ref="I1313">_xlfn.IFS(Table_Sales[[#This Row],[quantity]]&lt;=3,"1-3",Table_Sales[[#This Row],[quantity]]&lt;=7,"2-7",Table_Sales[[#This Row],[quantity]]&lt;=10,"8-10",TRUE,"11 and above")</f>
        <v>1-3</v>
      </c>
      <c r="J1313" t="str" cm="1">
        <f t="array" ref="J1313">_xlfn.IFS(Table_Sales[[#This Row],[amount]]&lt;1000,"Under 1000",Table_Sales[[#This Row],[amount]]&lt;3000,"1000 - 2999",Table_Sales[[#This Row],[amount]]&lt;5000,"3000 - 4999",TRUE,"5000 &amp; above")</f>
        <v>Under 1000</v>
      </c>
      <c r="K1313">
        <f>IF(COUNTIFS(INDEX(Table_Sales[order_id],1):Table_Sales[[#This Row],[order_id]],Table_Sales[[#This Row],[order_id]])=1,1,0)</f>
        <v>0</v>
      </c>
      <c r="L131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314" spans="1:12" x14ac:dyDescent="0.25">
      <c r="A1314" t="s">
        <v>135</v>
      </c>
      <c r="B1314" s="1">
        <v>31</v>
      </c>
      <c r="C1314" s="1">
        <v>-2</v>
      </c>
      <c r="D1314">
        <v>2</v>
      </c>
      <c r="E1314" t="s">
        <v>23</v>
      </c>
      <c r="F1314" t="s">
        <v>26</v>
      </c>
      <c r="G1314" t="s">
        <v>19</v>
      </c>
      <c r="H1314">
        <f>IF(Table_Sales[[#This Row],[profit]]&lt;0,1,0)</f>
        <v>1</v>
      </c>
      <c r="I1314" t="str" cm="1">
        <f t="array" ref="I1314">_xlfn.IFS(Table_Sales[[#This Row],[quantity]]&lt;=3,"1-3",Table_Sales[[#This Row],[quantity]]&lt;=7,"2-7",Table_Sales[[#This Row],[quantity]]&lt;=10,"8-10",TRUE,"11 and above")</f>
        <v>1-3</v>
      </c>
      <c r="J1314" t="str" cm="1">
        <f t="array" ref="J1314">_xlfn.IFS(Table_Sales[[#This Row],[amount]]&lt;1000,"Under 1000",Table_Sales[[#This Row],[amount]]&lt;3000,"1000 - 2999",Table_Sales[[#This Row],[amount]]&lt;5000,"3000 - 4999",TRUE,"5000 &amp; above")</f>
        <v>Under 1000</v>
      </c>
      <c r="K1314">
        <f>IF(COUNTIFS(INDEX(Table_Sales[order_id],1):Table_Sales[[#This Row],[order_id]],Table_Sales[[#This Row],[order_id]])=1,1,0)</f>
        <v>0</v>
      </c>
      <c r="L131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315" spans="1:12" x14ac:dyDescent="0.25">
      <c r="A1315" t="s">
        <v>123</v>
      </c>
      <c r="B1315" s="1">
        <v>651</v>
      </c>
      <c r="C1315" s="1">
        <v>169</v>
      </c>
      <c r="D1315">
        <v>5</v>
      </c>
      <c r="E1315" t="s">
        <v>8</v>
      </c>
      <c r="F1315" t="s">
        <v>18</v>
      </c>
      <c r="G1315" t="s">
        <v>10</v>
      </c>
      <c r="H1315">
        <f>IF(Table_Sales[[#This Row],[profit]]&lt;0,1,0)</f>
        <v>0</v>
      </c>
      <c r="I1315" t="str" cm="1">
        <f t="array" ref="I1315">_xlfn.IFS(Table_Sales[[#This Row],[quantity]]&lt;=3,"1-3",Table_Sales[[#This Row],[quantity]]&lt;=7,"2-7",Table_Sales[[#This Row],[quantity]]&lt;=10,"8-10",TRUE,"11 and above")</f>
        <v>2-7</v>
      </c>
      <c r="J1315" t="str" cm="1">
        <f t="array" ref="J1315">_xlfn.IFS(Table_Sales[[#This Row],[amount]]&lt;1000,"Under 1000",Table_Sales[[#This Row],[amount]]&lt;3000,"1000 - 2999",Table_Sales[[#This Row],[amount]]&lt;5000,"3000 - 4999",TRUE,"5000 &amp; above")</f>
        <v>Under 1000</v>
      </c>
      <c r="K1315">
        <f>IF(COUNTIFS(INDEX(Table_Sales[order_id],1):Table_Sales[[#This Row],[order_id]],Table_Sales[[#This Row],[order_id]])=1,1,0)</f>
        <v>0</v>
      </c>
      <c r="L131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316" spans="1:12" x14ac:dyDescent="0.25">
      <c r="A1316" t="s">
        <v>309</v>
      </c>
      <c r="B1316" s="1">
        <v>326</v>
      </c>
      <c r="C1316" s="1">
        <v>107</v>
      </c>
      <c r="D1316">
        <v>3</v>
      </c>
      <c r="E1316" t="s">
        <v>12</v>
      </c>
      <c r="F1316" t="s">
        <v>131</v>
      </c>
      <c r="G1316" t="s">
        <v>28</v>
      </c>
      <c r="H1316">
        <f>IF(Table_Sales[[#This Row],[profit]]&lt;0,1,0)</f>
        <v>0</v>
      </c>
      <c r="I1316" t="str" cm="1">
        <f t="array" ref="I1316">_xlfn.IFS(Table_Sales[[#This Row],[quantity]]&lt;=3,"1-3",Table_Sales[[#This Row],[quantity]]&lt;=7,"2-7",Table_Sales[[#This Row],[quantity]]&lt;=10,"8-10",TRUE,"11 and above")</f>
        <v>1-3</v>
      </c>
      <c r="J1316" t="str" cm="1">
        <f t="array" ref="J1316">_xlfn.IFS(Table_Sales[[#This Row],[amount]]&lt;1000,"Under 1000",Table_Sales[[#This Row],[amount]]&lt;3000,"1000 - 2999",Table_Sales[[#This Row],[amount]]&lt;5000,"3000 - 4999",TRUE,"5000 &amp; above")</f>
        <v>Under 1000</v>
      </c>
      <c r="K1316">
        <f>IF(COUNTIFS(INDEX(Table_Sales[order_id],1):Table_Sales[[#This Row],[order_id]],Table_Sales[[#This Row],[order_id]])=1,1,0)</f>
        <v>0</v>
      </c>
      <c r="L131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317" spans="1:12" x14ac:dyDescent="0.25">
      <c r="A1317" t="s">
        <v>388</v>
      </c>
      <c r="B1317" s="1">
        <v>30</v>
      </c>
      <c r="C1317" s="1">
        <v>-6</v>
      </c>
      <c r="D1317">
        <v>2</v>
      </c>
      <c r="E1317" t="s">
        <v>23</v>
      </c>
      <c r="F1317" t="s">
        <v>30</v>
      </c>
      <c r="G1317" t="s">
        <v>28</v>
      </c>
      <c r="H1317">
        <f>IF(Table_Sales[[#This Row],[profit]]&lt;0,1,0)</f>
        <v>1</v>
      </c>
      <c r="I1317" t="str" cm="1">
        <f t="array" ref="I1317">_xlfn.IFS(Table_Sales[[#This Row],[quantity]]&lt;=3,"1-3",Table_Sales[[#This Row],[quantity]]&lt;=7,"2-7",Table_Sales[[#This Row],[quantity]]&lt;=10,"8-10",TRUE,"11 and above")</f>
        <v>1-3</v>
      </c>
      <c r="J1317" t="str" cm="1">
        <f t="array" ref="J1317">_xlfn.IFS(Table_Sales[[#This Row],[amount]]&lt;1000,"Under 1000",Table_Sales[[#This Row],[amount]]&lt;3000,"1000 - 2999",Table_Sales[[#This Row],[amount]]&lt;5000,"3000 - 4999",TRUE,"5000 &amp; above")</f>
        <v>Under 1000</v>
      </c>
      <c r="K1317">
        <f>IF(COUNTIFS(INDEX(Table_Sales[order_id],1):Table_Sales[[#This Row],[order_id]],Table_Sales[[#This Row],[order_id]])=1,1,0)</f>
        <v>0</v>
      </c>
      <c r="L131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318" spans="1:12" x14ac:dyDescent="0.25">
      <c r="A1318" t="s">
        <v>179</v>
      </c>
      <c r="B1318" s="1">
        <v>30</v>
      </c>
      <c r="C1318" s="1">
        <v>5</v>
      </c>
      <c r="D1318">
        <v>2</v>
      </c>
      <c r="E1318" t="s">
        <v>23</v>
      </c>
      <c r="F1318" t="s">
        <v>32</v>
      </c>
      <c r="G1318" t="s">
        <v>28</v>
      </c>
      <c r="H1318">
        <f>IF(Table_Sales[[#This Row],[profit]]&lt;0,1,0)</f>
        <v>0</v>
      </c>
      <c r="I1318" t="str" cm="1">
        <f t="array" ref="I1318">_xlfn.IFS(Table_Sales[[#This Row],[quantity]]&lt;=3,"1-3",Table_Sales[[#This Row],[quantity]]&lt;=7,"2-7",Table_Sales[[#This Row],[quantity]]&lt;=10,"8-10",TRUE,"11 and above")</f>
        <v>1-3</v>
      </c>
      <c r="J1318" t="str" cm="1">
        <f t="array" ref="J1318">_xlfn.IFS(Table_Sales[[#This Row],[amount]]&lt;1000,"Under 1000",Table_Sales[[#This Row],[amount]]&lt;3000,"1000 - 2999",Table_Sales[[#This Row],[amount]]&lt;5000,"3000 - 4999",TRUE,"5000 &amp; above")</f>
        <v>Under 1000</v>
      </c>
      <c r="K1318">
        <f>IF(COUNTIFS(INDEX(Table_Sales[order_id],1):Table_Sales[[#This Row],[order_id]],Table_Sales[[#This Row],[order_id]])=1,1,0)</f>
        <v>0</v>
      </c>
      <c r="L131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319" spans="1:12" x14ac:dyDescent="0.25">
      <c r="A1319" t="s">
        <v>510</v>
      </c>
      <c r="B1319" s="1">
        <v>662</v>
      </c>
      <c r="C1319" s="1">
        <v>240</v>
      </c>
      <c r="D1319">
        <v>2</v>
      </c>
      <c r="E1319" t="s">
        <v>12</v>
      </c>
      <c r="F1319" t="s">
        <v>16</v>
      </c>
      <c r="G1319" t="s">
        <v>10</v>
      </c>
      <c r="H1319">
        <f>IF(Table_Sales[[#This Row],[profit]]&lt;0,1,0)</f>
        <v>0</v>
      </c>
      <c r="I1319" t="str" cm="1">
        <f t="array" ref="I1319">_xlfn.IFS(Table_Sales[[#This Row],[quantity]]&lt;=3,"1-3",Table_Sales[[#This Row],[quantity]]&lt;=7,"2-7",Table_Sales[[#This Row],[quantity]]&lt;=10,"8-10",TRUE,"11 and above")</f>
        <v>1-3</v>
      </c>
      <c r="J1319" t="str" cm="1">
        <f t="array" ref="J1319">_xlfn.IFS(Table_Sales[[#This Row],[amount]]&lt;1000,"Under 1000",Table_Sales[[#This Row],[amount]]&lt;3000,"1000 - 2999",Table_Sales[[#This Row],[amount]]&lt;5000,"3000 - 4999",TRUE,"5000 &amp; above")</f>
        <v>Under 1000</v>
      </c>
      <c r="K1319">
        <f>IF(COUNTIFS(INDEX(Table_Sales[order_id],1):Table_Sales[[#This Row],[order_id]],Table_Sales[[#This Row],[order_id]])=1,1,0)</f>
        <v>1</v>
      </c>
      <c r="L131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320" spans="1:12" x14ac:dyDescent="0.25">
      <c r="A1320" t="s">
        <v>54</v>
      </c>
      <c r="B1320" s="1">
        <v>30</v>
      </c>
      <c r="C1320" s="1">
        <v>-23</v>
      </c>
      <c r="D1320">
        <v>2</v>
      </c>
      <c r="E1320" t="s">
        <v>23</v>
      </c>
      <c r="F1320" t="s">
        <v>26</v>
      </c>
      <c r="G1320" t="s">
        <v>28</v>
      </c>
      <c r="H1320">
        <f>IF(Table_Sales[[#This Row],[profit]]&lt;0,1,0)</f>
        <v>1</v>
      </c>
      <c r="I1320" t="str" cm="1">
        <f t="array" ref="I1320">_xlfn.IFS(Table_Sales[[#This Row],[quantity]]&lt;=3,"1-3",Table_Sales[[#This Row],[quantity]]&lt;=7,"2-7",Table_Sales[[#This Row],[quantity]]&lt;=10,"8-10",TRUE,"11 and above")</f>
        <v>1-3</v>
      </c>
      <c r="J1320" t="str" cm="1">
        <f t="array" ref="J1320">_xlfn.IFS(Table_Sales[[#This Row],[amount]]&lt;1000,"Under 1000",Table_Sales[[#This Row],[amount]]&lt;3000,"1000 - 2999",Table_Sales[[#This Row],[amount]]&lt;5000,"3000 - 4999",TRUE,"5000 &amp; above")</f>
        <v>Under 1000</v>
      </c>
      <c r="K1320">
        <f>IF(COUNTIFS(INDEX(Table_Sales[order_id],1):Table_Sales[[#This Row],[order_id]],Table_Sales[[#This Row],[order_id]])=1,1,0)</f>
        <v>0</v>
      </c>
      <c r="L132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321" spans="1:12" x14ac:dyDescent="0.25">
      <c r="A1321" t="s">
        <v>253</v>
      </c>
      <c r="B1321" s="1">
        <v>29</v>
      </c>
      <c r="C1321" s="1">
        <v>9</v>
      </c>
      <c r="D1321">
        <v>3</v>
      </c>
      <c r="E1321" t="s">
        <v>23</v>
      </c>
      <c r="F1321" t="s">
        <v>26</v>
      </c>
      <c r="G1321" t="s">
        <v>28</v>
      </c>
      <c r="H1321">
        <f>IF(Table_Sales[[#This Row],[profit]]&lt;0,1,0)</f>
        <v>0</v>
      </c>
      <c r="I1321" t="str" cm="1">
        <f t="array" ref="I1321">_xlfn.IFS(Table_Sales[[#This Row],[quantity]]&lt;=3,"1-3",Table_Sales[[#This Row],[quantity]]&lt;=7,"2-7",Table_Sales[[#This Row],[quantity]]&lt;=10,"8-10",TRUE,"11 and above")</f>
        <v>1-3</v>
      </c>
      <c r="J1321" t="str" cm="1">
        <f t="array" ref="J1321">_xlfn.IFS(Table_Sales[[#This Row],[amount]]&lt;1000,"Under 1000",Table_Sales[[#This Row],[amount]]&lt;3000,"1000 - 2999",Table_Sales[[#This Row],[amount]]&lt;5000,"3000 - 4999",TRUE,"5000 &amp; above")</f>
        <v>Under 1000</v>
      </c>
      <c r="K1321">
        <f>IF(COUNTIFS(INDEX(Table_Sales[order_id],1):Table_Sales[[#This Row],[order_id]],Table_Sales[[#This Row],[order_id]])=1,1,0)</f>
        <v>0</v>
      </c>
      <c r="L132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322" spans="1:12" x14ac:dyDescent="0.25">
      <c r="A1322" t="s">
        <v>163</v>
      </c>
      <c r="B1322" s="1">
        <v>28</v>
      </c>
      <c r="C1322" s="1">
        <v>1</v>
      </c>
      <c r="D1322">
        <v>1</v>
      </c>
      <c r="E1322" t="s">
        <v>8</v>
      </c>
      <c r="F1322" t="s">
        <v>73</v>
      </c>
      <c r="G1322" t="s">
        <v>28</v>
      </c>
      <c r="H1322">
        <f>IF(Table_Sales[[#This Row],[profit]]&lt;0,1,0)</f>
        <v>0</v>
      </c>
      <c r="I1322" t="str" cm="1">
        <f t="array" ref="I1322">_xlfn.IFS(Table_Sales[[#This Row],[quantity]]&lt;=3,"1-3",Table_Sales[[#This Row],[quantity]]&lt;=7,"2-7",Table_Sales[[#This Row],[quantity]]&lt;=10,"8-10",TRUE,"11 and above")</f>
        <v>1-3</v>
      </c>
      <c r="J1322" t="str" cm="1">
        <f t="array" ref="J1322">_xlfn.IFS(Table_Sales[[#This Row],[amount]]&lt;1000,"Under 1000",Table_Sales[[#This Row],[amount]]&lt;3000,"1000 - 2999",Table_Sales[[#This Row],[amount]]&lt;5000,"3000 - 4999",TRUE,"5000 &amp; above")</f>
        <v>Under 1000</v>
      </c>
      <c r="K1322">
        <f>IF(COUNTIFS(INDEX(Table_Sales[order_id],1):Table_Sales[[#This Row],[order_id]],Table_Sales[[#This Row],[order_id]])=1,1,0)</f>
        <v>0</v>
      </c>
      <c r="L132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323" spans="1:12" x14ac:dyDescent="0.25">
      <c r="A1323" t="s">
        <v>117</v>
      </c>
      <c r="B1323" s="1">
        <v>28</v>
      </c>
      <c r="C1323" s="1">
        <v>-3</v>
      </c>
      <c r="D1323">
        <v>2</v>
      </c>
      <c r="E1323" t="s">
        <v>23</v>
      </c>
      <c r="F1323" t="s">
        <v>26</v>
      </c>
      <c r="G1323" t="s">
        <v>28</v>
      </c>
      <c r="H1323">
        <f>IF(Table_Sales[[#This Row],[profit]]&lt;0,1,0)</f>
        <v>1</v>
      </c>
      <c r="I1323" t="str" cm="1">
        <f t="array" ref="I1323">_xlfn.IFS(Table_Sales[[#This Row],[quantity]]&lt;=3,"1-3",Table_Sales[[#This Row],[quantity]]&lt;=7,"2-7",Table_Sales[[#This Row],[quantity]]&lt;=10,"8-10",TRUE,"11 and above")</f>
        <v>1-3</v>
      </c>
      <c r="J1323" t="str" cm="1">
        <f t="array" ref="J1323">_xlfn.IFS(Table_Sales[[#This Row],[amount]]&lt;1000,"Under 1000",Table_Sales[[#This Row],[amount]]&lt;3000,"1000 - 2999",Table_Sales[[#This Row],[amount]]&lt;5000,"3000 - 4999",TRUE,"5000 &amp; above")</f>
        <v>Under 1000</v>
      </c>
      <c r="K1323">
        <f>IF(COUNTIFS(INDEX(Table_Sales[order_id],1):Table_Sales[[#This Row],[order_id]],Table_Sales[[#This Row],[order_id]])=1,1,0)</f>
        <v>0</v>
      </c>
      <c r="L132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324" spans="1:12" x14ac:dyDescent="0.25">
      <c r="A1324" t="s">
        <v>511</v>
      </c>
      <c r="B1324" s="1">
        <v>24</v>
      </c>
      <c r="C1324" s="1">
        <v>2</v>
      </c>
      <c r="D1324">
        <v>4</v>
      </c>
      <c r="E1324" t="s">
        <v>23</v>
      </c>
      <c r="F1324" t="s">
        <v>30</v>
      </c>
      <c r="G1324" t="s">
        <v>10</v>
      </c>
      <c r="H1324">
        <f>IF(Table_Sales[[#This Row],[profit]]&lt;0,1,0)</f>
        <v>0</v>
      </c>
      <c r="I1324" t="str" cm="1">
        <f t="array" ref="I1324">_xlfn.IFS(Table_Sales[[#This Row],[quantity]]&lt;=3,"1-3",Table_Sales[[#This Row],[quantity]]&lt;=7,"2-7",Table_Sales[[#This Row],[quantity]]&lt;=10,"8-10",TRUE,"11 and above")</f>
        <v>2-7</v>
      </c>
      <c r="J1324" t="str" cm="1">
        <f t="array" ref="J1324">_xlfn.IFS(Table_Sales[[#This Row],[amount]]&lt;1000,"Under 1000",Table_Sales[[#This Row],[amount]]&lt;3000,"1000 - 2999",Table_Sales[[#This Row],[amount]]&lt;5000,"3000 - 4999",TRUE,"5000 &amp; above")</f>
        <v>Under 1000</v>
      </c>
      <c r="K1324">
        <f>IF(COUNTIFS(INDEX(Table_Sales[order_id],1):Table_Sales[[#This Row],[order_id]],Table_Sales[[#This Row],[order_id]])=1,1,0)</f>
        <v>1</v>
      </c>
      <c r="L132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325" spans="1:12" x14ac:dyDescent="0.25">
      <c r="A1325" t="s">
        <v>135</v>
      </c>
      <c r="B1325" s="1">
        <v>28</v>
      </c>
      <c r="C1325" s="1">
        <v>-26</v>
      </c>
      <c r="D1325">
        <v>2</v>
      </c>
      <c r="E1325" t="s">
        <v>23</v>
      </c>
      <c r="F1325" t="s">
        <v>57</v>
      </c>
      <c r="G1325" t="s">
        <v>28</v>
      </c>
      <c r="H1325">
        <f>IF(Table_Sales[[#This Row],[profit]]&lt;0,1,0)</f>
        <v>1</v>
      </c>
      <c r="I1325" t="str" cm="1">
        <f t="array" ref="I1325">_xlfn.IFS(Table_Sales[[#This Row],[quantity]]&lt;=3,"1-3",Table_Sales[[#This Row],[quantity]]&lt;=7,"2-7",Table_Sales[[#This Row],[quantity]]&lt;=10,"8-10",TRUE,"11 and above")</f>
        <v>1-3</v>
      </c>
      <c r="J1325" t="str" cm="1">
        <f t="array" ref="J1325">_xlfn.IFS(Table_Sales[[#This Row],[amount]]&lt;1000,"Under 1000",Table_Sales[[#This Row],[amount]]&lt;3000,"1000 - 2999",Table_Sales[[#This Row],[amount]]&lt;5000,"3000 - 4999",TRUE,"5000 &amp; above")</f>
        <v>Under 1000</v>
      </c>
      <c r="K1325">
        <f>IF(COUNTIFS(INDEX(Table_Sales[order_id],1):Table_Sales[[#This Row],[order_id]],Table_Sales[[#This Row],[order_id]])=1,1,0)</f>
        <v>0</v>
      </c>
      <c r="L132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326" spans="1:12" x14ac:dyDescent="0.25">
      <c r="A1326" t="s">
        <v>275</v>
      </c>
      <c r="B1326" s="1">
        <v>27</v>
      </c>
      <c r="C1326" s="1">
        <v>5</v>
      </c>
      <c r="D1326">
        <v>1</v>
      </c>
      <c r="E1326" t="s">
        <v>23</v>
      </c>
      <c r="F1326" t="s">
        <v>57</v>
      </c>
      <c r="G1326" t="s">
        <v>28</v>
      </c>
      <c r="H1326">
        <f>IF(Table_Sales[[#This Row],[profit]]&lt;0,1,0)</f>
        <v>0</v>
      </c>
      <c r="I1326" t="str" cm="1">
        <f t="array" ref="I1326">_xlfn.IFS(Table_Sales[[#This Row],[quantity]]&lt;=3,"1-3",Table_Sales[[#This Row],[quantity]]&lt;=7,"2-7",Table_Sales[[#This Row],[quantity]]&lt;=10,"8-10",TRUE,"11 and above")</f>
        <v>1-3</v>
      </c>
      <c r="J1326" t="str" cm="1">
        <f t="array" ref="J1326">_xlfn.IFS(Table_Sales[[#This Row],[amount]]&lt;1000,"Under 1000",Table_Sales[[#This Row],[amount]]&lt;3000,"1000 - 2999",Table_Sales[[#This Row],[amount]]&lt;5000,"3000 - 4999",TRUE,"5000 &amp; above")</f>
        <v>Under 1000</v>
      </c>
      <c r="K1326">
        <f>IF(COUNTIFS(INDEX(Table_Sales[order_id],1):Table_Sales[[#This Row],[order_id]],Table_Sales[[#This Row],[order_id]])=1,1,0)</f>
        <v>0</v>
      </c>
      <c r="L132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327" spans="1:12" x14ac:dyDescent="0.25">
      <c r="A1327" t="s">
        <v>512</v>
      </c>
      <c r="B1327" s="1">
        <v>27</v>
      </c>
      <c r="C1327" s="1">
        <v>-15</v>
      </c>
      <c r="D1327">
        <v>1</v>
      </c>
      <c r="E1327" t="s">
        <v>23</v>
      </c>
      <c r="F1327" t="s">
        <v>57</v>
      </c>
      <c r="G1327" t="s">
        <v>28</v>
      </c>
      <c r="H1327">
        <f>IF(Table_Sales[[#This Row],[profit]]&lt;0,1,0)</f>
        <v>1</v>
      </c>
      <c r="I1327" t="str" cm="1">
        <f t="array" ref="I1327">_xlfn.IFS(Table_Sales[[#This Row],[quantity]]&lt;=3,"1-3",Table_Sales[[#This Row],[quantity]]&lt;=7,"2-7",Table_Sales[[#This Row],[quantity]]&lt;=10,"8-10",TRUE,"11 and above")</f>
        <v>1-3</v>
      </c>
      <c r="J1327" t="str" cm="1">
        <f t="array" ref="J1327">_xlfn.IFS(Table_Sales[[#This Row],[amount]]&lt;1000,"Under 1000",Table_Sales[[#This Row],[amount]]&lt;3000,"1000 - 2999",Table_Sales[[#This Row],[amount]]&lt;5000,"3000 - 4999",TRUE,"5000 &amp; above")</f>
        <v>Under 1000</v>
      </c>
      <c r="K1327">
        <f>IF(COUNTIFS(INDEX(Table_Sales[order_id],1):Table_Sales[[#This Row],[order_id]],Table_Sales[[#This Row],[order_id]])=1,1,0)</f>
        <v>1</v>
      </c>
      <c r="L132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328" spans="1:12" x14ac:dyDescent="0.25">
      <c r="A1328" t="s">
        <v>383</v>
      </c>
      <c r="B1328" s="1">
        <v>24</v>
      </c>
      <c r="C1328" s="1">
        <v>11</v>
      </c>
      <c r="D1328">
        <v>3</v>
      </c>
      <c r="E1328" t="s">
        <v>23</v>
      </c>
      <c r="F1328" t="s">
        <v>30</v>
      </c>
      <c r="G1328" t="s">
        <v>10</v>
      </c>
      <c r="H1328">
        <f>IF(Table_Sales[[#This Row],[profit]]&lt;0,1,0)</f>
        <v>0</v>
      </c>
      <c r="I1328" t="str" cm="1">
        <f t="array" ref="I1328">_xlfn.IFS(Table_Sales[[#This Row],[quantity]]&lt;=3,"1-3",Table_Sales[[#This Row],[quantity]]&lt;=7,"2-7",Table_Sales[[#This Row],[quantity]]&lt;=10,"8-10",TRUE,"11 and above")</f>
        <v>1-3</v>
      </c>
      <c r="J1328" t="str" cm="1">
        <f t="array" ref="J1328">_xlfn.IFS(Table_Sales[[#This Row],[amount]]&lt;1000,"Under 1000",Table_Sales[[#This Row],[amount]]&lt;3000,"1000 - 2999",Table_Sales[[#This Row],[amount]]&lt;5000,"3000 - 4999",TRUE,"5000 &amp; above")</f>
        <v>Under 1000</v>
      </c>
      <c r="K1328">
        <f>IF(COUNTIFS(INDEX(Table_Sales[order_id],1):Table_Sales[[#This Row],[order_id]],Table_Sales[[#This Row],[order_id]])=1,1,0)</f>
        <v>0</v>
      </c>
      <c r="L132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329" spans="1:12" x14ac:dyDescent="0.25">
      <c r="A1329" t="s">
        <v>266</v>
      </c>
      <c r="B1329" s="1">
        <v>23</v>
      </c>
      <c r="C1329" s="1">
        <v>-6</v>
      </c>
      <c r="D1329">
        <v>4</v>
      </c>
      <c r="E1329" t="s">
        <v>23</v>
      </c>
      <c r="F1329" t="s">
        <v>30</v>
      </c>
      <c r="G1329" t="s">
        <v>10</v>
      </c>
      <c r="H1329">
        <f>IF(Table_Sales[[#This Row],[profit]]&lt;0,1,0)</f>
        <v>1</v>
      </c>
      <c r="I1329" t="str" cm="1">
        <f t="array" ref="I1329">_xlfn.IFS(Table_Sales[[#This Row],[quantity]]&lt;=3,"1-3",Table_Sales[[#This Row],[quantity]]&lt;=7,"2-7",Table_Sales[[#This Row],[quantity]]&lt;=10,"8-10",TRUE,"11 and above")</f>
        <v>2-7</v>
      </c>
      <c r="J1329" t="str" cm="1">
        <f t="array" ref="J1329">_xlfn.IFS(Table_Sales[[#This Row],[amount]]&lt;1000,"Under 1000",Table_Sales[[#This Row],[amount]]&lt;3000,"1000 - 2999",Table_Sales[[#This Row],[amount]]&lt;5000,"3000 - 4999",TRUE,"5000 &amp; above")</f>
        <v>Under 1000</v>
      </c>
      <c r="K1329">
        <f>IF(COUNTIFS(INDEX(Table_Sales[order_id],1):Table_Sales[[#This Row],[order_id]],Table_Sales[[#This Row],[order_id]])=1,1,0)</f>
        <v>0</v>
      </c>
      <c r="L132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330" spans="1:12" x14ac:dyDescent="0.25">
      <c r="A1330" t="s">
        <v>99</v>
      </c>
      <c r="B1330" s="1">
        <v>322</v>
      </c>
      <c r="C1330" s="1">
        <v>193</v>
      </c>
      <c r="D1330">
        <v>5</v>
      </c>
      <c r="E1330" t="s">
        <v>8</v>
      </c>
      <c r="F1330" t="s">
        <v>18</v>
      </c>
      <c r="G1330" t="s">
        <v>10</v>
      </c>
      <c r="H1330">
        <f>IF(Table_Sales[[#This Row],[profit]]&lt;0,1,0)</f>
        <v>0</v>
      </c>
      <c r="I1330" t="str" cm="1">
        <f t="array" ref="I1330">_xlfn.IFS(Table_Sales[[#This Row],[quantity]]&lt;=3,"1-3",Table_Sales[[#This Row],[quantity]]&lt;=7,"2-7",Table_Sales[[#This Row],[quantity]]&lt;=10,"8-10",TRUE,"11 and above")</f>
        <v>2-7</v>
      </c>
      <c r="J1330" t="str" cm="1">
        <f t="array" ref="J1330">_xlfn.IFS(Table_Sales[[#This Row],[amount]]&lt;1000,"Under 1000",Table_Sales[[#This Row],[amount]]&lt;3000,"1000 - 2999",Table_Sales[[#This Row],[amount]]&lt;5000,"3000 - 4999",TRUE,"5000 &amp; above")</f>
        <v>Under 1000</v>
      </c>
      <c r="K1330">
        <f>IF(COUNTIFS(INDEX(Table_Sales[order_id],1):Table_Sales[[#This Row],[order_id]],Table_Sales[[#This Row],[order_id]])=1,1,0)</f>
        <v>0</v>
      </c>
      <c r="L133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331" spans="1:12" x14ac:dyDescent="0.25">
      <c r="A1331" t="s">
        <v>202</v>
      </c>
      <c r="B1331" s="1">
        <v>688</v>
      </c>
      <c r="C1331" s="1">
        <v>-103</v>
      </c>
      <c r="D1331">
        <v>6</v>
      </c>
      <c r="E1331" t="s">
        <v>8</v>
      </c>
      <c r="F1331" t="s">
        <v>73</v>
      </c>
      <c r="G1331" t="s">
        <v>82</v>
      </c>
      <c r="H1331">
        <f>IF(Table_Sales[[#This Row],[profit]]&lt;0,1,0)</f>
        <v>1</v>
      </c>
      <c r="I1331" t="str" cm="1">
        <f t="array" ref="I1331">_xlfn.IFS(Table_Sales[[#This Row],[quantity]]&lt;=3,"1-3",Table_Sales[[#This Row],[quantity]]&lt;=7,"2-7",Table_Sales[[#This Row],[quantity]]&lt;=10,"8-10",TRUE,"11 and above")</f>
        <v>2-7</v>
      </c>
      <c r="J1331" t="str" cm="1">
        <f t="array" ref="J1331">_xlfn.IFS(Table_Sales[[#This Row],[amount]]&lt;1000,"Under 1000",Table_Sales[[#This Row],[amount]]&lt;3000,"1000 - 2999",Table_Sales[[#This Row],[amount]]&lt;5000,"3000 - 4999",TRUE,"5000 &amp; above")</f>
        <v>Under 1000</v>
      </c>
      <c r="K1331">
        <f>IF(COUNTIFS(INDEX(Table_Sales[order_id],1):Table_Sales[[#This Row],[order_id]],Table_Sales[[#This Row],[order_id]])=1,1,0)</f>
        <v>0</v>
      </c>
      <c r="L133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332" spans="1:12" x14ac:dyDescent="0.25">
      <c r="A1332" t="s">
        <v>371</v>
      </c>
      <c r="B1332" s="1">
        <v>23</v>
      </c>
      <c r="C1332" s="1">
        <v>-3</v>
      </c>
      <c r="D1332">
        <v>1</v>
      </c>
      <c r="E1332" t="s">
        <v>23</v>
      </c>
      <c r="F1332" t="s">
        <v>142</v>
      </c>
      <c r="G1332" t="s">
        <v>10</v>
      </c>
      <c r="H1332">
        <f>IF(Table_Sales[[#This Row],[profit]]&lt;0,1,0)</f>
        <v>1</v>
      </c>
      <c r="I1332" t="str" cm="1">
        <f t="array" ref="I1332">_xlfn.IFS(Table_Sales[[#This Row],[quantity]]&lt;=3,"1-3",Table_Sales[[#This Row],[quantity]]&lt;=7,"2-7",Table_Sales[[#This Row],[quantity]]&lt;=10,"8-10",TRUE,"11 and above")</f>
        <v>1-3</v>
      </c>
      <c r="J1332" t="str" cm="1">
        <f t="array" ref="J1332">_xlfn.IFS(Table_Sales[[#This Row],[amount]]&lt;1000,"Under 1000",Table_Sales[[#This Row],[amount]]&lt;3000,"1000 - 2999",Table_Sales[[#This Row],[amount]]&lt;5000,"3000 - 4999",TRUE,"5000 &amp; above")</f>
        <v>Under 1000</v>
      </c>
      <c r="K1332">
        <f>IF(COUNTIFS(INDEX(Table_Sales[order_id],1):Table_Sales[[#This Row],[order_id]],Table_Sales[[#This Row],[order_id]])=1,1,0)</f>
        <v>0</v>
      </c>
      <c r="L133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333" spans="1:12" x14ac:dyDescent="0.25">
      <c r="A1333" t="s">
        <v>209</v>
      </c>
      <c r="B1333" s="1">
        <v>26</v>
      </c>
      <c r="C1333" s="1">
        <v>3</v>
      </c>
      <c r="D1333">
        <v>3</v>
      </c>
      <c r="E1333" t="s">
        <v>23</v>
      </c>
      <c r="F1333" t="s">
        <v>43</v>
      </c>
      <c r="G1333" t="s">
        <v>28</v>
      </c>
      <c r="H1333">
        <f>IF(Table_Sales[[#This Row],[profit]]&lt;0,1,0)</f>
        <v>0</v>
      </c>
      <c r="I1333" t="str" cm="1">
        <f t="array" ref="I1333">_xlfn.IFS(Table_Sales[[#This Row],[quantity]]&lt;=3,"1-3",Table_Sales[[#This Row],[quantity]]&lt;=7,"2-7",Table_Sales[[#This Row],[quantity]]&lt;=10,"8-10",TRUE,"11 and above")</f>
        <v>1-3</v>
      </c>
      <c r="J1333" t="str" cm="1">
        <f t="array" ref="J1333">_xlfn.IFS(Table_Sales[[#This Row],[amount]]&lt;1000,"Under 1000",Table_Sales[[#This Row],[amount]]&lt;3000,"1000 - 2999",Table_Sales[[#This Row],[amount]]&lt;5000,"3000 - 4999",TRUE,"5000 &amp; above")</f>
        <v>Under 1000</v>
      </c>
      <c r="K1333">
        <f>IF(COUNTIFS(INDEX(Table_Sales[order_id],1):Table_Sales[[#This Row],[order_id]],Table_Sales[[#This Row],[order_id]])=1,1,0)</f>
        <v>0</v>
      </c>
      <c r="L133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334" spans="1:12" x14ac:dyDescent="0.25">
      <c r="A1334" t="s">
        <v>262</v>
      </c>
      <c r="B1334" s="1">
        <v>68</v>
      </c>
      <c r="C1334" s="1">
        <v>-56</v>
      </c>
      <c r="D1334">
        <v>2</v>
      </c>
      <c r="E1334" t="s">
        <v>8</v>
      </c>
      <c r="F1334" t="s">
        <v>21</v>
      </c>
      <c r="G1334" t="s">
        <v>10</v>
      </c>
      <c r="H1334">
        <f>IF(Table_Sales[[#This Row],[profit]]&lt;0,1,0)</f>
        <v>1</v>
      </c>
      <c r="I1334" t="str" cm="1">
        <f t="array" ref="I1334">_xlfn.IFS(Table_Sales[[#This Row],[quantity]]&lt;=3,"1-3",Table_Sales[[#This Row],[quantity]]&lt;=7,"2-7",Table_Sales[[#This Row],[quantity]]&lt;=10,"8-10",TRUE,"11 and above")</f>
        <v>1-3</v>
      </c>
      <c r="J1334" t="str" cm="1">
        <f t="array" ref="J1334">_xlfn.IFS(Table_Sales[[#This Row],[amount]]&lt;1000,"Under 1000",Table_Sales[[#This Row],[amount]]&lt;3000,"1000 - 2999",Table_Sales[[#This Row],[amount]]&lt;5000,"3000 - 4999",TRUE,"5000 &amp; above")</f>
        <v>Under 1000</v>
      </c>
      <c r="K1334">
        <f>IF(COUNTIFS(INDEX(Table_Sales[order_id],1):Table_Sales[[#This Row],[order_id]],Table_Sales[[#This Row],[order_id]])=1,1,0)</f>
        <v>0</v>
      </c>
      <c r="L133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335" spans="1:12" x14ac:dyDescent="0.25">
      <c r="A1335" t="s">
        <v>392</v>
      </c>
      <c r="B1335" s="1">
        <v>462</v>
      </c>
      <c r="C1335" s="1">
        <v>169</v>
      </c>
      <c r="D1335">
        <v>4</v>
      </c>
      <c r="E1335" t="s">
        <v>23</v>
      </c>
      <c r="F1335" t="s">
        <v>26</v>
      </c>
      <c r="G1335" t="s">
        <v>10</v>
      </c>
      <c r="H1335">
        <f>IF(Table_Sales[[#This Row],[profit]]&lt;0,1,0)</f>
        <v>0</v>
      </c>
      <c r="I1335" t="str" cm="1">
        <f t="array" ref="I1335">_xlfn.IFS(Table_Sales[[#This Row],[quantity]]&lt;=3,"1-3",Table_Sales[[#This Row],[quantity]]&lt;=7,"2-7",Table_Sales[[#This Row],[quantity]]&lt;=10,"8-10",TRUE,"11 and above")</f>
        <v>2-7</v>
      </c>
      <c r="J1335" t="str" cm="1">
        <f t="array" ref="J1335">_xlfn.IFS(Table_Sales[[#This Row],[amount]]&lt;1000,"Under 1000",Table_Sales[[#This Row],[amount]]&lt;3000,"1000 - 2999",Table_Sales[[#This Row],[amount]]&lt;5000,"3000 - 4999",TRUE,"5000 &amp; above")</f>
        <v>Under 1000</v>
      </c>
      <c r="K1335">
        <f>IF(COUNTIFS(INDEX(Table_Sales[order_id],1):Table_Sales[[#This Row],[order_id]],Table_Sales[[#This Row],[order_id]])=1,1,0)</f>
        <v>0</v>
      </c>
      <c r="L133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336" spans="1:12" x14ac:dyDescent="0.25">
      <c r="A1336" t="s">
        <v>469</v>
      </c>
      <c r="B1336" s="1">
        <v>941</v>
      </c>
      <c r="C1336" s="1">
        <v>203</v>
      </c>
      <c r="D1336">
        <v>3</v>
      </c>
      <c r="E1336" t="s">
        <v>12</v>
      </c>
      <c r="F1336" t="s">
        <v>45</v>
      </c>
      <c r="G1336" t="s">
        <v>28</v>
      </c>
      <c r="H1336">
        <f>IF(Table_Sales[[#This Row],[profit]]&lt;0,1,0)</f>
        <v>0</v>
      </c>
      <c r="I1336" t="str" cm="1">
        <f t="array" ref="I1336">_xlfn.IFS(Table_Sales[[#This Row],[quantity]]&lt;=3,"1-3",Table_Sales[[#This Row],[quantity]]&lt;=7,"2-7",Table_Sales[[#This Row],[quantity]]&lt;=10,"8-10",TRUE,"11 and above")</f>
        <v>1-3</v>
      </c>
      <c r="J1336" t="str" cm="1">
        <f t="array" ref="J1336">_xlfn.IFS(Table_Sales[[#This Row],[amount]]&lt;1000,"Under 1000",Table_Sales[[#This Row],[amount]]&lt;3000,"1000 - 2999",Table_Sales[[#This Row],[amount]]&lt;5000,"3000 - 4999",TRUE,"5000 &amp; above")</f>
        <v>Under 1000</v>
      </c>
      <c r="K1336">
        <f>IF(COUNTIFS(INDEX(Table_Sales[order_id],1):Table_Sales[[#This Row],[order_id]],Table_Sales[[#This Row],[order_id]])=1,1,0)</f>
        <v>0</v>
      </c>
      <c r="L133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337" spans="1:12" x14ac:dyDescent="0.25">
      <c r="A1337" t="s">
        <v>191</v>
      </c>
      <c r="B1337" s="1">
        <v>23</v>
      </c>
      <c r="C1337" s="1">
        <v>4</v>
      </c>
      <c r="D1337">
        <v>2</v>
      </c>
      <c r="E1337" t="s">
        <v>23</v>
      </c>
      <c r="F1337" t="s">
        <v>43</v>
      </c>
      <c r="G1337" t="s">
        <v>10</v>
      </c>
      <c r="H1337">
        <f>IF(Table_Sales[[#This Row],[profit]]&lt;0,1,0)</f>
        <v>0</v>
      </c>
      <c r="I1337" t="str" cm="1">
        <f t="array" ref="I1337">_xlfn.IFS(Table_Sales[[#This Row],[quantity]]&lt;=3,"1-3",Table_Sales[[#This Row],[quantity]]&lt;=7,"2-7",Table_Sales[[#This Row],[quantity]]&lt;=10,"8-10",TRUE,"11 and above")</f>
        <v>1-3</v>
      </c>
      <c r="J1337" t="str" cm="1">
        <f t="array" ref="J1337">_xlfn.IFS(Table_Sales[[#This Row],[amount]]&lt;1000,"Under 1000",Table_Sales[[#This Row],[amount]]&lt;3000,"1000 - 2999",Table_Sales[[#This Row],[amount]]&lt;5000,"3000 - 4999",TRUE,"5000 &amp; above")</f>
        <v>Under 1000</v>
      </c>
      <c r="K1337">
        <f>IF(COUNTIFS(INDEX(Table_Sales[order_id],1):Table_Sales[[#This Row],[order_id]],Table_Sales[[#This Row],[order_id]])=1,1,0)</f>
        <v>0</v>
      </c>
      <c r="L133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338" spans="1:12" x14ac:dyDescent="0.25">
      <c r="A1338" t="s">
        <v>436</v>
      </c>
      <c r="B1338" s="1">
        <v>720</v>
      </c>
      <c r="C1338" s="1">
        <v>43</v>
      </c>
      <c r="D1338">
        <v>2</v>
      </c>
      <c r="E1338" t="s">
        <v>8</v>
      </c>
      <c r="F1338" t="s">
        <v>18</v>
      </c>
      <c r="G1338" t="s">
        <v>28</v>
      </c>
      <c r="H1338">
        <f>IF(Table_Sales[[#This Row],[profit]]&lt;0,1,0)</f>
        <v>0</v>
      </c>
      <c r="I1338" t="str" cm="1">
        <f t="array" ref="I1338">_xlfn.IFS(Table_Sales[[#This Row],[quantity]]&lt;=3,"1-3",Table_Sales[[#This Row],[quantity]]&lt;=7,"2-7",Table_Sales[[#This Row],[quantity]]&lt;=10,"8-10",TRUE,"11 and above")</f>
        <v>1-3</v>
      </c>
      <c r="J1338" t="str" cm="1">
        <f t="array" ref="J1338">_xlfn.IFS(Table_Sales[[#This Row],[amount]]&lt;1000,"Under 1000",Table_Sales[[#This Row],[amount]]&lt;3000,"1000 - 2999",Table_Sales[[#This Row],[amount]]&lt;5000,"3000 - 4999",TRUE,"5000 &amp; above")</f>
        <v>Under 1000</v>
      </c>
      <c r="K1338">
        <f>IF(COUNTIFS(INDEX(Table_Sales[order_id],1):Table_Sales[[#This Row],[order_id]],Table_Sales[[#This Row],[order_id]])=1,1,0)</f>
        <v>0</v>
      </c>
      <c r="L133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339" spans="1:12" x14ac:dyDescent="0.25">
      <c r="A1339" t="s">
        <v>52</v>
      </c>
      <c r="B1339" s="1">
        <v>724</v>
      </c>
      <c r="C1339" s="1">
        <v>-447</v>
      </c>
      <c r="D1339">
        <v>4</v>
      </c>
      <c r="E1339" t="s">
        <v>8</v>
      </c>
      <c r="F1339" t="s">
        <v>9</v>
      </c>
      <c r="G1339" t="s">
        <v>28</v>
      </c>
      <c r="H1339">
        <f>IF(Table_Sales[[#This Row],[profit]]&lt;0,1,0)</f>
        <v>1</v>
      </c>
      <c r="I1339" t="str" cm="1">
        <f t="array" ref="I1339">_xlfn.IFS(Table_Sales[[#This Row],[quantity]]&lt;=3,"1-3",Table_Sales[[#This Row],[quantity]]&lt;=7,"2-7",Table_Sales[[#This Row],[quantity]]&lt;=10,"8-10",TRUE,"11 and above")</f>
        <v>2-7</v>
      </c>
      <c r="J1339" t="str" cm="1">
        <f t="array" ref="J1339">_xlfn.IFS(Table_Sales[[#This Row],[amount]]&lt;1000,"Under 1000",Table_Sales[[#This Row],[amount]]&lt;3000,"1000 - 2999",Table_Sales[[#This Row],[amount]]&lt;5000,"3000 - 4999",TRUE,"5000 &amp; above")</f>
        <v>Under 1000</v>
      </c>
      <c r="K1339">
        <f>IF(COUNTIFS(INDEX(Table_Sales[order_id],1):Table_Sales[[#This Row],[order_id]],Table_Sales[[#This Row],[order_id]])=1,1,0)</f>
        <v>0</v>
      </c>
      <c r="L133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340" spans="1:12" x14ac:dyDescent="0.25">
      <c r="A1340" t="s">
        <v>513</v>
      </c>
      <c r="B1340" s="1">
        <v>724</v>
      </c>
      <c r="C1340" s="1">
        <v>253</v>
      </c>
      <c r="D1340">
        <v>2</v>
      </c>
      <c r="E1340" t="s">
        <v>12</v>
      </c>
      <c r="F1340" t="s">
        <v>16</v>
      </c>
      <c r="G1340" t="s">
        <v>28</v>
      </c>
      <c r="H1340">
        <f>IF(Table_Sales[[#This Row],[profit]]&lt;0,1,0)</f>
        <v>0</v>
      </c>
      <c r="I1340" t="str" cm="1">
        <f t="array" ref="I1340">_xlfn.IFS(Table_Sales[[#This Row],[quantity]]&lt;=3,"1-3",Table_Sales[[#This Row],[quantity]]&lt;=7,"2-7",Table_Sales[[#This Row],[quantity]]&lt;=10,"8-10",TRUE,"11 and above")</f>
        <v>1-3</v>
      </c>
      <c r="J1340" t="str" cm="1">
        <f t="array" ref="J1340">_xlfn.IFS(Table_Sales[[#This Row],[amount]]&lt;1000,"Under 1000",Table_Sales[[#This Row],[amount]]&lt;3000,"1000 - 2999",Table_Sales[[#This Row],[amount]]&lt;5000,"3000 - 4999",TRUE,"5000 &amp; above")</f>
        <v>Under 1000</v>
      </c>
      <c r="K1340">
        <f>IF(COUNTIFS(INDEX(Table_Sales[order_id],1):Table_Sales[[#This Row],[order_id]],Table_Sales[[#This Row],[order_id]])=1,1,0)</f>
        <v>1</v>
      </c>
      <c r="L134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341" spans="1:12" x14ac:dyDescent="0.25">
      <c r="A1341" t="s">
        <v>79</v>
      </c>
      <c r="B1341" s="1">
        <v>26</v>
      </c>
      <c r="C1341" s="1">
        <v>10</v>
      </c>
      <c r="D1341">
        <v>4</v>
      </c>
      <c r="E1341" t="s">
        <v>23</v>
      </c>
      <c r="F1341" t="s">
        <v>30</v>
      </c>
      <c r="G1341" t="s">
        <v>28</v>
      </c>
      <c r="H1341">
        <f>IF(Table_Sales[[#This Row],[profit]]&lt;0,1,0)</f>
        <v>0</v>
      </c>
      <c r="I1341" t="str" cm="1">
        <f t="array" ref="I1341">_xlfn.IFS(Table_Sales[[#This Row],[quantity]]&lt;=3,"1-3",Table_Sales[[#This Row],[quantity]]&lt;=7,"2-7",Table_Sales[[#This Row],[quantity]]&lt;=10,"8-10",TRUE,"11 and above")</f>
        <v>2-7</v>
      </c>
      <c r="J1341" t="str" cm="1">
        <f t="array" ref="J1341">_xlfn.IFS(Table_Sales[[#This Row],[amount]]&lt;1000,"Under 1000",Table_Sales[[#This Row],[amount]]&lt;3000,"1000 - 2999",Table_Sales[[#This Row],[amount]]&lt;5000,"3000 - 4999",TRUE,"5000 &amp; above")</f>
        <v>Under 1000</v>
      </c>
      <c r="K1341">
        <f>IF(COUNTIFS(INDEX(Table_Sales[order_id],1):Table_Sales[[#This Row],[order_id]],Table_Sales[[#This Row],[order_id]])=1,1,0)</f>
        <v>0</v>
      </c>
      <c r="L134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342" spans="1:12" x14ac:dyDescent="0.25">
      <c r="A1342" t="s">
        <v>107</v>
      </c>
      <c r="B1342" s="1">
        <v>22</v>
      </c>
      <c r="C1342" s="1">
        <v>-2</v>
      </c>
      <c r="D1342">
        <v>3</v>
      </c>
      <c r="E1342" t="s">
        <v>23</v>
      </c>
      <c r="F1342" t="s">
        <v>30</v>
      </c>
      <c r="G1342" t="s">
        <v>10</v>
      </c>
      <c r="H1342">
        <f>IF(Table_Sales[[#This Row],[profit]]&lt;0,1,0)</f>
        <v>1</v>
      </c>
      <c r="I1342" t="str" cm="1">
        <f t="array" ref="I1342">_xlfn.IFS(Table_Sales[[#This Row],[quantity]]&lt;=3,"1-3",Table_Sales[[#This Row],[quantity]]&lt;=7,"2-7",Table_Sales[[#This Row],[quantity]]&lt;=10,"8-10",TRUE,"11 and above")</f>
        <v>1-3</v>
      </c>
      <c r="J1342" t="str" cm="1">
        <f t="array" ref="J1342">_xlfn.IFS(Table_Sales[[#This Row],[amount]]&lt;1000,"Under 1000",Table_Sales[[#This Row],[amount]]&lt;3000,"1000 - 2999",Table_Sales[[#This Row],[amount]]&lt;5000,"3000 - 4999",TRUE,"5000 &amp; above")</f>
        <v>Under 1000</v>
      </c>
      <c r="K1342">
        <f>IF(COUNTIFS(INDEX(Table_Sales[order_id],1):Table_Sales[[#This Row],[order_id]],Table_Sales[[#This Row],[order_id]])=1,1,0)</f>
        <v>0</v>
      </c>
      <c r="L134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343" spans="1:12" x14ac:dyDescent="0.25">
      <c r="A1343" t="s">
        <v>189</v>
      </c>
      <c r="B1343" s="1">
        <v>711</v>
      </c>
      <c r="C1343" s="1">
        <v>-8</v>
      </c>
      <c r="D1343">
        <v>4</v>
      </c>
      <c r="E1343" t="s">
        <v>23</v>
      </c>
      <c r="F1343" t="s">
        <v>26</v>
      </c>
      <c r="G1343" t="s">
        <v>82</v>
      </c>
      <c r="H1343">
        <f>IF(Table_Sales[[#This Row],[profit]]&lt;0,1,0)</f>
        <v>1</v>
      </c>
      <c r="I1343" t="str" cm="1">
        <f t="array" ref="I1343">_xlfn.IFS(Table_Sales[[#This Row],[quantity]]&lt;=3,"1-3",Table_Sales[[#This Row],[quantity]]&lt;=7,"2-7",Table_Sales[[#This Row],[quantity]]&lt;=10,"8-10",TRUE,"11 and above")</f>
        <v>2-7</v>
      </c>
      <c r="J1343" t="str" cm="1">
        <f t="array" ref="J1343">_xlfn.IFS(Table_Sales[[#This Row],[amount]]&lt;1000,"Under 1000",Table_Sales[[#This Row],[amount]]&lt;3000,"1000 - 2999",Table_Sales[[#This Row],[amount]]&lt;5000,"3000 - 4999",TRUE,"5000 &amp; above")</f>
        <v>Under 1000</v>
      </c>
      <c r="K1343">
        <f>IF(COUNTIFS(INDEX(Table_Sales[order_id],1):Table_Sales[[#This Row],[order_id]],Table_Sales[[#This Row],[order_id]])=1,1,0)</f>
        <v>0</v>
      </c>
      <c r="L134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344" spans="1:12" x14ac:dyDescent="0.25">
      <c r="A1344" t="s">
        <v>288</v>
      </c>
      <c r="B1344" s="1">
        <v>107</v>
      </c>
      <c r="C1344" s="1">
        <v>31</v>
      </c>
      <c r="D1344">
        <v>5</v>
      </c>
      <c r="E1344" t="s">
        <v>23</v>
      </c>
      <c r="F1344" t="s">
        <v>81</v>
      </c>
      <c r="G1344" t="s">
        <v>10</v>
      </c>
      <c r="H1344">
        <f>IF(Table_Sales[[#This Row],[profit]]&lt;0,1,0)</f>
        <v>0</v>
      </c>
      <c r="I1344" t="str" cm="1">
        <f t="array" ref="I1344">_xlfn.IFS(Table_Sales[[#This Row],[quantity]]&lt;=3,"1-3",Table_Sales[[#This Row],[quantity]]&lt;=7,"2-7",Table_Sales[[#This Row],[quantity]]&lt;=10,"8-10",TRUE,"11 and above")</f>
        <v>2-7</v>
      </c>
      <c r="J1344" t="str" cm="1">
        <f t="array" ref="J1344">_xlfn.IFS(Table_Sales[[#This Row],[amount]]&lt;1000,"Under 1000",Table_Sales[[#This Row],[amount]]&lt;3000,"1000 - 2999",Table_Sales[[#This Row],[amount]]&lt;5000,"3000 - 4999",TRUE,"5000 &amp; above")</f>
        <v>Under 1000</v>
      </c>
      <c r="K1344">
        <f>IF(COUNTIFS(INDEX(Table_Sales[order_id],1):Table_Sales[[#This Row],[order_id]],Table_Sales[[#This Row],[order_id]])=1,1,0)</f>
        <v>0</v>
      </c>
      <c r="L134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345" spans="1:12" x14ac:dyDescent="0.25">
      <c r="A1345" t="s">
        <v>341</v>
      </c>
      <c r="B1345" s="1">
        <v>765</v>
      </c>
      <c r="C1345" s="1">
        <v>-153</v>
      </c>
      <c r="D1345">
        <v>2</v>
      </c>
      <c r="E1345" t="s">
        <v>8</v>
      </c>
      <c r="F1345" t="s">
        <v>21</v>
      </c>
      <c r="G1345" t="s">
        <v>82</v>
      </c>
      <c r="H1345">
        <f>IF(Table_Sales[[#This Row],[profit]]&lt;0,1,0)</f>
        <v>1</v>
      </c>
      <c r="I1345" t="str" cm="1">
        <f t="array" ref="I1345">_xlfn.IFS(Table_Sales[[#This Row],[quantity]]&lt;=3,"1-3",Table_Sales[[#This Row],[quantity]]&lt;=7,"2-7",Table_Sales[[#This Row],[quantity]]&lt;=10,"8-10",TRUE,"11 and above")</f>
        <v>1-3</v>
      </c>
      <c r="J1345" t="str" cm="1">
        <f t="array" ref="J1345">_xlfn.IFS(Table_Sales[[#This Row],[amount]]&lt;1000,"Under 1000",Table_Sales[[#This Row],[amount]]&lt;3000,"1000 - 2999",Table_Sales[[#This Row],[amount]]&lt;5000,"3000 - 4999",TRUE,"5000 &amp; above")</f>
        <v>Under 1000</v>
      </c>
      <c r="K1345">
        <f>IF(COUNTIFS(INDEX(Table_Sales[order_id],1):Table_Sales[[#This Row],[order_id]],Table_Sales[[#This Row],[order_id]])=1,1,0)</f>
        <v>0</v>
      </c>
      <c r="L134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346" spans="1:12" x14ac:dyDescent="0.25">
      <c r="A1346" t="s">
        <v>382</v>
      </c>
      <c r="B1346" s="1">
        <v>22</v>
      </c>
      <c r="C1346" s="1">
        <v>8</v>
      </c>
      <c r="D1346">
        <v>2</v>
      </c>
      <c r="E1346" t="s">
        <v>23</v>
      </c>
      <c r="F1346" t="s">
        <v>63</v>
      </c>
      <c r="G1346" t="s">
        <v>10</v>
      </c>
      <c r="H1346">
        <f>IF(Table_Sales[[#This Row],[profit]]&lt;0,1,0)</f>
        <v>0</v>
      </c>
      <c r="I1346" t="str" cm="1">
        <f t="array" ref="I1346">_xlfn.IFS(Table_Sales[[#This Row],[quantity]]&lt;=3,"1-3",Table_Sales[[#This Row],[quantity]]&lt;=7,"2-7",Table_Sales[[#This Row],[quantity]]&lt;=10,"8-10",TRUE,"11 and above")</f>
        <v>1-3</v>
      </c>
      <c r="J1346" t="str" cm="1">
        <f t="array" ref="J1346">_xlfn.IFS(Table_Sales[[#This Row],[amount]]&lt;1000,"Under 1000",Table_Sales[[#This Row],[amount]]&lt;3000,"1000 - 2999",Table_Sales[[#This Row],[amount]]&lt;5000,"3000 - 4999",TRUE,"5000 &amp; above")</f>
        <v>Under 1000</v>
      </c>
      <c r="K1346">
        <f>IF(COUNTIFS(INDEX(Table_Sales[order_id],1):Table_Sales[[#This Row],[order_id]],Table_Sales[[#This Row],[order_id]])=1,1,0)</f>
        <v>0</v>
      </c>
      <c r="L134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347" spans="1:12" x14ac:dyDescent="0.25">
      <c r="A1347" t="s">
        <v>418</v>
      </c>
      <c r="B1347" s="1">
        <v>26</v>
      </c>
      <c r="C1347" s="1">
        <v>-5</v>
      </c>
      <c r="D1347">
        <v>2</v>
      </c>
      <c r="E1347" t="s">
        <v>23</v>
      </c>
      <c r="F1347" t="s">
        <v>57</v>
      </c>
      <c r="G1347" t="s">
        <v>28</v>
      </c>
      <c r="H1347">
        <f>IF(Table_Sales[[#This Row],[profit]]&lt;0,1,0)</f>
        <v>1</v>
      </c>
      <c r="I1347" t="str" cm="1">
        <f t="array" ref="I1347">_xlfn.IFS(Table_Sales[[#This Row],[quantity]]&lt;=3,"1-3",Table_Sales[[#This Row],[quantity]]&lt;=7,"2-7",Table_Sales[[#This Row],[quantity]]&lt;=10,"8-10",TRUE,"11 and above")</f>
        <v>1-3</v>
      </c>
      <c r="J1347" t="str" cm="1">
        <f t="array" ref="J1347">_xlfn.IFS(Table_Sales[[#This Row],[amount]]&lt;1000,"Under 1000",Table_Sales[[#This Row],[amount]]&lt;3000,"1000 - 2999",Table_Sales[[#This Row],[amount]]&lt;5000,"3000 - 4999",TRUE,"5000 &amp; above")</f>
        <v>Under 1000</v>
      </c>
      <c r="K1347">
        <f>IF(COUNTIFS(INDEX(Table_Sales[order_id],1):Table_Sales[[#This Row],[order_id]],Table_Sales[[#This Row],[order_id]])=1,1,0)</f>
        <v>0</v>
      </c>
      <c r="L134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348" spans="1:12" x14ac:dyDescent="0.25">
      <c r="A1348" t="s">
        <v>187</v>
      </c>
      <c r="B1348" s="1">
        <v>22</v>
      </c>
      <c r="C1348" s="1">
        <v>8</v>
      </c>
      <c r="D1348">
        <v>3</v>
      </c>
      <c r="E1348" t="s">
        <v>23</v>
      </c>
      <c r="F1348" t="s">
        <v>30</v>
      </c>
      <c r="G1348" t="s">
        <v>10</v>
      </c>
      <c r="H1348">
        <f>IF(Table_Sales[[#This Row],[profit]]&lt;0,1,0)</f>
        <v>0</v>
      </c>
      <c r="I1348" t="str" cm="1">
        <f t="array" ref="I1348">_xlfn.IFS(Table_Sales[[#This Row],[quantity]]&lt;=3,"1-3",Table_Sales[[#This Row],[quantity]]&lt;=7,"2-7",Table_Sales[[#This Row],[quantity]]&lt;=10,"8-10",TRUE,"11 and above")</f>
        <v>1-3</v>
      </c>
      <c r="J1348" t="str" cm="1">
        <f t="array" ref="J1348">_xlfn.IFS(Table_Sales[[#This Row],[amount]]&lt;1000,"Under 1000",Table_Sales[[#This Row],[amount]]&lt;3000,"1000 - 2999",Table_Sales[[#This Row],[amount]]&lt;5000,"3000 - 4999",TRUE,"5000 &amp; above")</f>
        <v>Under 1000</v>
      </c>
      <c r="K1348">
        <f>IF(COUNTIFS(INDEX(Table_Sales[order_id],1):Table_Sales[[#This Row],[order_id]],Table_Sales[[#This Row],[order_id]])=1,1,0)</f>
        <v>0</v>
      </c>
      <c r="L134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349" spans="1:12" x14ac:dyDescent="0.25">
      <c r="A1349" t="s">
        <v>514</v>
      </c>
      <c r="B1349" s="1">
        <v>743</v>
      </c>
      <c r="C1349" s="1">
        <v>89</v>
      </c>
      <c r="D1349">
        <v>5</v>
      </c>
      <c r="E1349" t="s">
        <v>8</v>
      </c>
      <c r="F1349" t="s">
        <v>18</v>
      </c>
      <c r="G1349" t="s">
        <v>28</v>
      </c>
      <c r="H1349">
        <f>IF(Table_Sales[[#This Row],[profit]]&lt;0,1,0)</f>
        <v>0</v>
      </c>
      <c r="I1349" t="str" cm="1">
        <f t="array" ref="I1349">_xlfn.IFS(Table_Sales[[#This Row],[quantity]]&lt;=3,"1-3",Table_Sales[[#This Row],[quantity]]&lt;=7,"2-7",Table_Sales[[#This Row],[quantity]]&lt;=10,"8-10",TRUE,"11 and above")</f>
        <v>2-7</v>
      </c>
      <c r="J1349" t="str" cm="1">
        <f t="array" ref="J1349">_xlfn.IFS(Table_Sales[[#This Row],[amount]]&lt;1000,"Under 1000",Table_Sales[[#This Row],[amount]]&lt;3000,"1000 - 2999",Table_Sales[[#This Row],[amount]]&lt;5000,"3000 - 4999",TRUE,"5000 &amp; above")</f>
        <v>Under 1000</v>
      </c>
      <c r="K1349">
        <f>IF(COUNTIFS(INDEX(Table_Sales[order_id],1):Table_Sales[[#This Row],[order_id]],Table_Sales[[#This Row],[order_id]])=1,1,0)</f>
        <v>1</v>
      </c>
      <c r="L134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350" spans="1:12" x14ac:dyDescent="0.25">
      <c r="A1350" t="s">
        <v>33</v>
      </c>
      <c r="B1350" s="1">
        <v>22</v>
      </c>
      <c r="C1350" s="1">
        <v>-15</v>
      </c>
      <c r="D1350">
        <v>4</v>
      </c>
      <c r="E1350" t="s">
        <v>23</v>
      </c>
      <c r="F1350" t="s">
        <v>32</v>
      </c>
      <c r="G1350" t="s">
        <v>10</v>
      </c>
      <c r="H1350">
        <f>IF(Table_Sales[[#This Row],[profit]]&lt;0,1,0)</f>
        <v>1</v>
      </c>
      <c r="I1350" t="str" cm="1">
        <f t="array" ref="I1350">_xlfn.IFS(Table_Sales[[#This Row],[quantity]]&lt;=3,"1-3",Table_Sales[[#This Row],[quantity]]&lt;=7,"2-7",Table_Sales[[#This Row],[quantity]]&lt;=10,"8-10",TRUE,"11 and above")</f>
        <v>2-7</v>
      </c>
      <c r="J1350" t="str" cm="1">
        <f t="array" ref="J1350">_xlfn.IFS(Table_Sales[[#This Row],[amount]]&lt;1000,"Under 1000",Table_Sales[[#This Row],[amount]]&lt;3000,"1000 - 2999",Table_Sales[[#This Row],[amount]]&lt;5000,"3000 - 4999",TRUE,"5000 &amp; above")</f>
        <v>Under 1000</v>
      </c>
      <c r="K1350">
        <f>IF(COUNTIFS(INDEX(Table_Sales[order_id],1):Table_Sales[[#This Row],[order_id]],Table_Sales[[#This Row],[order_id]])=1,1,0)</f>
        <v>0</v>
      </c>
      <c r="L135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351" spans="1:12" x14ac:dyDescent="0.25">
      <c r="A1351" t="s">
        <v>265</v>
      </c>
      <c r="B1351" s="1">
        <v>781</v>
      </c>
      <c r="C1351" s="1">
        <v>594</v>
      </c>
      <c r="D1351">
        <v>6</v>
      </c>
      <c r="E1351" t="s">
        <v>8</v>
      </c>
      <c r="F1351" t="s">
        <v>18</v>
      </c>
      <c r="G1351" t="s">
        <v>82</v>
      </c>
      <c r="H1351">
        <f>IF(Table_Sales[[#This Row],[profit]]&lt;0,1,0)</f>
        <v>0</v>
      </c>
      <c r="I1351" t="str" cm="1">
        <f t="array" ref="I1351">_xlfn.IFS(Table_Sales[[#This Row],[quantity]]&lt;=3,"1-3",Table_Sales[[#This Row],[quantity]]&lt;=7,"2-7",Table_Sales[[#This Row],[quantity]]&lt;=10,"8-10",TRUE,"11 and above")</f>
        <v>2-7</v>
      </c>
      <c r="J1351" t="str" cm="1">
        <f t="array" ref="J1351">_xlfn.IFS(Table_Sales[[#This Row],[amount]]&lt;1000,"Under 1000",Table_Sales[[#This Row],[amount]]&lt;3000,"1000 - 2999",Table_Sales[[#This Row],[amount]]&lt;5000,"3000 - 4999",TRUE,"5000 &amp; above")</f>
        <v>Under 1000</v>
      </c>
      <c r="K1351">
        <f>IF(COUNTIFS(INDEX(Table_Sales[order_id],1):Table_Sales[[#This Row],[order_id]],Table_Sales[[#This Row],[order_id]])=1,1,0)</f>
        <v>0</v>
      </c>
      <c r="L135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352" spans="1:12" x14ac:dyDescent="0.25">
      <c r="A1352" t="s">
        <v>308</v>
      </c>
      <c r="B1352" s="1">
        <v>25</v>
      </c>
      <c r="C1352" s="1">
        <v>-2</v>
      </c>
      <c r="D1352">
        <v>5</v>
      </c>
      <c r="E1352" t="s">
        <v>23</v>
      </c>
      <c r="F1352" t="s">
        <v>30</v>
      </c>
      <c r="G1352" t="s">
        <v>28</v>
      </c>
      <c r="H1352">
        <f>IF(Table_Sales[[#This Row],[profit]]&lt;0,1,0)</f>
        <v>1</v>
      </c>
      <c r="I1352" t="str" cm="1">
        <f t="array" ref="I1352">_xlfn.IFS(Table_Sales[[#This Row],[quantity]]&lt;=3,"1-3",Table_Sales[[#This Row],[quantity]]&lt;=7,"2-7",Table_Sales[[#This Row],[quantity]]&lt;=10,"8-10",TRUE,"11 and above")</f>
        <v>2-7</v>
      </c>
      <c r="J1352" t="str" cm="1">
        <f t="array" ref="J1352">_xlfn.IFS(Table_Sales[[#This Row],[amount]]&lt;1000,"Under 1000",Table_Sales[[#This Row],[amount]]&lt;3000,"1000 - 2999",Table_Sales[[#This Row],[amount]]&lt;5000,"3000 - 4999",TRUE,"5000 &amp; above")</f>
        <v>Under 1000</v>
      </c>
      <c r="K1352">
        <f>IF(COUNTIFS(INDEX(Table_Sales[order_id],1):Table_Sales[[#This Row],[order_id]],Table_Sales[[#This Row],[order_id]])=1,1,0)</f>
        <v>0</v>
      </c>
      <c r="L135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353" spans="1:12" x14ac:dyDescent="0.25">
      <c r="A1353" t="s">
        <v>237</v>
      </c>
      <c r="B1353" s="1">
        <v>25</v>
      </c>
      <c r="C1353" s="1">
        <v>2</v>
      </c>
      <c r="D1353">
        <v>2</v>
      </c>
      <c r="E1353" t="s">
        <v>23</v>
      </c>
      <c r="F1353" t="s">
        <v>30</v>
      </c>
      <c r="G1353" t="s">
        <v>28</v>
      </c>
      <c r="H1353">
        <f>IF(Table_Sales[[#This Row],[profit]]&lt;0,1,0)</f>
        <v>0</v>
      </c>
      <c r="I1353" t="str" cm="1">
        <f t="array" ref="I1353">_xlfn.IFS(Table_Sales[[#This Row],[quantity]]&lt;=3,"1-3",Table_Sales[[#This Row],[quantity]]&lt;=7,"2-7",Table_Sales[[#This Row],[quantity]]&lt;=10,"8-10",TRUE,"11 and above")</f>
        <v>1-3</v>
      </c>
      <c r="J1353" t="str" cm="1">
        <f t="array" ref="J1353">_xlfn.IFS(Table_Sales[[#This Row],[amount]]&lt;1000,"Under 1000",Table_Sales[[#This Row],[amount]]&lt;3000,"1000 - 2999",Table_Sales[[#This Row],[amount]]&lt;5000,"3000 - 4999",TRUE,"5000 &amp; above")</f>
        <v>Under 1000</v>
      </c>
      <c r="K1353">
        <f>IF(COUNTIFS(INDEX(Table_Sales[order_id],1):Table_Sales[[#This Row],[order_id]],Table_Sales[[#This Row],[order_id]])=1,1,0)</f>
        <v>0</v>
      </c>
      <c r="L135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354" spans="1:12" x14ac:dyDescent="0.25">
      <c r="A1354" t="s">
        <v>341</v>
      </c>
      <c r="B1354" s="1">
        <v>119</v>
      </c>
      <c r="C1354" s="1">
        <v>43</v>
      </c>
      <c r="D1354">
        <v>5</v>
      </c>
      <c r="E1354" t="s">
        <v>23</v>
      </c>
      <c r="F1354" t="s">
        <v>81</v>
      </c>
      <c r="G1354" t="s">
        <v>10</v>
      </c>
      <c r="H1354">
        <f>IF(Table_Sales[[#This Row],[profit]]&lt;0,1,0)</f>
        <v>0</v>
      </c>
      <c r="I1354" t="str" cm="1">
        <f t="array" ref="I1354">_xlfn.IFS(Table_Sales[[#This Row],[quantity]]&lt;=3,"1-3",Table_Sales[[#This Row],[quantity]]&lt;=7,"2-7",Table_Sales[[#This Row],[quantity]]&lt;=10,"8-10",TRUE,"11 and above")</f>
        <v>2-7</v>
      </c>
      <c r="J1354" t="str" cm="1">
        <f t="array" ref="J1354">_xlfn.IFS(Table_Sales[[#This Row],[amount]]&lt;1000,"Under 1000",Table_Sales[[#This Row],[amount]]&lt;3000,"1000 - 2999",Table_Sales[[#This Row],[amount]]&lt;5000,"3000 - 4999",TRUE,"5000 &amp; above")</f>
        <v>Under 1000</v>
      </c>
      <c r="K1354">
        <f>IF(COUNTIFS(INDEX(Table_Sales[order_id],1):Table_Sales[[#This Row],[order_id]],Table_Sales[[#This Row],[order_id]])=1,1,0)</f>
        <v>0</v>
      </c>
      <c r="L135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355" spans="1:12" x14ac:dyDescent="0.25">
      <c r="A1355" t="s">
        <v>246</v>
      </c>
      <c r="B1355" s="1">
        <v>785</v>
      </c>
      <c r="C1355" s="1">
        <v>52</v>
      </c>
      <c r="D1355">
        <v>2</v>
      </c>
      <c r="E1355" t="s">
        <v>8</v>
      </c>
      <c r="F1355" t="s">
        <v>21</v>
      </c>
      <c r="G1355" t="s">
        <v>82</v>
      </c>
      <c r="H1355">
        <f>IF(Table_Sales[[#This Row],[profit]]&lt;0,1,0)</f>
        <v>0</v>
      </c>
      <c r="I1355" t="str" cm="1">
        <f t="array" ref="I1355">_xlfn.IFS(Table_Sales[[#This Row],[quantity]]&lt;=3,"1-3",Table_Sales[[#This Row],[quantity]]&lt;=7,"2-7",Table_Sales[[#This Row],[quantity]]&lt;=10,"8-10",TRUE,"11 and above")</f>
        <v>1-3</v>
      </c>
      <c r="J1355" t="str" cm="1">
        <f t="array" ref="J1355">_xlfn.IFS(Table_Sales[[#This Row],[amount]]&lt;1000,"Under 1000",Table_Sales[[#This Row],[amount]]&lt;3000,"1000 - 2999",Table_Sales[[#This Row],[amount]]&lt;5000,"3000 - 4999",TRUE,"5000 &amp; above")</f>
        <v>Under 1000</v>
      </c>
      <c r="K1355">
        <f>IF(COUNTIFS(INDEX(Table_Sales[order_id],1):Table_Sales[[#This Row],[order_id]],Table_Sales[[#This Row],[order_id]])=1,1,0)</f>
        <v>0</v>
      </c>
      <c r="L135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356" spans="1:12" x14ac:dyDescent="0.25">
      <c r="A1356" t="s">
        <v>258</v>
      </c>
      <c r="B1356" s="1">
        <v>183</v>
      </c>
      <c r="C1356" s="1">
        <v>-66</v>
      </c>
      <c r="D1356">
        <v>5</v>
      </c>
      <c r="E1356" t="s">
        <v>8</v>
      </c>
      <c r="F1356" t="s">
        <v>21</v>
      </c>
      <c r="G1356" t="s">
        <v>28</v>
      </c>
      <c r="H1356">
        <f>IF(Table_Sales[[#This Row],[profit]]&lt;0,1,0)</f>
        <v>1</v>
      </c>
      <c r="I1356" t="str" cm="1">
        <f t="array" ref="I1356">_xlfn.IFS(Table_Sales[[#This Row],[quantity]]&lt;=3,"1-3",Table_Sales[[#This Row],[quantity]]&lt;=7,"2-7",Table_Sales[[#This Row],[quantity]]&lt;=10,"8-10",TRUE,"11 and above")</f>
        <v>2-7</v>
      </c>
      <c r="J1356" t="str" cm="1">
        <f t="array" ref="J1356">_xlfn.IFS(Table_Sales[[#This Row],[amount]]&lt;1000,"Under 1000",Table_Sales[[#This Row],[amount]]&lt;3000,"1000 - 2999",Table_Sales[[#This Row],[amount]]&lt;5000,"3000 - 4999",TRUE,"5000 &amp; above")</f>
        <v>Under 1000</v>
      </c>
      <c r="K1356">
        <f>IF(COUNTIFS(INDEX(Table_Sales[order_id],1):Table_Sales[[#This Row],[order_id]],Table_Sales[[#This Row],[order_id]])=1,1,0)</f>
        <v>0</v>
      </c>
      <c r="L135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357" spans="1:12" x14ac:dyDescent="0.25">
      <c r="A1357" t="s">
        <v>332</v>
      </c>
      <c r="B1357" s="1">
        <v>22</v>
      </c>
      <c r="C1357" s="1">
        <v>4</v>
      </c>
      <c r="D1357">
        <v>1</v>
      </c>
      <c r="E1357" t="s">
        <v>23</v>
      </c>
      <c r="F1357" t="s">
        <v>57</v>
      </c>
      <c r="G1357" t="s">
        <v>10</v>
      </c>
      <c r="H1357">
        <f>IF(Table_Sales[[#This Row],[profit]]&lt;0,1,0)</f>
        <v>0</v>
      </c>
      <c r="I1357" t="str" cm="1">
        <f t="array" ref="I1357">_xlfn.IFS(Table_Sales[[#This Row],[quantity]]&lt;=3,"1-3",Table_Sales[[#This Row],[quantity]]&lt;=7,"2-7",Table_Sales[[#This Row],[quantity]]&lt;=10,"8-10",TRUE,"11 and above")</f>
        <v>1-3</v>
      </c>
      <c r="J1357" t="str" cm="1">
        <f t="array" ref="J1357">_xlfn.IFS(Table_Sales[[#This Row],[amount]]&lt;1000,"Under 1000",Table_Sales[[#This Row],[amount]]&lt;3000,"1000 - 2999",Table_Sales[[#This Row],[amount]]&lt;5000,"3000 - 4999",TRUE,"5000 &amp; above")</f>
        <v>Under 1000</v>
      </c>
      <c r="K1357">
        <f>IF(COUNTIFS(INDEX(Table_Sales[order_id],1):Table_Sales[[#This Row],[order_id]],Table_Sales[[#This Row],[order_id]])=1,1,0)</f>
        <v>0</v>
      </c>
      <c r="L135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358" spans="1:12" x14ac:dyDescent="0.25">
      <c r="A1358" t="s">
        <v>106</v>
      </c>
      <c r="B1358" s="1">
        <v>642</v>
      </c>
      <c r="C1358" s="1">
        <v>180</v>
      </c>
      <c r="D1358">
        <v>5</v>
      </c>
      <c r="E1358" t="s">
        <v>23</v>
      </c>
      <c r="F1358" t="s">
        <v>26</v>
      </c>
      <c r="G1358" t="s">
        <v>10</v>
      </c>
      <c r="H1358">
        <f>IF(Table_Sales[[#This Row],[profit]]&lt;0,1,0)</f>
        <v>0</v>
      </c>
      <c r="I1358" t="str" cm="1">
        <f t="array" ref="I1358">_xlfn.IFS(Table_Sales[[#This Row],[quantity]]&lt;=3,"1-3",Table_Sales[[#This Row],[quantity]]&lt;=7,"2-7",Table_Sales[[#This Row],[quantity]]&lt;=10,"8-10",TRUE,"11 and above")</f>
        <v>2-7</v>
      </c>
      <c r="J1358" t="str" cm="1">
        <f t="array" ref="J1358">_xlfn.IFS(Table_Sales[[#This Row],[amount]]&lt;1000,"Under 1000",Table_Sales[[#This Row],[amount]]&lt;3000,"1000 - 2999",Table_Sales[[#This Row],[amount]]&lt;5000,"3000 - 4999",TRUE,"5000 &amp; above")</f>
        <v>Under 1000</v>
      </c>
      <c r="K1358">
        <f>IF(COUNTIFS(INDEX(Table_Sales[order_id],1):Table_Sales[[#This Row],[order_id]],Table_Sales[[#This Row],[order_id]])=1,1,0)</f>
        <v>0</v>
      </c>
      <c r="L135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359" spans="1:12" x14ac:dyDescent="0.25">
      <c r="A1359" t="s">
        <v>276</v>
      </c>
      <c r="B1359" s="1">
        <v>767</v>
      </c>
      <c r="C1359" s="1">
        <v>-353</v>
      </c>
      <c r="D1359">
        <v>5</v>
      </c>
      <c r="E1359" t="s">
        <v>23</v>
      </c>
      <c r="F1359" t="s">
        <v>24</v>
      </c>
      <c r="G1359" t="s">
        <v>10</v>
      </c>
      <c r="H1359">
        <f>IF(Table_Sales[[#This Row],[profit]]&lt;0,1,0)</f>
        <v>1</v>
      </c>
      <c r="I1359" t="str" cm="1">
        <f t="array" ref="I1359">_xlfn.IFS(Table_Sales[[#This Row],[quantity]]&lt;=3,"1-3",Table_Sales[[#This Row],[quantity]]&lt;=7,"2-7",Table_Sales[[#This Row],[quantity]]&lt;=10,"8-10",TRUE,"11 and above")</f>
        <v>2-7</v>
      </c>
      <c r="J1359" t="str" cm="1">
        <f t="array" ref="J1359">_xlfn.IFS(Table_Sales[[#This Row],[amount]]&lt;1000,"Under 1000",Table_Sales[[#This Row],[amount]]&lt;3000,"1000 - 2999",Table_Sales[[#This Row],[amount]]&lt;5000,"3000 - 4999",TRUE,"5000 &amp; above")</f>
        <v>Under 1000</v>
      </c>
      <c r="K1359">
        <f>IF(COUNTIFS(INDEX(Table_Sales[order_id],1):Table_Sales[[#This Row],[order_id]],Table_Sales[[#This Row],[order_id]])=1,1,0)</f>
        <v>0</v>
      </c>
      <c r="L135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360" spans="1:12" x14ac:dyDescent="0.25">
      <c r="A1360" t="s">
        <v>292</v>
      </c>
      <c r="B1360" s="1">
        <v>770</v>
      </c>
      <c r="C1360" s="1">
        <v>323</v>
      </c>
      <c r="D1360">
        <v>3</v>
      </c>
      <c r="E1360" t="s">
        <v>8</v>
      </c>
      <c r="F1360" t="s">
        <v>73</v>
      </c>
      <c r="G1360" t="s">
        <v>10</v>
      </c>
      <c r="H1360">
        <f>IF(Table_Sales[[#This Row],[profit]]&lt;0,1,0)</f>
        <v>0</v>
      </c>
      <c r="I1360" t="str" cm="1">
        <f t="array" ref="I1360">_xlfn.IFS(Table_Sales[[#This Row],[quantity]]&lt;=3,"1-3",Table_Sales[[#This Row],[quantity]]&lt;=7,"2-7",Table_Sales[[#This Row],[quantity]]&lt;=10,"8-10",TRUE,"11 and above")</f>
        <v>1-3</v>
      </c>
      <c r="J1360" t="str" cm="1">
        <f t="array" ref="J1360">_xlfn.IFS(Table_Sales[[#This Row],[amount]]&lt;1000,"Under 1000",Table_Sales[[#This Row],[amount]]&lt;3000,"1000 - 2999",Table_Sales[[#This Row],[amount]]&lt;5000,"3000 - 4999",TRUE,"5000 &amp; above")</f>
        <v>Under 1000</v>
      </c>
      <c r="K1360">
        <f>IF(COUNTIFS(INDEX(Table_Sales[order_id],1):Table_Sales[[#This Row],[order_id]],Table_Sales[[#This Row],[order_id]])=1,1,0)</f>
        <v>0</v>
      </c>
      <c r="L136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361" spans="1:12" x14ac:dyDescent="0.25">
      <c r="A1361" t="s">
        <v>388</v>
      </c>
      <c r="B1361" s="1">
        <v>21</v>
      </c>
      <c r="C1361" s="1">
        <v>-17</v>
      </c>
      <c r="D1361">
        <v>3</v>
      </c>
      <c r="E1361" t="s">
        <v>23</v>
      </c>
      <c r="F1361" t="s">
        <v>142</v>
      </c>
      <c r="G1361" t="s">
        <v>10</v>
      </c>
      <c r="H1361">
        <f>IF(Table_Sales[[#This Row],[profit]]&lt;0,1,0)</f>
        <v>1</v>
      </c>
      <c r="I1361" t="str" cm="1">
        <f t="array" ref="I1361">_xlfn.IFS(Table_Sales[[#This Row],[quantity]]&lt;=3,"1-3",Table_Sales[[#This Row],[quantity]]&lt;=7,"2-7",Table_Sales[[#This Row],[quantity]]&lt;=10,"8-10",TRUE,"11 and above")</f>
        <v>1-3</v>
      </c>
      <c r="J1361" t="str" cm="1">
        <f t="array" ref="J1361">_xlfn.IFS(Table_Sales[[#This Row],[amount]]&lt;1000,"Under 1000",Table_Sales[[#This Row],[amount]]&lt;3000,"1000 - 2999",Table_Sales[[#This Row],[amount]]&lt;5000,"3000 - 4999",TRUE,"5000 &amp; above")</f>
        <v>Under 1000</v>
      </c>
      <c r="K1361">
        <f>IF(COUNTIFS(INDEX(Table_Sales[order_id],1):Table_Sales[[#This Row],[order_id]],Table_Sales[[#This Row],[order_id]])=1,1,0)</f>
        <v>0</v>
      </c>
      <c r="L136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362" spans="1:12" x14ac:dyDescent="0.25">
      <c r="A1362" t="s">
        <v>337</v>
      </c>
      <c r="B1362" s="1">
        <v>21</v>
      </c>
      <c r="C1362" s="1">
        <v>-6</v>
      </c>
      <c r="D1362">
        <v>3</v>
      </c>
      <c r="E1362" t="s">
        <v>23</v>
      </c>
      <c r="F1362" t="s">
        <v>63</v>
      </c>
      <c r="G1362" t="s">
        <v>10</v>
      </c>
      <c r="H1362">
        <f>IF(Table_Sales[[#This Row],[profit]]&lt;0,1,0)</f>
        <v>1</v>
      </c>
      <c r="I1362" t="str" cm="1">
        <f t="array" ref="I1362">_xlfn.IFS(Table_Sales[[#This Row],[quantity]]&lt;=3,"1-3",Table_Sales[[#This Row],[quantity]]&lt;=7,"2-7",Table_Sales[[#This Row],[quantity]]&lt;=10,"8-10",TRUE,"11 and above")</f>
        <v>1-3</v>
      </c>
      <c r="J1362" t="str" cm="1">
        <f t="array" ref="J1362">_xlfn.IFS(Table_Sales[[#This Row],[amount]]&lt;1000,"Under 1000",Table_Sales[[#This Row],[amount]]&lt;3000,"1000 - 2999",Table_Sales[[#This Row],[amount]]&lt;5000,"3000 - 4999",TRUE,"5000 &amp; above")</f>
        <v>Under 1000</v>
      </c>
      <c r="K1362">
        <f>IF(COUNTIFS(INDEX(Table_Sales[order_id],1):Table_Sales[[#This Row],[order_id]],Table_Sales[[#This Row],[order_id]])=1,1,0)</f>
        <v>0</v>
      </c>
      <c r="L136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363" spans="1:12" x14ac:dyDescent="0.25">
      <c r="A1363" t="s">
        <v>17</v>
      </c>
      <c r="B1363" s="1">
        <v>492</v>
      </c>
      <c r="C1363" s="1">
        <v>187</v>
      </c>
      <c r="D1363">
        <v>2</v>
      </c>
      <c r="E1363" t="s">
        <v>8</v>
      </c>
      <c r="F1363" t="s">
        <v>73</v>
      </c>
      <c r="G1363" t="s">
        <v>28</v>
      </c>
      <c r="H1363">
        <f>IF(Table_Sales[[#This Row],[profit]]&lt;0,1,0)</f>
        <v>0</v>
      </c>
      <c r="I1363" t="str" cm="1">
        <f t="array" ref="I1363">_xlfn.IFS(Table_Sales[[#This Row],[quantity]]&lt;=3,"1-3",Table_Sales[[#This Row],[quantity]]&lt;=7,"2-7",Table_Sales[[#This Row],[quantity]]&lt;=10,"8-10",TRUE,"11 and above")</f>
        <v>1-3</v>
      </c>
      <c r="J1363" t="str" cm="1">
        <f t="array" ref="J1363">_xlfn.IFS(Table_Sales[[#This Row],[amount]]&lt;1000,"Under 1000",Table_Sales[[#This Row],[amount]]&lt;3000,"1000 - 2999",Table_Sales[[#This Row],[amount]]&lt;5000,"3000 - 4999",TRUE,"5000 &amp; above")</f>
        <v>Under 1000</v>
      </c>
      <c r="K1363">
        <f>IF(COUNTIFS(INDEX(Table_Sales[order_id],1):Table_Sales[[#This Row],[order_id]],Table_Sales[[#This Row],[order_id]])=1,1,0)</f>
        <v>0</v>
      </c>
      <c r="L136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364" spans="1:12" x14ac:dyDescent="0.25">
      <c r="A1364" t="s">
        <v>359</v>
      </c>
      <c r="B1364" s="1">
        <v>816</v>
      </c>
      <c r="C1364" s="1">
        <v>-96</v>
      </c>
      <c r="D1364">
        <v>3</v>
      </c>
      <c r="E1364" t="s">
        <v>8</v>
      </c>
      <c r="F1364" t="s">
        <v>18</v>
      </c>
      <c r="G1364" t="s">
        <v>82</v>
      </c>
      <c r="H1364">
        <f>IF(Table_Sales[[#This Row],[profit]]&lt;0,1,0)</f>
        <v>1</v>
      </c>
      <c r="I1364" t="str" cm="1">
        <f t="array" ref="I1364">_xlfn.IFS(Table_Sales[[#This Row],[quantity]]&lt;=3,"1-3",Table_Sales[[#This Row],[quantity]]&lt;=7,"2-7",Table_Sales[[#This Row],[quantity]]&lt;=10,"8-10",TRUE,"11 and above")</f>
        <v>1-3</v>
      </c>
      <c r="J1364" t="str" cm="1">
        <f t="array" ref="J1364">_xlfn.IFS(Table_Sales[[#This Row],[amount]]&lt;1000,"Under 1000",Table_Sales[[#This Row],[amount]]&lt;3000,"1000 - 2999",Table_Sales[[#This Row],[amount]]&lt;5000,"3000 - 4999",TRUE,"5000 &amp; above")</f>
        <v>Under 1000</v>
      </c>
      <c r="K1364">
        <f>IF(COUNTIFS(INDEX(Table_Sales[order_id],1):Table_Sales[[#This Row],[order_id]],Table_Sales[[#This Row],[order_id]])=1,1,0)</f>
        <v>0</v>
      </c>
      <c r="L136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365" spans="1:12" x14ac:dyDescent="0.25">
      <c r="A1365" t="s">
        <v>270</v>
      </c>
      <c r="B1365" s="1">
        <v>25</v>
      </c>
      <c r="C1365" s="1">
        <v>2</v>
      </c>
      <c r="D1365">
        <v>3</v>
      </c>
      <c r="E1365" t="s">
        <v>23</v>
      </c>
      <c r="F1365" t="s">
        <v>32</v>
      </c>
      <c r="G1365" t="s">
        <v>19</v>
      </c>
      <c r="H1365">
        <f>IF(Table_Sales[[#This Row],[profit]]&lt;0,1,0)</f>
        <v>0</v>
      </c>
      <c r="I1365" t="str" cm="1">
        <f t="array" ref="I1365">_xlfn.IFS(Table_Sales[[#This Row],[quantity]]&lt;=3,"1-3",Table_Sales[[#This Row],[quantity]]&lt;=7,"2-7",Table_Sales[[#This Row],[quantity]]&lt;=10,"8-10",TRUE,"11 and above")</f>
        <v>1-3</v>
      </c>
      <c r="J1365" t="str" cm="1">
        <f t="array" ref="J1365">_xlfn.IFS(Table_Sales[[#This Row],[amount]]&lt;1000,"Under 1000",Table_Sales[[#This Row],[amount]]&lt;3000,"1000 - 2999",Table_Sales[[#This Row],[amount]]&lt;5000,"3000 - 4999",TRUE,"5000 &amp; above")</f>
        <v>Under 1000</v>
      </c>
      <c r="K1365">
        <f>IF(COUNTIFS(INDEX(Table_Sales[order_id],1):Table_Sales[[#This Row],[order_id]],Table_Sales[[#This Row],[order_id]])=1,1,0)</f>
        <v>0</v>
      </c>
      <c r="L136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366" spans="1:12" x14ac:dyDescent="0.25">
      <c r="A1366" t="s">
        <v>306</v>
      </c>
      <c r="B1366" s="1">
        <v>802</v>
      </c>
      <c r="C1366" s="1">
        <v>120</v>
      </c>
      <c r="D1366">
        <v>7</v>
      </c>
      <c r="E1366" t="s">
        <v>8</v>
      </c>
      <c r="F1366" t="s">
        <v>73</v>
      </c>
      <c r="G1366" t="s">
        <v>10</v>
      </c>
      <c r="H1366">
        <f>IF(Table_Sales[[#This Row],[profit]]&lt;0,1,0)</f>
        <v>0</v>
      </c>
      <c r="I1366" t="str" cm="1">
        <f t="array" ref="I1366">_xlfn.IFS(Table_Sales[[#This Row],[quantity]]&lt;=3,"1-3",Table_Sales[[#This Row],[quantity]]&lt;=7,"2-7",Table_Sales[[#This Row],[quantity]]&lt;=10,"8-10",TRUE,"11 and above")</f>
        <v>2-7</v>
      </c>
      <c r="J1366" t="str" cm="1">
        <f t="array" ref="J1366">_xlfn.IFS(Table_Sales[[#This Row],[amount]]&lt;1000,"Under 1000",Table_Sales[[#This Row],[amount]]&lt;3000,"1000 - 2999",Table_Sales[[#This Row],[amount]]&lt;5000,"3000 - 4999",TRUE,"5000 &amp; above")</f>
        <v>Under 1000</v>
      </c>
      <c r="K1366">
        <f>IF(COUNTIFS(INDEX(Table_Sales[order_id],1):Table_Sales[[#This Row],[order_id]],Table_Sales[[#This Row],[order_id]])=1,1,0)</f>
        <v>0</v>
      </c>
      <c r="L136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367" spans="1:12" x14ac:dyDescent="0.25">
      <c r="A1367" t="s">
        <v>515</v>
      </c>
      <c r="B1367" s="1">
        <v>811</v>
      </c>
      <c r="C1367" s="1">
        <v>154</v>
      </c>
      <c r="D1367">
        <v>7</v>
      </c>
      <c r="E1367" t="s">
        <v>8</v>
      </c>
      <c r="F1367" t="s">
        <v>73</v>
      </c>
      <c r="G1367" t="s">
        <v>28</v>
      </c>
      <c r="H1367">
        <f>IF(Table_Sales[[#This Row],[profit]]&lt;0,1,0)</f>
        <v>0</v>
      </c>
      <c r="I1367" t="str" cm="1">
        <f t="array" ref="I1367">_xlfn.IFS(Table_Sales[[#This Row],[quantity]]&lt;=3,"1-3",Table_Sales[[#This Row],[quantity]]&lt;=7,"2-7",Table_Sales[[#This Row],[quantity]]&lt;=10,"8-10",TRUE,"11 and above")</f>
        <v>2-7</v>
      </c>
      <c r="J1367" t="str" cm="1">
        <f t="array" ref="J1367">_xlfn.IFS(Table_Sales[[#This Row],[amount]]&lt;1000,"Under 1000",Table_Sales[[#This Row],[amount]]&lt;3000,"1000 - 2999",Table_Sales[[#This Row],[amount]]&lt;5000,"3000 - 4999",TRUE,"5000 &amp; above")</f>
        <v>Under 1000</v>
      </c>
      <c r="K1367">
        <f>IF(COUNTIFS(INDEX(Table_Sales[order_id],1):Table_Sales[[#This Row],[order_id]],Table_Sales[[#This Row],[order_id]])=1,1,0)</f>
        <v>1</v>
      </c>
      <c r="L136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368" spans="1:12" x14ac:dyDescent="0.25">
      <c r="A1368" t="s">
        <v>458</v>
      </c>
      <c r="B1368" s="1">
        <v>835</v>
      </c>
      <c r="C1368" s="1">
        <v>267</v>
      </c>
      <c r="D1368">
        <v>5</v>
      </c>
      <c r="E1368" t="s">
        <v>8</v>
      </c>
      <c r="F1368" t="s">
        <v>21</v>
      </c>
      <c r="G1368" t="s">
        <v>82</v>
      </c>
      <c r="H1368">
        <f>IF(Table_Sales[[#This Row],[profit]]&lt;0,1,0)</f>
        <v>0</v>
      </c>
      <c r="I1368" t="str" cm="1">
        <f t="array" ref="I1368">_xlfn.IFS(Table_Sales[[#This Row],[quantity]]&lt;=3,"1-3",Table_Sales[[#This Row],[quantity]]&lt;=7,"2-7",Table_Sales[[#This Row],[quantity]]&lt;=10,"8-10",TRUE,"11 and above")</f>
        <v>2-7</v>
      </c>
      <c r="J1368" t="str" cm="1">
        <f t="array" ref="J1368">_xlfn.IFS(Table_Sales[[#This Row],[amount]]&lt;1000,"Under 1000",Table_Sales[[#This Row],[amount]]&lt;3000,"1000 - 2999",Table_Sales[[#This Row],[amount]]&lt;5000,"3000 - 4999",TRUE,"5000 &amp; above")</f>
        <v>Under 1000</v>
      </c>
      <c r="K1368">
        <f>IF(COUNTIFS(INDEX(Table_Sales[order_id],1):Table_Sales[[#This Row],[order_id]],Table_Sales[[#This Row],[order_id]])=1,1,0)</f>
        <v>0</v>
      </c>
      <c r="L136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369" spans="1:12" x14ac:dyDescent="0.25">
      <c r="A1369" t="s">
        <v>279</v>
      </c>
      <c r="B1369" s="1">
        <v>21</v>
      </c>
      <c r="C1369" s="1">
        <v>-5</v>
      </c>
      <c r="D1369">
        <v>1</v>
      </c>
      <c r="E1369" t="s">
        <v>8</v>
      </c>
      <c r="F1369" t="s">
        <v>73</v>
      </c>
      <c r="G1369" t="s">
        <v>10</v>
      </c>
      <c r="H1369">
        <f>IF(Table_Sales[[#This Row],[profit]]&lt;0,1,0)</f>
        <v>1</v>
      </c>
      <c r="I1369" t="str" cm="1">
        <f t="array" ref="I1369">_xlfn.IFS(Table_Sales[[#This Row],[quantity]]&lt;=3,"1-3",Table_Sales[[#This Row],[quantity]]&lt;=7,"2-7",Table_Sales[[#This Row],[quantity]]&lt;=10,"8-10",TRUE,"11 and above")</f>
        <v>1-3</v>
      </c>
      <c r="J1369" t="str" cm="1">
        <f t="array" ref="J1369">_xlfn.IFS(Table_Sales[[#This Row],[amount]]&lt;1000,"Under 1000",Table_Sales[[#This Row],[amount]]&lt;3000,"1000 - 2999",Table_Sales[[#This Row],[amount]]&lt;5000,"3000 - 4999",TRUE,"5000 &amp; above")</f>
        <v>Under 1000</v>
      </c>
      <c r="K1369">
        <f>IF(COUNTIFS(INDEX(Table_Sales[order_id],1):Table_Sales[[#This Row],[order_id]],Table_Sales[[#This Row],[order_id]])=1,1,0)</f>
        <v>0</v>
      </c>
      <c r="L136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370" spans="1:12" x14ac:dyDescent="0.25">
      <c r="A1370" t="s">
        <v>294</v>
      </c>
      <c r="B1370" s="1">
        <v>450</v>
      </c>
      <c r="C1370" s="1">
        <v>-190</v>
      </c>
      <c r="D1370">
        <v>4</v>
      </c>
      <c r="E1370" t="s">
        <v>12</v>
      </c>
      <c r="F1370" t="s">
        <v>16</v>
      </c>
      <c r="G1370" t="s">
        <v>10</v>
      </c>
      <c r="H1370">
        <f>IF(Table_Sales[[#This Row],[profit]]&lt;0,1,0)</f>
        <v>1</v>
      </c>
      <c r="I1370" t="str" cm="1">
        <f t="array" ref="I1370">_xlfn.IFS(Table_Sales[[#This Row],[quantity]]&lt;=3,"1-3",Table_Sales[[#This Row],[quantity]]&lt;=7,"2-7",Table_Sales[[#This Row],[quantity]]&lt;=10,"8-10",TRUE,"11 and above")</f>
        <v>2-7</v>
      </c>
      <c r="J1370" t="str" cm="1">
        <f t="array" ref="J1370">_xlfn.IFS(Table_Sales[[#This Row],[amount]]&lt;1000,"Under 1000",Table_Sales[[#This Row],[amount]]&lt;3000,"1000 - 2999",Table_Sales[[#This Row],[amount]]&lt;5000,"3000 - 4999",TRUE,"5000 &amp; above")</f>
        <v>Under 1000</v>
      </c>
      <c r="K1370">
        <f>IF(COUNTIFS(INDEX(Table_Sales[order_id],1):Table_Sales[[#This Row],[order_id]],Table_Sales[[#This Row],[order_id]])=1,1,0)</f>
        <v>0</v>
      </c>
      <c r="L137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371" spans="1:12" x14ac:dyDescent="0.25">
      <c r="A1371" t="s">
        <v>307</v>
      </c>
      <c r="B1371" s="1">
        <v>24</v>
      </c>
      <c r="C1371" s="1">
        <v>-1</v>
      </c>
      <c r="D1371">
        <v>4</v>
      </c>
      <c r="E1371" t="s">
        <v>23</v>
      </c>
      <c r="F1371" t="s">
        <v>43</v>
      </c>
      <c r="G1371" t="s">
        <v>19</v>
      </c>
      <c r="H1371">
        <f>IF(Table_Sales[[#This Row],[profit]]&lt;0,1,0)</f>
        <v>1</v>
      </c>
      <c r="I1371" t="str" cm="1">
        <f t="array" ref="I1371">_xlfn.IFS(Table_Sales[[#This Row],[quantity]]&lt;=3,"1-3",Table_Sales[[#This Row],[quantity]]&lt;=7,"2-7",Table_Sales[[#This Row],[quantity]]&lt;=10,"8-10",TRUE,"11 and above")</f>
        <v>2-7</v>
      </c>
      <c r="J1371" t="str" cm="1">
        <f t="array" ref="J1371">_xlfn.IFS(Table_Sales[[#This Row],[amount]]&lt;1000,"Under 1000",Table_Sales[[#This Row],[amount]]&lt;3000,"1000 - 2999",Table_Sales[[#This Row],[amount]]&lt;5000,"3000 - 4999",TRUE,"5000 &amp; above")</f>
        <v>Under 1000</v>
      </c>
      <c r="K1371">
        <f>IF(COUNTIFS(INDEX(Table_Sales[order_id],1):Table_Sales[[#This Row],[order_id]],Table_Sales[[#This Row],[order_id]])=1,1,0)</f>
        <v>0</v>
      </c>
      <c r="L137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372" spans="1:12" x14ac:dyDescent="0.25">
      <c r="A1372" t="s">
        <v>516</v>
      </c>
      <c r="B1372" s="1">
        <v>832</v>
      </c>
      <c r="C1372" s="1">
        <v>0</v>
      </c>
      <c r="D1372">
        <v>3</v>
      </c>
      <c r="E1372" t="s">
        <v>23</v>
      </c>
      <c r="F1372" t="s">
        <v>24</v>
      </c>
      <c r="G1372" t="s">
        <v>28</v>
      </c>
      <c r="H1372">
        <f>IF(Table_Sales[[#This Row],[profit]]&lt;0,1,0)</f>
        <v>0</v>
      </c>
      <c r="I1372" t="str" cm="1">
        <f t="array" ref="I1372">_xlfn.IFS(Table_Sales[[#This Row],[quantity]]&lt;=3,"1-3",Table_Sales[[#This Row],[quantity]]&lt;=7,"2-7",Table_Sales[[#This Row],[quantity]]&lt;=10,"8-10",TRUE,"11 and above")</f>
        <v>1-3</v>
      </c>
      <c r="J1372" t="str" cm="1">
        <f t="array" ref="J1372">_xlfn.IFS(Table_Sales[[#This Row],[amount]]&lt;1000,"Under 1000",Table_Sales[[#This Row],[amount]]&lt;3000,"1000 - 2999",Table_Sales[[#This Row],[amount]]&lt;5000,"3000 - 4999",TRUE,"5000 &amp; above")</f>
        <v>Under 1000</v>
      </c>
      <c r="K1372">
        <f>IF(COUNTIFS(INDEX(Table_Sales[order_id],1):Table_Sales[[#This Row],[order_id]],Table_Sales[[#This Row],[order_id]])=1,1,0)</f>
        <v>1</v>
      </c>
      <c r="L137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373" spans="1:12" x14ac:dyDescent="0.25">
      <c r="A1373" t="s">
        <v>361</v>
      </c>
      <c r="B1373" s="1">
        <v>833</v>
      </c>
      <c r="C1373" s="1">
        <v>93</v>
      </c>
      <c r="D1373">
        <v>3</v>
      </c>
      <c r="E1373" t="s">
        <v>23</v>
      </c>
      <c r="F1373" t="s">
        <v>24</v>
      </c>
      <c r="G1373" t="s">
        <v>28</v>
      </c>
      <c r="H1373">
        <f>IF(Table_Sales[[#This Row],[profit]]&lt;0,1,0)</f>
        <v>0</v>
      </c>
      <c r="I1373" t="str" cm="1">
        <f t="array" ref="I1373">_xlfn.IFS(Table_Sales[[#This Row],[quantity]]&lt;=3,"1-3",Table_Sales[[#This Row],[quantity]]&lt;=7,"2-7",Table_Sales[[#This Row],[quantity]]&lt;=10,"8-10",TRUE,"11 and above")</f>
        <v>1-3</v>
      </c>
      <c r="J1373" t="str" cm="1">
        <f t="array" ref="J1373">_xlfn.IFS(Table_Sales[[#This Row],[amount]]&lt;1000,"Under 1000",Table_Sales[[#This Row],[amount]]&lt;3000,"1000 - 2999",Table_Sales[[#This Row],[amount]]&lt;5000,"3000 - 4999",TRUE,"5000 &amp; above")</f>
        <v>Under 1000</v>
      </c>
      <c r="K1373">
        <f>IF(COUNTIFS(INDEX(Table_Sales[order_id],1):Table_Sales[[#This Row],[order_id]],Table_Sales[[#This Row],[order_id]])=1,1,0)</f>
        <v>0</v>
      </c>
      <c r="L137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374" spans="1:12" x14ac:dyDescent="0.25">
      <c r="A1374" t="s">
        <v>517</v>
      </c>
      <c r="B1374" s="1">
        <v>20</v>
      </c>
      <c r="C1374" s="1">
        <v>6</v>
      </c>
      <c r="D1374">
        <v>1</v>
      </c>
      <c r="E1374" t="s">
        <v>23</v>
      </c>
      <c r="F1374" t="s">
        <v>81</v>
      </c>
      <c r="G1374" t="s">
        <v>10</v>
      </c>
      <c r="H1374">
        <f>IF(Table_Sales[[#This Row],[profit]]&lt;0,1,0)</f>
        <v>0</v>
      </c>
      <c r="I1374" t="str" cm="1">
        <f t="array" ref="I1374">_xlfn.IFS(Table_Sales[[#This Row],[quantity]]&lt;=3,"1-3",Table_Sales[[#This Row],[quantity]]&lt;=7,"2-7",Table_Sales[[#This Row],[quantity]]&lt;=10,"8-10",TRUE,"11 and above")</f>
        <v>1-3</v>
      </c>
      <c r="J1374" t="str" cm="1">
        <f t="array" ref="J1374">_xlfn.IFS(Table_Sales[[#This Row],[amount]]&lt;1000,"Under 1000",Table_Sales[[#This Row],[amount]]&lt;3000,"1000 - 2999",Table_Sales[[#This Row],[amount]]&lt;5000,"3000 - 4999",TRUE,"5000 &amp; above")</f>
        <v>Under 1000</v>
      </c>
      <c r="K1374">
        <f>IF(COUNTIFS(INDEX(Table_Sales[order_id],1):Table_Sales[[#This Row],[order_id]],Table_Sales[[#This Row],[order_id]])=1,1,0)</f>
        <v>1</v>
      </c>
      <c r="L137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375" spans="1:12" x14ac:dyDescent="0.25">
      <c r="A1375" t="s">
        <v>418</v>
      </c>
      <c r="B1375" s="1">
        <v>23</v>
      </c>
      <c r="C1375" s="1">
        <v>-5</v>
      </c>
      <c r="D1375">
        <v>7</v>
      </c>
      <c r="E1375" t="s">
        <v>23</v>
      </c>
      <c r="F1375" t="s">
        <v>30</v>
      </c>
      <c r="G1375" t="s">
        <v>19</v>
      </c>
      <c r="H1375">
        <f>IF(Table_Sales[[#This Row],[profit]]&lt;0,1,0)</f>
        <v>1</v>
      </c>
      <c r="I1375" t="str" cm="1">
        <f t="array" ref="I1375">_xlfn.IFS(Table_Sales[[#This Row],[quantity]]&lt;=3,"1-3",Table_Sales[[#This Row],[quantity]]&lt;=7,"2-7",Table_Sales[[#This Row],[quantity]]&lt;=10,"8-10",TRUE,"11 and above")</f>
        <v>2-7</v>
      </c>
      <c r="J1375" t="str" cm="1">
        <f t="array" ref="J1375">_xlfn.IFS(Table_Sales[[#This Row],[amount]]&lt;1000,"Under 1000",Table_Sales[[#This Row],[amount]]&lt;3000,"1000 - 2999",Table_Sales[[#This Row],[amount]]&lt;5000,"3000 - 4999",TRUE,"5000 &amp; above")</f>
        <v>Under 1000</v>
      </c>
      <c r="K1375">
        <f>IF(COUNTIFS(INDEX(Table_Sales[order_id],1):Table_Sales[[#This Row],[order_id]],Table_Sales[[#This Row],[order_id]])=1,1,0)</f>
        <v>0</v>
      </c>
      <c r="L137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376" spans="1:12" x14ac:dyDescent="0.25">
      <c r="A1376" t="s">
        <v>171</v>
      </c>
      <c r="B1376" s="1">
        <v>550</v>
      </c>
      <c r="C1376" s="1">
        <v>-242</v>
      </c>
      <c r="D1376">
        <v>5</v>
      </c>
      <c r="E1376" t="s">
        <v>12</v>
      </c>
      <c r="F1376" t="s">
        <v>131</v>
      </c>
      <c r="G1376" t="s">
        <v>28</v>
      </c>
      <c r="H1376">
        <f>IF(Table_Sales[[#This Row],[profit]]&lt;0,1,0)</f>
        <v>1</v>
      </c>
      <c r="I1376" t="str" cm="1">
        <f t="array" ref="I1376">_xlfn.IFS(Table_Sales[[#This Row],[quantity]]&lt;=3,"1-3",Table_Sales[[#This Row],[quantity]]&lt;=7,"2-7",Table_Sales[[#This Row],[quantity]]&lt;=10,"8-10",TRUE,"11 and above")</f>
        <v>2-7</v>
      </c>
      <c r="J1376" t="str" cm="1">
        <f t="array" ref="J1376">_xlfn.IFS(Table_Sales[[#This Row],[amount]]&lt;1000,"Under 1000",Table_Sales[[#This Row],[amount]]&lt;3000,"1000 - 2999",Table_Sales[[#This Row],[amount]]&lt;5000,"3000 - 4999",TRUE,"5000 &amp; above")</f>
        <v>Under 1000</v>
      </c>
      <c r="K1376">
        <f>IF(COUNTIFS(INDEX(Table_Sales[order_id],1):Table_Sales[[#This Row],[order_id]],Table_Sales[[#This Row],[order_id]])=1,1,0)</f>
        <v>0</v>
      </c>
      <c r="L137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377" spans="1:12" x14ac:dyDescent="0.25">
      <c r="A1377" t="s">
        <v>344</v>
      </c>
      <c r="B1377" s="1">
        <v>148</v>
      </c>
      <c r="C1377" s="1">
        <v>-91</v>
      </c>
      <c r="D1377">
        <v>2</v>
      </c>
      <c r="E1377" t="s">
        <v>8</v>
      </c>
      <c r="F1377" t="s">
        <v>21</v>
      </c>
      <c r="G1377" t="s">
        <v>10</v>
      </c>
      <c r="H1377">
        <f>IF(Table_Sales[[#This Row],[profit]]&lt;0,1,0)</f>
        <v>1</v>
      </c>
      <c r="I1377" t="str" cm="1">
        <f t="array" ref="I1377">_xlfn.IFS(Table_Sales[[#This Row],[quantity]]&lt;=3,"1-3",Table_Sales[[#This Row],[quantity]]&lt;=7,"2-7",Table_Sales[[#This Row],[quantity]]&lt;=10,"8-10",TRUE,"11 and above")</f>
        <v>1-3</v>
      </c>
      <c r="J1377" t="str" cm="1">
        <f t="array" ref="J1377">_xlfn.IFS(Table_Sales[[#This Row],[amount]]&lt;1000,"Under 1000",Table_Sales[[#This Row],[amount]]&lt;3000,"1000 - 2999",Table_Sales[[#This Row],[amount]]&lt;5000,"3000 - 4999",TRUE,"5000 &amp; above")</f>
        <v>Under 1000</v>
      </c>
      <c r="K1377">
        <f>IF(COUNTIFS(INDEX(Table_Sales[order_id],1):Table_Sales[[#This Row],[order_id]],Table_Sales[[#This Row],[order_id]])=1,1,0)</f>
        <v>0</v>
      </c>
      <c r="L137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378" spans="1:12" x14ac:dyDescent="0.25">
      <c r="A1378" t="s">
        <v>178</v>
      </c>
      <c r="B1378" s="1">
        <v>846</v>
      </c>
      <c r="C1378" s="1">
        <v>9</v>
      </c>
      <c r="D1378">
        <v>2</v>
      </c>
      <c r="E1378" t="s">
        <v>12</v>
      </c>
      <c r="F1378" t="s">
        <v>13</v>
      </c>
      <c r="G1378" t="s">
        <v>82</v>
      </c>
      <c r="H1378">
        <f>IF(Table_Sales[[#This Row],[profit]]&lt;0,1,0)</f>
        <v>0</v>
      </c>
      <c r="I1378" t="str" cm="1">
        <f t="array" ref="I1378">_xlfn.IFS(Table_Sales[[#This Row],[quantity]]&lt;=3,"1-3",Table_Sales[[#This Row],[quantity]]&lt;=7,"2-7",Table_Sales[[#This Row],[quantity]]&lt;=10,"8-10",TRUE,"11 and above")</f>
        <v>1-3</v>
      </c>
      <c r="J1378" t="str" cm="1">
        <f t="array" ref="J1378">_xlfn.IFS(Table_Sales[[#This Row],[amount]]&lt;1000,"Under 1000",Table_Sales[[#This Row],[amount]]&lt;3000,"1000 - 2999",Table_Sales[[#This Row],[amount]]&lt;5000,"3000 - 4999",TRUE,"5000 &amp; above")</f>
        <v>Under 1000</v>
      </c>
      <c r="K1378">
        <f>IF(COUNTIFS(INDEX(Table_Sales[order_id],1):Table_Sales[[#This Row],[order_id]],Table_Sales[[#This Row],[order_id]])=1,1,0)</f>
        <v>0</v>
      </c>
      <c r="L137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379" spans="1:12" x14ac:dyDescent="0.25">
      <c r="A1379" t="s">
        <v>87</v>
      </c>
      <c r="B1379" s="1">
        <v>856</v>
      </c>
      <c r="C1379" s="1">
        <v>385</v>
      </c>
      <c r="D1379">
        <v>6</v>
      </c>
      <c r="E1379" t="s">
        <v>8</v>
      </c>
      <c r="F1379" t="s">
        <v>18</v>
      </c>
      <c r="G1379" t="s">
        <v>10</v>
      </c>
      <c r="H1379">
        <f>IF(Table_Sales[[#This Row],[profit]]&lt;0,1,0)</f>
        <v>0</v>
      </c>
      <c r="I1379" t="str" cm="1">
        <f t="array" ref="I1379">_xlfn.IFS(Table_Sales[[#This Row],[quantity]]&lt;=3,"1-3",Table_Sales[[#This Row],[quantity]]&lt;=7,"2-7",Table_Sales[[#This Row],[quantity]]&lt;=10,"8-10",TRUE,"11 and above")</f>
        <v>2-7</v>
      </c>
      <c r="J1379" t="str" cm="1">
        <f t="array" ref="J1379">_xlfn.IFS(Table_Sales[[#This Row],[amount]]&lt;1000,"Under 1000",Table_Sales[[#This Row],[amount]]&lt;3000,"1000 - 2999",Table_Sales[[#This Row],[amount]]&lt;5000,"3000 - 4999",TRUE,"5000 &amp; above")</f>
        <v>Under 1000</v>
      </c>
      <c r="K1379">
        <f>IF(COUNTIFS(INDEX(Table_Sales[order_id],1):Table_Sales[[#This Row],[order_id]],Table_Sales[[#This Row],[order_id]])=1,1,0)</f>
        <v>0</v>
      </c>
      <c r="L137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380" spans="1:12" x14ac:dyDescent="0.25">
      <c r="A1380" t="s">
        <v>374</v>
      </c>
      <c r="B1380" s="1">
        <v>871</v>
      </c>
      <c r="C1380" s="1">
        <v>131</v>
      </c>
      <c r="D1380">
        <v>2</v>
      </c>
      <c r="E1380" t="s">
        <v>12</v>
      </c>
      <c r="F1380" t="s">
        <v>16</v>
      </c>
      <c r="G1380" t="s">
        <v>28</v>
      </c>
      <c r="H1380">
        <f>IF(Table_Sales[[#This Row],[profit]]&lt;0,1,0)</f>
        <v>0</v>
      </c>
      <c r="I1380" t="str" cm="1">
        <f t="array" ref="I1380">_xlfn.IFS(Table_Sales[[#This Row],[quantity]]&lt;=3,"1-3",Table_Sales[[#This Row],[quantity]]&lt;=7,"2-7",Table_Sales[[#This Row],[quantity]]&lt;=10,"8-10",TRUE,"11 and above")</f>
        <v>1-3</v>
      </c>
      <c r="J1380" t="str" cm="1">
        <f t="array" ref="J1380">_xlfn.IFS(Table_Sales[[#This Row],[amount]]&lt;1000,"Under 1000",Table_Sales[[#This Row],[amount]]&lt;3000,"1000 - 2999",Table_Sales[[#This Row],[amount]]&lt;5000,"3000 - 4999",TRUE,"5000 &amp; above")</f>
        <v>Under 1000</v>
      </c>
      <c r="K1380">
        <f>IF(COUNTIFS(INDEX(Table_Sales[order_id],1):Table_Sales[[#This Row],[order_id]],Table_Sales[[#This Row],[order_id]])=1,1,0)</f>
        <v>0</v>
      </c>
      <c r="L138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381" spans="1:12" x14ac:dyDescent="0.25">
      <c r="A1381" t="s">
        <v>211</v>
      </c>
      <c r="B1381" s="1">
        <v>19</v>
      </c>
      <c r="C1381" s="1">
        <v>-18</v>
      </c>
      <c r="D1381">
        <v>4</v>
      </c>
      <c r="E1381" t="s">
        <v>23</v>
      </c>
      <c r="F1381" t="s">
        <v>32</v>
      </c>
      <c r="G1381" t="s">
        <v>10</v>
      </c>
      <c r="H1381">
        <f>IF(Table_Sales[[#This Row],[profit]]&lt;0,1,0)</f>
        <v>1</v>
      </c>
      <c r="I1381" t="str" cm="1">
        <f t="array" ref="I1381">_xlfn.IFS(Table_Sales[[#This Row],[quantity]]&lt;=3,"1-3",Table_Sales[[#This Row],[quantity]]&lt;=7,"2-7",Table_Sales[[#This Row],[quantity]]&lt;=10,"8-10",TRUE,"11 and above")</f>
        <v>2-7</v>
      </c>
      <c r="J1381" t="str" cm="1">
        <f t="array" ref="J1381">_xlfn.IFS(Table_Sales[[#This Row],[amount]]&lt;1000,"Under 1000",Table_Sales[[#This Row],[amount]]&lt;3000,"1000 - 2999",Table_Sales[[#This Row],[amount]]&lt;5000,"3000 - 4999",TRUE,"5000 &amp; above")</f>
        <v>Under 1000</v>
      </c>
      <c r="K1381">
        <f>IF(COUNTIFS(INDEX(Table_Sales[order_id],1):Table_Sales[[#This Row],[order_id]],Table_Sales[[#This Row],[order_id]])=1,1,0)</f>
        <v>0</v>
      </c>
      <c r="L138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382" spans="1:12" x14ac:dyDescent="0.25">
      <c r="A1382" t="s">
        <v>518</v>
      </c>
      <c r="B1382" s="1">
        <v>610</v>
      </c>
      <c r="C1382" s="1">
        <v>-66</v>
      </c>
      <c r="D1382">
        <v>2</v>
      </c>
      <c r="E1382" t="s">
        <v>12</v>
      </c>
      <c r="F1382" t="s">
        <v>45</v>
      </c>
      <c r="G1382" t="s">
        <v>10</v>
      </c>
      <c r="H1382">
        <f>IF(Table_Sales[[#This Row],[profit]]&lt;0,1,0)</f>
        <v>1</v>
      </c>
      <c r="I1382" t="str" cm="1">
        <f t="array" ref="I1382">_xlfn.IFS(Table_Sales[[#This Row],[quantity]]&lt;=3,"1-3",Table_Sales[[#This Row],[quantity]]&lt;=7,"2-7",Table_Sales[[#This Row],[quantity]]&lt;=10,"8-10",TRUE,"11 and above")</f>
        <v>1-3</v>
      </c>
      <c r="J1382" t="str" cm="1">
        <f t="array" ref="J1382">_xlfn.IFS(Table_Sales[[#This Row],[amount]]&lt;1000,"Under 1000",Table_Sales[[#This Row],[amount]]&lt;3000,"1000 - 2999",Table_Sales[[#This Row],[amount]]&lt;5000,"3000 - 4999",TRUE,"5000 &amp; above")</f>
        <v>Under 1000</v>
      </c>
      <c r="K1382">
        <f>IF(COUNTIFS(INDEX(Table_Sales[order_id],1):Table_Sales[[#This Row],[order_id]],Table_Sales[[#This Row],[order_id]])=1,1,0)</f>
        <v>1</v>
      </c>
      <c r="L138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383" spans="1:12" x14ac:dyDescent="0.25">
      <c r="A1383" t="s">
        <v>359</v>
      </c>
      <c r="B1383" s="1">
        <v>880</v>
      </c>
      <c r="C1383" s="1">
        <v>97</v>
      </c>
      <c r="D1383">
        <v>8</v>
      </c>
      <c r="E1383" t="s">
        <v>12</v>
      </c>
      <c r="F1383" t="s">
        <v>131</v>
      </c>
      <c r="G1383" t="s">
        <v>82</v>
      </c>
      <c r="H1383">
        <f>IF(Table_Sales[[#This Row],[profit]]&lt;0,1,0)</f>
        <v>0</v>
      </c>
      <c r="I1383" t="str" cm="1">
        <f t="array" ref="I1383">_xlfn.IFS(Table_Sales[[#This Row],[quantity]]&lt;=3,"1-3",Table_Sales[[#This Row],[quantity]]&lt;=7,"2-7",Table_Sales[[#This Row],[quantity]]&lt;=10,"8-10",TRUE,"11 and above")</f>
        <v>8-10</v>
      </c>
      <c r="J1383" t="str" cm="1">
        <f t="array" ref="J1383">_xlfn.IFS(Table_Sales[[#This Row],[amount]]&lt;1000,"Under 1000",Table_Sales[[#This Row],[amount]]&lt;3000,"1000 - 2999",Table_Sales[[#This Row],[amount]]&lt;5000,"3000 - 4999",TRUE,"5000 &amp; above")</f>
        <v>Under 1000</v>
      </c>
      <c r="K1383">
        <f>IF(COUNTIFS(INDEX(Table_Sales[order_id],1):Table_Sales[[#This Row],[order_id]],Table_Sales[[#This Row],[order_id]])=1,1,0)</f>
        <v>0</v>
      </c>
      <c r="L138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384" spans="1:12" x14ac:dyDescent="0.25">
      <c r="A1384" t="s">
        <v>132</v>
      </c>
      <c r="B1384" s="1">
        <v>22</v>
      </c>
      <c r="C1384" s="1">
        <v>-8</v>
      </c>
      <c r="D1384">
        <v>4</v>
      </c>
      <c r="E1384" t="s">
        <v>23</v>
      </c>
      <c r="F1384" t="s">
        <v>30</v>
      </c>
      <c r="G1384" t="s">
        <v>19</v>
      </c>
      <c r="H1384">
        <f>IF(Table_Sales[[#This Row],[profit]]&lt;0,1,0)</f>
        <v>1</v>
      </c>
      <c r="I1384" t="str" cm="1">
        <f t="array" ref="I1384">_xlfn.IFS(Table_Sales[[#This Row],[quantity]]&lt;=3,"1-3",Table_Sales[[#This Row],[quantity]]&lt;=7,"2-7",Table_Sales[[#This Row],[quantity]]&lt;=10,"8-10",TRUE,"11 and above")</f>
        <v>2-7</v>
      </c>
      <c r="J1384" t="str" cm="1">
        <f t="array" ref="J1384">_xlfn.IFS(Table_Sales[[#This Row],[amount]]&lt;1000,"Under 1000",Table_Sales[[#This Row],[amount]]&lt;3000,"1000 - 2999",Table_Sales[[#This Row],[amount]]&lt;5000,"3000 - 4999",TRUE,"5000 &amp; above")</f>
        <v>Under 1000</v>
      </c>
      <c r="K1384">
        <f>IF(COUNTIFS(INDEX(Table_Sales[order_id],1):Table_Sales[[#This Row],[order_id]],Table_Sales[[#This Row],[order_id]])=1,1,0)</f>
        <v>0</v>
      </c>
      <c r="L138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385" spans="1:12" x14ac:dyDescent="0.25">
      <c r="A1385" t="s">
        <v>519</v>
      </c>
      <c r="B1385" s="1">
        <v>22</v>
      </c>
      <c r="C1385" s="1">
        <v>11</v>
      </c>
      <c r="D1385">
        <v>2</v>
      </c>
      <c r="E1385" t="s">
        <v>23</v>
      </c>
      <c r="F1385" t="s">
        <v>43</v>
      </c>
      <c r="G1385" t="s">
        <v>19</v>
      </c>
      <c r="H1385">
        <f>IF(Table_Sales[[#This Row],[profit]]&lt;0,1,0)</f>
        <v>0</v>
      </c>
      <c r="I1385" t="str" cm="1">
        <f t="array" ref="I1385">_xlfn.IFS(Table_Sales[[#This Row],[quantity]]&lt;=3,"1-3",Table_Sales[[#This Row],[quantity]]&lt;=7,"2-7",Table_Sales[[#This Row],[quantity]]&lt;=10,"8-10",TRUE,"11 and above")</f>
        <v>1-3</v>
      </c>
      <c r="J1385" t="str" cm="1">
        <f t="array" ref="J1385">_xlfn.IFS(Table_Sales[[#This Row],[amount]]&lt;1000,"Under 1000",Table_Sales[[#This Row],[amount]]&lt;3000,"1000 - 2999",Table_Sales[[#This Row],[amount]]&lt;5000,"3000 - 4999",TRUE,"5000 &amp; above")</f>
        <v>Under 1000</v>
      </c>
      <c r="K1385">
        <f>IF(COUNTIFS(INDEX(Table_Sales[order_id],1):Table_Sales[[#This Row],[order_id]],Table_Sales[[#This Row],[order_id]])=1,1,0)</f>
        <v>1</v>
      </c>
      <c r="L138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386" spans="1:12" x14ac:dyDescent="0.25">
      <c r="A1386" t="s">
        <v>520</v>
      </c>
      <c r="B1386" s="1">
        <v>21</v>
      </c>
      <c r="C1386" s="1">
        <v>4</v>
      </c>
      <c r="D1386">
        <v>3</v>
      </c>
      <c r="E1386" t="s">
        <v>23</v>
      </c>
      <c r="F1386" t="s">
        <v>30</v>
      </c>
      <c r="G1386" t="s">
        <v>19</v>
      </c>
      <c r="H1386">
        <f>IF(Table_Sales[[#This Row],[profit]]&lt;0,1,0)</f>
        <v>0</v>
      </c>
      <c r="I1386" t="str" cm="1">
        <f t="array" ref="I1386">_xlfn.IFS(Table_Sales[[#This Row],[quantity]]&lt;=3,"1-3",Table_Sales[[#This Row],[quantity]]&lt;=7,"2-7",Table_Sales[[#This Row],[quantity]]&lt;=10,"8-10",TRUE,"11 and above")</f>
        <v>1-3</v>
      </c>
      <c r="J1386" t="str" cm="1">
        <f t="array" ref="J1386">_xlfn.IFS(Table_Sales[[#This Row],[amount]]&lt;1000,"Under 1000",Table_Sales[[#This Row],[amount]]&lt;3000,"1000 - 2999",Table_Sales[[#This Row],[amount]]&lt;5000,"3000 - 4999",TRUE,"5000 &amp; above")</f>
        <v>Under 1000</v>
      </c>
      <c r="K1386">
        <f>IF(COUNTIFS(INDEX(Table_Sales[order_id],1):Table_Sales[[#This Row],[order_id]],Table_Sales[[#This Row],[order_id]])=1,1,0)</f>
        <v>1</v>
      </c>
      <c r="L138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387" spans="1:12" x14ac:dyDescent="0.25">
      <c r="A1387" t="s">
        <v>307</v>
      </c>
      <c r="B1387" s="1">
        <v>18</v>
      </c>
      <c r="C1387" s="1">
        <v>1</v>
      </c>
      <c r="D1387">
        <v>3</v>
      </c>
      <c r="E1387" t="s">
        <v>23</v>
      </c>
      <c r="F1387" t="s">
        <v>30</v>
      </c>
      <c r="G1387" t="s">
        <v>10</v>
      </c>
      <c r="H1387">
        <f>IF(Table_Sales[[#This Row],[profit]]&lt;0,1,0)</f>
        <v>0</v>
      </c>
      <c r="I1387" t="str" cm="1">
        <f t="array" ref="I1387">_xlfn.IFS(Table_Sales[[#This Row],[quantity]]&lt;=3,"1-3",Table_Sales[[#This Row],[quantity]]&lt;=7,"2-7",Table_Sales[[#This Row],[quantity]]&lt;=10,"8-10",TRUE,"11 and above")</f>
        <v>1-3</v>
      </c>
      <c r="J1387" t="str" cm="1">
        <f t="array" ref="J1387">_xlfn.IFS(Table_Sales[[#This Row],[amount]]&lt;1000,"Under 1000",Table_Sales[[#This Row],[amount]]&lt;3000,"1000 - 2999",Table_Sales[[#This Row],[amount]]&lt;5000,"3000 - 4999",TRUE,"5000 &amp; above")</f>
        <v>Under 1000</v>
      </c>
      <c r="K1387">
        <f>IF(COUNTIFS(INDEX(Table_Sales[order_id],1):Table_Sales[[#This Row],[order_id]],Table_Sales[[#This Row],[order_id]])=1,1,0)</f>
        <v>0</v>
      </c>
      <c r="L138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388" spans="1:12" x14ac:dyDescent="0.25">
      <c r="A1388" t="s">
        <v>521</v>
      </c>
      <c r="B1388" s="1">
        <v>911</v>
      </c>
      <c r="C1388" s="1">
        <v>202</v>
      </c>
      <c r="D1388">
        <v>7</v>
      </c>
      <c r="E1388" t="s">
        <v>12</v>
      </c>
      <c r="F1388" t="s">
        <v>13</v>
      </c>
      <c r="G1388" t="s">
        <v>10</v>
      </c>
      <c r="H1388">
        <f>IF(Table_Sales[[#This Row],[profit]]&lt;0,1,0)</f>
        <v>0</v>
      </c>
      <c r="I1388" t="str" cm="1">
        <f t="array" ref="I1388">_xlfn.IFS(Table_Sales[[#This Row],[quantity]]&lt;=3,"1-3",Table_Sales[[#This Row],[quantity]]&lt;=7,"2-7",Table_Sales[[#This Row],[quantity]]&lt;=10,"8-10",TRUE,"11 and above")</f>
        <v>2-7</v>
      </c>
      <c r="J1388" t="str" cm="1">
        <f t="array" ref="J1388">_xlfn.IFS(Table_Sales[[#This Row],[amount]]&lt;1000,"Under 1000",Table_Sales[[#This Row],[amount]]&lt;3000,"1000 - 2999",Table_Sales[[#This Row],[amount]]&lt;5000,"3000 - 4999",TRUE,"5000 &amp; above")</f>
        <v>Under 1000</v>
      </c>
      <c r="K1388">
        <f>IF(COUNTIFS(INDEX(Table_Sales[order_id],1):Table_Sales[[#This Row],[order_id]],Table_Sales[[#This Row],[order_id]])=1,1,0)</f>
        <v>1</v>
      </c>
      <c r="L138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389" spans="1:12" x14ac:dyDescent="0.25">
      <c r="A1389" t="s">
        <v>299</v>
      </c>
      <c r="B1389" s="1">
        <v>18</v>
      </c>
      <c r="C1389" s="1">
        <v>2</v>
      </c>
      <c r="D1389">
        <v>3</v>
      </c>
      <c r="E1389" t="s">
        <v>23</v>
      </c>
      <c r="F1389" t="s">
        <v>30</v>
      </c>
      <c r="G1389" t="s">
        <v>10</v>
      </c>
      <c r="H1389">
        <f>IF(Table_Sales[[#This Row],[profit]]&lt;0,1,0)</f>
        <v>0</v>
      </c>
      <c r="I1389" t="str" cm="1">
        <f t="array" ref="I1389">_xlfn.IFS(Table_Sales[[#This Row],[quantity]]&lt;=3,"1-3",Table_Sales[[#This Row],[quantity]]&lt;=7,"2-7",Table_Sales[[#This Row],[quantity]]&lt;=10,"8-10",TRUE,"11 and above")</f>
        <v>1-3</v>
      </c>
      <c r="J1389" t="str" cm="1">
        <f t="array" ref="J1389">_xlfn.IFS(Table_Sales[[#This Row],[amount]]&lt;1000,"Under 1000",Table_Sales[[#This Row],[amount]]&lt;3000,"1000 - 2999",Table_Sales[[#This Row],[amount]]&lt;5000,"3000 - 4999",TRUE,"5000 &amp; above")</f>
        <v>Under 1000</v>
      </c>
      <c r="K1389">
        <f>IF(COUNTIFS(INDEX(Table_Sales[order_id],1):Table_Sales[[#This Row],[order_id]],Table_Sales[[#This Row],[order_id]])=1,1,0)</f>
        <v>0</v>
      </c>
      <c r="L138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390" spans="1:12" x14ac:dyDescent="0.25">
      <c r="A1390" t="s">
        <v>349</v>
      </c>
      <c r="B1390" s="1">
        <v>911</v>
      </c>
      <c r="C1390" s="1">
        <v>355</v>
      </c>
      <c r="D1390">
        <v>5</v>
      </c>
      <c r="E1390" t="s">
        <v>8</v>
      </c>
      <c r="F1390" t="s">
        <v>21</v>
      </c>
      <c r="G1390" t="s">
        <v>82</v>
      </c>
      <c r="H1390">
        <f>IF(Table_Sales[[#This Row],[profit]]&lt;0,1,0)</f>
        <v>0</v>
      </c>
      <c r="I1390" t="str" cm="1">
        <f t="array" ref="I1390">_xlfn.IFS(Table_Sales[[#This Row],[quantity]]&lt;=3,"1-3",Table_Sales[[#This Row],[quantity]]&lt;=7,"2-7",Table_Sales[[#This Row],[quantity]]&lt;=10,"8-10",TRUE,"11 and above")</f>
        <v>2-7</v>
      </c>
      <c r="J1390" t="str" cm="1">
        <f t="array" ref="J1390">_xlfn.IFS(Table_Sales[[#This Row],[amount]]&lt;1000,"Under 1000",Table_Sales[[#This Row],[amount]]&lt;3000,"1000 - 2999",Table_Sales[[#This Row],[amount]]&lt;5000,"3000 - 4999",TRUE,"5000 &amp; above")</f>
        <v>Under 1000</v>
      </c>
      <c r="K1390">
        <f>IF(COUNTIFS(INDEX(Table_Sales[order_id],1):Table_Sales[[#This Row],[order_id]],Table_Sales[[#This Row],[order_id]])=1,1,0)</f>
        <v>0</v>
      </c>
      <c r="L139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391" spans="1:12" x14ac:dyDescent="0.25">
      <c r="A1391" t="s">
        <v>229</v>
      </c>
      <c r="B1391" s="1">
        <v>143</v>
      </c>
      <c r="C1391" s="1">
        <v>-129</v>
      </c>
      <c r="D1391">
        <v>2</v>
      </c>
      <c r="E1391" t="s">
        <v>8</v>
      </c>
      <c r="F1391" t="s">
        <v>21</v>
      </c>
      <c r="G1391" t="s">
        <v>10</v>
      </c>
      <c r="H1391">
        <f>IF(Table_Sales[[#This Row],[profit]]&lt;0,1,0)</f>
        <v>1</v>
      </c>
      <c r="I1391" t="str" cm="1">
        <f t="array" ref="I1391">_xlfn.IFS(Table_Sales[[#This Row],[quantity]]&lt;=3,"1-3",Table_Sales[[#This Row],[quantity]]&lt;=7,"2-7",Table_Sales[[#This Row],[quantity]]&lt;=10,"8-10",TRUE,"11 and above")</f>
        <v>1-3</v>
      </c>
      <c r="J1391" t="str" cm="1">
        <f t="array" ref="J1391">_xlfn.IFS(Table_Sales[[#This Row],[amount]]&lt;1000,"Under 1000",Table_Sales[[#This Row],[amount]]&lt;3000,"1000 - 2999",Table_Sales[[#This Row],[amount]]&lt;5000,"3000 - 4999",TRUE,"5000 &amp; above")</f>
        <v>Under 1000</v>
      </c>
      <c r="K1391">
        <f>IF(COUNTIFS(INDEX(Table_Sales[order_id],1):Table_Sales[[#This Row],[order_id]],Table_Sales[[#This Row],[order_id]])=1,1,0)</f>
        <v>0</v>
      </c>
      <c r="L139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392" spans="1:12" x14ac:dyDescent="0.25">
      <c r="A1392" t="s">
        <v>130</v>
      </c>
      <c r="B1392" s="1">
        <v>918</v>
      </c>
      <c r="C1392" s="1">
        <v>22</v>
      </c>
      <c r="D1392">
        <v>9</v>
      </c>
      <c r="E1392" t="s">
        <v>8</v>
      </c>
      <c r="F1392" t="s">
        <v>9</v>
      </c>
      <c r="G1392" t="s">
        <v>10</v>
      </c>
      <c r="H1392">
        <f>IF(Table_Sales[[#This Row],[profit]]&lt;0,1,0)</f>
        <v>0</v>
      </c>
      <c r="I1392" t="str" cm="1">
        <f t="array" ref="I1392">_xlfn.IFS(Table_Sales[[#This Row],[quantity]]&lt;=3,"1-3",Table_Sales[[#This Row],[quantity]]&lt;=7,"2-7",Table_Sales[[#This Row],[quantity]]&lt;=10,"8-10",TRUE,"11 and above")</f>
        <v>8-10</v>
      </c>
      <c r="J1392" t="str" cm="1">
        <f t="array" ref="J1392">_xlfn.IFS(Table_Sales[[#This Row],[amount]]&lt;1000,"Under 1000",Table_Sales[[#This Row],[amount]]&lt;3000,"1000 - 2999",Table_Sales[[#This Row],[amount]]&lt;5000,"3000 - 4999",TRUE,"5000 &amp; above")</f>
        <v>Under 1000</v>
      </c>
      <c r="K1392">
        <f>IF(COUNTIFS(INDEX(Table_Sales[order_id],1):Table_Sales[[#This Row],[order_id]],Table_Sales[[#This Row],[order_id]])=1,1,0)</f>
        <v>0</v>
      </c>
      <c r="L139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393" spans="1:12" x14ac:dyDescent="0.25">
      <c r="A1393" t="s">
        <v>135</v>
      </c>
      <c r="B1393" s="1">
        <v>925</v>
      </c>
      <c r="C1393" s="1">
        <v>-447</v>
      </c>
      <c r="D1393">
        <v>5</v>
      </c>
      <c r="E1393" t="s">
        <v>8</v>
      </c>
      <c r="F1393" t="s">
        <v>9</v>
      </c>
      <c r="G1393" t="s">
        <v>10</v>
      </c>
      <c r="H1393">
        <f>IF(Table_Sales[[#This Row],[profit]]&lt;0,1,0)</f>
        <v>1</v>
      </c>
      <c r="I1393" t="str" cm="1">
        <f t="array" ref="I1393">_xlfn.IFS(Table_Sales[[#This Row],[quantity]]&lt;=3,"1-3",Table_Sales[[#This Row],[quantity]]&lt;=7,"2-7",Table_Sales[[#This Row],[quantity]]&lt;=10,"8-10",TRUE,"11 and above")</f>
        <v>2-7</v>
      </c>
      <c r="J1393" t="str" cm="1">
        <f t="array" ref="J1393">_xlfn.IFS(Table_Sales[[#This Row],[amount]]&lt;1000,"Under 1000",Table_Sales[[#This Row],[amount]]&lt;3000,"1000 - 2999",Table_Sales[[#This Row],[amount]]&lt;5000,"3000 - 4999",TRUE,"5000 &amp; above")</f>
        <v>Under 1000</v>
      </c>
      <c r="K1393">
        <f>IF(COUNTIFS(INDEX(Table_Sales[order_id],1):Table_Sales[[#This Row],[order_id]],Table_Sales[[#This Row],[order_id]])=1,1,0)</f>
        <v>0</v>
      </c>
      <c r="L139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394" spans="1:12" x14ac:dyDescent="0.25">
      <c r="A1394" t="s">
        <v>174</v>
      </c>
      <c r="B1394" s="1">
        <v>17</v>
      </c>
      <c r="C1394" s="1">
        <v>8</v>
      </c>
      <c r="D1394">
        <v>2</v>
      </c>
      <c r="E1394" t="s">
        <v>23</v>
      </c>
      <c r="F1394" t="s">
        <v>43</v>
      </c>
      <c r="G1394" t="s">
        <v>10</v>
      </c>
      <c r="H1394">
        <f>IF(Table_Sales[[#This Row],[profit]]&lt;0,1,0)</f>
        <v>0</v>
      </c>
      <c r="I1394" t="str" cm="1">
        <f t="array" ref="I1394">_xlfn.IFS(Table_Sales[[#This Row],[quantity]]&lt;=3,"1-3",Table_Sales[[#This Row],[quantity]]&lt;=7,"2-7",Table_Sales[[#This Row],[quantity]]&lt;=10,"8-10",TRUE,"11 and above")</f>
        <v>1-3</v>
      </c>
      <c r="J1394" t="str" cm="1">
        <f t="array" ref="J1394">_xlfn.IFS(Table_Sales[[#This Row],[amount]]&lt;1000,"Under 1000",Table_Sales[[#This Row],[amount]]&lt;3000,"1000 - 2999",Table_Sales[[#This Row],[amount]]&lt;5000,"3000 - 4999",TRUE,"5000 &amp; above")</f>
        <v>Under 1000</v>
      </c>
      <c r="K1394">
        <f>IF(COUNTIFS(INDEX(Table_Sales[order_id],1):Table_Sales[[#This Row],[order_id]],Table_Sales[[#This Row],[order_id]])=1,1,0)</f>
        <v>0</v>
      </c>
      <c r="L139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395" spans="1:12" x14ac:dyDescent="0.25">
      <c r="A1395" t="s">
        <v>522</v>
      </c>
      <c r="B1395" s="1">
        <v>465</v>
      </c>
      <c r="C1395" s="1">
        <v>207</v>
      </c>
      <c r="D1395">
        <v>9</v>
      </c>
      <c r="E1395" t="s">
        <v>23</v>
      </c>
      <c r="F1395" t="s">
        <v>26</v>
      </c>
      <c r="G1395" t="s">
        <v>10</v>
      </c>
      <c r="H1395">
        <f>IF(Table_Sales[[#This Row],[profit]]&lt;0,1,0)</f>
        <v>0</v>
      </c>
      <c r="I1395" t="str" cm="1">
        <f t="array" ref="I1395">_xlfn.IFS(Table_Sales[[#This Row],[quantity]]&lt;=3,"1-3",Table_Sales[[#This Row],[quantity]]&lt;=7,"2-7",Table_Sales[[#This Row],[quantity]]&lt;=10,"8-10",TRUE,"11 and above")</f>
        <v>8-10</v>
      </c>
      <c r="J1395" t="str" cm="1">
        <f t="array" ref="J1395">_xlfn.IFS(Table_Sales[[#This Row],[amount]]&lt;1000,"Under 1000",Table_Sales[[#This Row],[amount]]&lt;3000,"1000 - 2999",Table_Sales[[#This Row],[amount]]&lt;5000,"3000 - 4999",TRUE,"5000 &amp; above")</f>
        <v>Under 1000</v>
      </c>
      <c r="K1395">
        <f>IF(COUNTIFS(INDEX(Table_Sales[order_id],1):Table_Sales[[#This Row],[order_id]],Table_Sales[[#This Row],[order_id]])=1,1,0)</f>
        <v>1</v>
      </c>
      <c r="L139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396" spans="1:12" x14ac:dyDescent="0.25">
      <c r="A1396" t="s">
        <v>150</v>
      </c>
      <c r="B1396" s="1">
        <v>17</v>
      </c>
      <c r="C1396" s="1">
        <v>-9</v>
      </c>
      <c r="D1396">
        <v>3</v>
      </c>
      <c r="E1396" t="s">
        <v>23</v>
      </c>
      <c r="F1396" t="s">
        <v>57</v>
      </c>
      <c r="G1396" t="s">
        <v>10</v>
      </c>
      <c r="H1396">
        <f>IF(Table_Sales[[#This Row],[profit]]&lt;0,1,0)</f>
        <v>1</v>
      </c>
      <c r="I1396" t="str" cm="1">
        <f t="array" ref="I1396">_xlfn.IFS(Table_Sales[[#This Row],[quantity]]&lt;=3,"1-3",Table_Sales[[#This Row],[quantity]]&lt;=7,"2-7",Table_Sales[[#This Row],[quantity]]&lt;=10,"8-10",TRUE,"11 and above")</f>
        <v>1-3</v>
      </c>
      <c r="J1396" t="str" cm="1">
        <f t="array" ref="J1396">_xlfn.IFS(Table_Sales[[#This Row],[amount]]&lt;1000,"Under 1000",Table_Sales[[#This Row],[amount]]&lt;3000,"1000 - 2999",Table_Sales[[#This Row],[amount]]&lt;5000,"3000 - 4999",TRUE,"5000 &amp; above")</f>
        <v>Under 1000</v>
      </c>
      <c r="K1396">
        <f>IF(COUNTIFS(INDEX(Table_Sales[order_id],1):Table_Sales[[#This Row],[order_id]],Table_Sales[[#This Row],[order_id]])=1,1,0)</f>
        <v>0</v>
      </c>
      <c r="L139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397" spans="1:12" x14ac:dyDescent="0.25">
      <c r="A1397" t="s">
        <v>133</v>
      </c>
      <c r="B1397" s="1">
        <v>935</v>
      </c>
      <c r="C1397" s="1">
        <v>114</v>
      </c>
      <c r="D1397">
        <v>4</v>
      </c>
      <c r="E1397" t="s">
        <v>8</v>
      </c>
      <c r="F1397" t="s">
        <v>9</v>
      </c>
      <c r="G1397" t="s">
        <v>28</v>
      </c>
      <c r="H1397">
        <f>IF(Table_Sales[[#This Row],[profit]]&lt;0,1,0)</f>
        <v>0</v>
      </c>
      <c r="I1397" t="str" cm="1">
        <f t="array" ref="I1397">_xlfn.IFS(Table_Sales[[#This Row],[quantity]]&lt;=3,"1-3",Table_Sales[[#This Row],[quantity]]&lt;=7,"2-7",Table_Sales[[#This Row],[quantity]]&lt;=10,"8-10",TRUE,"11 and above")</f>
        <v>2-7</v>
      </c>
      <c r="J1397" t="str" cm="1">
        <f t="array" ref="J1397">_xlfn.IFS(Table_Sales[[#This Row],[amount]]&lt;1000,"Under 1000",Table_Sales[[#This Row],[amount]]&lt;3000,"1000 - 2999",Table_Sales[[#This Row],[amount]]&lt;5000,"3000 - 4999",TRUE,"5000 &amp; above")</f>
        <v>Under 1000</v>
      </c>
      <c r="K1397">
        <f>IF(COUNTIFS(INDEX(Table_Sales[order_id],1):Table_Sales[[#This Row],[order_id]],Table_Sales[[#This Row],[order_id]])=1,1,0)</f>
        <v>0</v>
      </c>
      <c r="L139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398" spans="1:12" x14ac:dyDescent="0.25">
      <c r="A1398" t="s">
        <v>119</v>
      </c>
      <c r="B1398" s="1">
        <v>16</v>
      </c>
      <c r="C1398" s="1">
        <v>-10</v>
      </c>
      <c r="D1398">
        <v>2</v>
      </c>
      <c r="E1398" t="s">
        <v>23</v>
      </c>
      <c r="F1398" t="s">
        <v>81</v>
      </c>
      <c r="G1398" t="s">
        <v>10</v>
      </c>
      <c r="H1398">
        <f>IF(Table_Sales[[#This Row],[profit]]&lt;0,1,0)</f>
        <v>1</v>
      </c>
      <c r="I1398" t="str" cm="1">
        <f t="array" ref="I1398">_xlfn.IFS(Table_Sales[[#This Row],[quantity]]&lt;=3,"1-3",Table_Sales[[#This Row],[quantity]]&lt;=7,"2-7",Table_Sales[[#This Row],[quantity]]&lt;=10,"8-10",TRUE,"11 and above")</f>
        <v>1-3</v>
      </c>
      <c r="J1398" t="str" cm="1">
        <f t="array" ref="J1398">_xlfn.IFS(Table_Sales[[#This Row],[amount]]&lt;1000,"Under 1000",Table_Sales[[#This Row],[amount]]&lt;3000,"1000 - 2999",Table_Sales[[#This Row],[amount]]&lt;5000,"3000 - 4999",TRUE,"5000 &amp; above")</f>
        <v>Under 1000</v>
      </c>
      <c r="K1398">
        <f>IF(COUNTIFS(INDEX(Table_Sales[order_id],1):Table_Sales[[#This Row],[order_id]],Table_Sales[[#This Row],[order_id]])=1,1,0)</f>
        <v>0</v>
      </c>
      <c r="L139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399" spans="1:12" x14ac:dyDescent="0.25">
      <c r="A1399" t="s">
        <v>15</v>
      </c>
      <c r="B1399" s="1">
        <v>954</v>
      </c>
      <c r="C1399" s="1">
        <v>95</v>
      </c>
      <c r="D1399">
        <v>3</v>
      </c>
      <c r="E1399" t="s">
        <v>8</v>
      </c>
      <c r="F1399" t="s">
        <v>18</v>
      </c>
      <c r="G1399" t="s">
        <v>28</v>
      </c>
      <c r="H1399">
        <f>IF(Table_Sales[[#This Row],[profit]]&lt;0,1,0)</f>
        <v>0</v>
      </c>
      <c r="I1399" t="str" cm="1">
        <f t="array" ref="I1399">_xlfn.IFS(Table_Sales[[#This Row],[quantity]]&lt;=3,"1-3",Table_Sales[[#This Row],[quantity]]&lt;=7,"2-7",Table_Sales[[#This Row],[quantity]]&lt;=10,"8-10",TRUE,"11 and above")</f>
        <v>1-3</v>
      </c>
      <c r="J1399" t="str" cm="1">
        <f t="array" ref="J1399">_xlfn.IFS(Table_Sales[[#This Row],[amount]]&lt;1000,"Under 1000",Table_Sales[[#This Row],[amount]]&lt;3000,"1000 - 2999",Table_Sales[[#This Row],[amount]]&lt;5000,"3000 - 4999",TRUE,"5000 &amp; above")</f>
        <v>Under 1000</v>
      </c>
      <c r="K1399">
        <f>IF(COUNTIFS(INDEX(Table_Sales[order_id],1):Table_Sales[[#This Row],[order_id]],Table_Sales[[#This Row],[order_id]])=1,1,0)</f>
        <v>0</v>
      </c>
      <c r="L139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400" spans="1:12" x14ac:dyDescent="0.25">
      <c r="A1400" t="s">
        <v>115</v>
      </c>
      <c r="B1400" s="1">
        <v>915</v>
      </c>
      <c r="C1400" s="1">
        <v>-99</v>
      </c>
      <c r="D1400">
        <v>3</v>
      </c>
      <c r="E1400" t="s">
        <v>12</v>
      </c>
      <c r="F1400" t="s">
        <v>45</v>
      </c>
      <c r="G1400" t="s">
        <v>82</v>
      </c>
      <c r="H1400">
        <f>IF(Table_Sales[[#This Row],[profit]]&lt;0,1,0)</f>
        <v>1</v>
      </c>
      <c r="I1400" t="str" cm="1">
        <f t="array" ref="I1400">_xlfn.IFS(Table_Sales[[#This Row],[quantity]]&lt;=3,"1-3",Table_Sales[[#This Row],[quantity]]&lt;=7,"2-7",Table_Sales[[#This Row],[quantity]]&lt;=10,"8-10",TRUE,"11 and above")</f>
        <v>1-3</v>
      </c>
      <c r="J1400" t="str" cm="1">
        <f t="array" ref="J1400">_xlfn.IFS(Table_Sales[[#This Row],[amount]]&lt;1000,"Under 1000",Table_Sales[[#This Row],[amount]]&lt;3000,"1000 - 2999",Table_Sales[[#This Row],[amount]]&lt;5000,"3000 - 4999",TRUE,"5000 &amp; above")</f>
        <v>Under 1000</v>
      </c>
      <c r="K1400">
        <f>IF(COUNTIFS(INDEX(Table_Sales[order_id],1):Table_Sales[[#This Row],[order_id]],Table_Sales[[#This Row],[order_id]])=1,1,0)</f>
        <v>0</v>
      </c>
      <c r="L140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401" spans="1:12" x14ac:dyDescent="0.25">
      <c r="A1401" t="s">
        <v>330</v>
      </c>
      <c r="B1401" s="1">
        <v>955</v>
      </c>
      <c r="C1401" s="1">
        <v>305</v>
      </c>
      <c r="D1401">
        <v>3</v>
      </c>
      <c r="E1401" t="s">
        <v>8</v>
      </c>
      <c r="F1401" t="s">
        <v>18</v>
      </c>
      <c r="G1401" t="s">
        <v>82</v>
      </c>
      <c r="H1401">
        <f>IF(Table_Sales[[#This Row],[profit]]&lt;0,1,0)</f>
        <v>0</v>
      </c>
      <c r="I1401" t="str" cm="1">
        <f t="array" ref="I1401">_xlfn.IFS(Table_Sales[[#This Row],[quantity]]&lt;=3,"1-3",Table_Sales[[#This Row],[quantity]]&lt;=7,"2-7",Table_Sales[[#This Row],[quantity]]&lt;=10,"8-10",TRUE,"11 and above")</f>
        <v>1-3</v>
      </c>
      <c r="J1401" t="str" cm="1">
        <f t="array" ref="J1401">_xlfn.IFS(Table_Sales[[#This Row],[amount]]&lt;1000,"Under 1000",Table_Sales[[#This Row],[amount]]&lt;3000,"1000 - 2999",Table_Sales[[#This Row],[amount]]&lt;5000,"3000 - 4999",TRUE,"5000 &amp; above")</f>
        <v>Under 1000</v>
      </c>
      <c r="K1401">
        <f>IF(COUNTIFS(INDEX(Table_Sales[order_id],1):Table_Sales[[#This Row],[order_id]],Table_Sales[[#This Row],[order_id]])=1,1,0)</f>
        <v>0</v>
      </c>
      <c r="L140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402" spans="1:12" x14ac:dyDescent="0.25">
      <c r="A1402" t="s">
        <v>64</v>
      </c>
      <c r="B1402" s="1">
        <v>976</v>
      </c>
      <c r="C1402" s="1">
        <v>293</v>
      </c>
      <c r="D1402">
        <v>4</v>
      </c>
      <c r="E1402" t="s">
        <v>8</v>
      </c>
      <c r="F1402" t="s">
        <v>73</v>
      </c>
      <c r="G1402" t="s">
        <v>10</v>
      </c>
      <c r="H1402">
        <f>IF(Table_Sales[[#This Row],[profit]]&lt;0,1,0)</f>
        <v>0</v>
      </c>
      <c r="I1402" t="str" cm="1">
        <f t="array" ref="I1402">_xlfn.IFS(Table_Sales[[#This Row],[quantity]]&lt;=3,"1-3",Table_Sales[[#This Row],[quantity]]&lt;=7,"2-7",Table_Sales[[#This Row],[quantity]]&lt;=10,"8-10",TRUE,"11 and above")</f>
        <v>2-7</v>
      </c>
      <c r="J1402" t="str" cm="1">
        <f t="array" ref="J1402">_xlfn.IFS(Table_Sales[[#This Row],[amount]]&lt;1000,"Under 1000",Table_Sales[[#This Row],[amount]]&lt;3000,"1000 - 2999",Table_Sales[[#This Row],[amount]]&lt;5000,"3000 - 4999",TRUE,"5000 &amp; above")</f>
        <v>Under 1000</v>
      </c>
      <c r="K1402">
        <f>IF(COUNTIFS(INDEX(Table_Sales[order_id],1):Table_Sales[[#This Row],[order_id]],Table_Sales[[#This Row],[order_id]])=1,1,0)</f>
        <v>0</v>
      </c>
      <c r="L140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403" spans="1:12" x14ac:dyDescent="0.25">
      <c r="A1403" t="s">
        <v>344</v>
      </c>
      <c r="B1403" s="1">
        <v>1069</v>
      </c>
      <c r="C1403" s="1">
        <v>0</v>
      </c>
      <c r="D1403">
        <v>6</v>
      </c>
      <c r="E1403" t="s">
        <v>23</v>
      </c>
      <c r="F1403" t="s">
        <v>26</v>
      </c>
      <c r="G1403" t="s">
        <v>14</v>
      </c>
      <c r="H1403">
        <f>IF(Table_Sales[[#This Row],[profit]]&lt;0,1,0)</f>
        <v>0</v>
      </c>
      <c r="I1403" t="str" cm="1">
        <f t="array" ref="I1403">_xlfn.IFS(Table_Sales[[#This Row],[quantity]]&lt;=3,"1-3",Table_Sales[[#This Row],[quantity]]&lt;=7,"2-7",Table_Sales[[#This Row],[quantity]]&lt;=10,"8-10",TRUE,"11 and above")</f>
        <v>2-7</v>
      </c>
      <c r="J1403" t="str" cm="1">
        <f t="array" ref="J1403">_xlfn.IFS(Table_Sales[[#This Row],[amount]]&lt;1000,"Under 1000",Table_Sales[[#This Row],[amount]]&lt;3000,"1000 - 2999",Table_Sales[[#This Row],[amount]]&lt;5000,"3000 - 4999",TRUE,"5000 &amp; above")</f>
        <v>1000 - 2999</v>
      </c>
      <c r="K1403">
        <f>IF(COUNTIFS(INDEX(Table_Sales[order_id],1):Table_Sales[[#This Row],[order_id]],Table_Sales[[#This Row],[order_id]])=1,1,0)</f>
        <v>0</v>
      </c>
      <c r="L140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404" spans="1:12" x14ac:dyDescent="0.25">
      <c r="A1404" t="s">
        <v>290</v>
      </c>
      <c r="B1404" s="1">
        <v>19</v>
      </c>
      <c r="C1404" s="1">
        <v>-15</v>
      </c>
      <c r="D1404">
        <v>3</v>
      </c>
      <c r="E1404" t="s">
        <v>23</v>
      </c>
      <c r="F1404" t="s">
        <v>30</v>
      </c>
      <c r="G1404" t="s">
        <v>19</v>
      </c>
      <c r="H1404">
        <f>IF(Table_Sales[[#This Row],[profit]]&lt;0,1,0)</f>
        <v>1</v>
      </c>
      <c r="I1404" t="str" cm="1">
        <f t="array" ref="I1404">_xlfn.IFS(Table_Sales[[#This Row],[quantity]]&lt;=3,"1-3",Table_Sales[[#This Row],[quantity]]&lt;=7,"2-7",Table_Sales[[#This Row],[quantity]]&lt;=10,"8-10",TRUE,"11 and above")</f>
        <v>1-3</v>
      </c>
      <c r="J1404" t="str" cm="1">
        <f t="array" ref="J1404">_xlfn.IFS(Table_Sales[[#This Row],[amount]]&lt;1000,"Under 1000",Table_Sales[[#This Row],[amount]]&lt;3000,"1000 - 2999",Table_Sales[[#This Row],[amount]]&lt;5000,"3000 - 4999",TRUE,"5000 &amp; above")</f>
        <v>Under 1000</v>
      </c>
      <c r="K1404">
        <f>IF(COUNTIFS(INDEX(Table_Sales[order_id],1):Table_Sales[[#This Row],[order_id]],Table_Sales[[#This Row],[order_id]])=1,1,0)</f>
        <v>0</v>
      </c>
      <c r="L140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405" spans="1:12" x14ac:dyDescent="0.25">
      <c r="A1405" t="s">
        <v>321</v>
      </c>
      <c r="B1405" s="1">
        <v>16</v>
      </c>
      <c r="C1405" s="1">
        <v>6</v>
      </c>
      <c r="D1405">
        <v>3</v>
      </c>
      <c r="E1405" t="s">
        <v>23</v>
      </c>
      <c r="F1405" t="s">
        <v>30</v>
      </c>
      <c r="G1405" t="s">
        <v>10</v>
      </c>
      <c r="H1405">
        <f>IF(Table_Sales[[#This Row],[profit]]&lt;0,1,0)</f>
        <v>0</v>
      </c>
      <c r="I1405" t="str" cm="1">
        <f t="array" ref="I1405">_xlfn.IFS(Table_Sales[[#This Row],[quantity]]&lt;=3,"1-3",Table_Sales[[#This Row],[quantity]]&lt;=7,"2-7",Table_Sales[[#This Row],[quantity]]&lt;=10,"8-10",TRUE,"11 and above")</f>
        <v>1-3</v>
      </c>
      <c r="J1405" t="str" cm="1">
        <f t="array" ref="J1405">_xlfn.IFS(Table_Sales[[#This Row],[amount]]&lt;1000,"Under 1000",Table_Sales[[#This Row],[amount]]&lt;3000,"1000 - 2999",Table_Sales[[#This Row],[amount]]&lt;5000,"3000 - 4999",TRUE,"5000 &amp; above")</f>
        <v>Under 1000</v>
      </c>
      <c r="K1405">
        <f>IF(COUNTIFS(INDEX(Table_Sales[order_id],1):Table_Sales[[#This Row],[order_id]],Table_Sales[[#This Row],[order_id]])=1,1,0)</f>
        <v>0</v>
      </c>
      <c r="L140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406" spans="1:12" x14ac:dyDescent="0.25">
      <c r="A1406" t="s">
        <v>100</v>
      </c>
      <c r="B1406" s="1">
        <v>1030</v>
      </c>
      <c r="C1406" s="1">
        <v>206</v>
      </c>
      <c r="D1406">
        <v>8</v>
      </c>
      <c r="E1406" t="s">
        <v>8</v>
      </c>
      <c r="F1406" t="s">
        <v>18</v>
      </c>
      <c r="G1406" t="s">
        <v>28</v>
      </c>
      <c r="H1406">
        <f>IF(Table_Sales[[#This Row],[profit]]&lt;0,1,0)</f>
        <v>0</v>
      </c>
      <c r="I1406" t="str" cm="1">
        <f t="array" ref="I1406">_xlfn.IFS(Table_Sales[[#This Row],[quantity]]&lt;=3,"1-3",Table_Sales[[#This Row],[quantity]]&lt;=7,"2-7",Table_Sales[[#This Row],[quantity]]&lt;=10,"8-10",TRUE,"11 and above")</f>
        <v>8-10</v>
      </c>
      <c r="J1406" t="str" cm="1">
        <f t="array" ref="J1406">_xlfn.IFS(Table_Sales[[#This Row],[amount]]&lt;1000,"Under 1000",Table_Sales[[#This Row],[amount]]&lt;3000,"1000 - 2999",Table_Sales[[#This Row],[amount]]&lt;5000,"3000 - 4999",TRUE,"5000 &amp; above")</f>
        <v>1000 - 2999</v>
      </c>
      <c r="K1406">
        <f>IF(COUNTIFS(INDEX(Table_Sales[order_id],1):Table_Sales[[#This Row],[order_id]],Table_Sales[[#This Row],[order_id]])=1,1,0)</f>
        <v>0</v>
      </c>
      <c r="L140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407" spans="1:12" x14ac:dyDescent="0.25">
      <c r="A1407" t="s">
        <v>288</v>
      </c>
      <c r="B1407" s="1">
        <v>620</v>
      </c>
      <c r="C1407" s="1">
        <v>82</v>
      </c>
      <c r="D1407">
        <v>6</v>
      </c>
      <c r="E1407" t="s">
        <v>8</v>
      </c>
      <c r="F1407" t="s">
        <v>73</v>
      </c>
      <c r="G1407" t="s">
        <v>10</v>
      </c>
      <c r="H1407">
        <f>IF(Table_Sales[[#This Row],[profit]]&lt;0,1,0)</f>
        <v>0</v>
      </c>
      <c r="I1407" t="str" cm="1">
        <f t="array" ref="I1407">_xlfn.IFS(Table_Sales[[#This Row],[quantity]]&lt;=3,"1-3",Table_Sales[[#This Row],[quantity]]&lt;=7,"2-7",Table_Sales[[#This Row],[quantity]]&lt;=10,"8-10",TRUE,"11 and above")</f>
        <v>2-7</v>
      </c>
      <c r="J1407" t="str" cm="1">
        <f t="array" ref="J1407">_xlfn.IFS(Table_Sales[[#This Row],[amount]]&lt;1000,"Under 1000",Table_Sales[[#This Row],[amount]]&lt;3000,"1000 - 2999",Table_Sales[[#This Row],[amount]]&lt;5000,"3000 - 4999",TRUE,"5000 &amp; above")</f>
        <v>Under 1000</v>
      </c>
      <c r="K1407">
        <f>IF(COUNTIFS(INDEX(Table_Sales[order_id],1):Table_Sales[[#This Row],[order_id]],Table_Sales[[#This Row],[order_id]])=1,1,0)</f>
        <v>0</v>
      </c>
      <c r="L140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408" spans="1:12" x14ac:dyDescent="0.25">
      <c r="A1408" t="s">
        <v>214</v>
      </c>
      <c r="B1408" s="1">
        <v>16</v>
      </c>
      <c r="C1408" s="1">
        <v>8</v>
      </c>
      <c r="D1408">
        <v>2</v>
      </c>
      <c r="E1408" t="s">
        <v>23</v>
      </c>
      <c r="F1408" t="s">
        <v>30</v>
      </c>
      <c r="G1408" t="s">
        <v>10</v>
      </c>
      <c r="H1408">
        <f>IF(Table_Sales[[#This Row],[profit]]&lt;0,1,0)</f>
        <v>0</v>
      </c>
      <c r="I1408" t="str" cm="1">
        <f t="array" ref="I1408">_xlfn.IFS(Table_Sales[[#This Row],[quantity]]&lt;=3,"1-3",Table_Sales[[#This Row],[quantity]]&lt;=7,"2-7",Table_Sales[[#This Row],[quantity]]&lt;=10,"8-10",TRUE,"11 and above")</f>
        <v>1-3</v>
      </c>
      <c r="J1408" t="str" cm="1">
        <f t="array" ref="J1408">_xlfn.IFS(Table_Sales[[#This Row],[amount]]&lt;1000,"Under 1000",Table_Sales[[#This Row],[amount]]&lt;3000,"1000 - 2999",Table_Sales[[#This Row],[amount]]&lt;5000,"3000 - 4999",TRUE,"5000 &amp; above")</f>
        <v>Under 1000</v>
      </c>
      <c r="K1408">
        <f>IF(COUNTIFS(INDEX(Table_Sales[order_id],1):Table_Sales[[#This Row],[order_id]],Table_Sales[[#This Row],[order_id]])=1,1,0)</f>
        <v>0</v>
      </c>
      <c r="L140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409" spans="1:12" x14ac:dyDescent="0.25">
      <c r="A1409" t="s">
        <v>61</v>
      </c>
      <c r="B1409" s="1">
        <v>19</v>
      </c>
      <c r="C1409" s="1">
        <v>8</v>
      </c>
      <c r="D1409">
        <v>2</v>
      </c>
      <c r="E1409" t="s">
        <v>23</v>
      </c>
      <c r="F1409" t="s">
        <v>30</v>
      </c>
      <c r="G1409" t="s">
        <v>19</v>
      </c>
      <c r="H1409">
        <f>IF(Table_Sales[[#This Row],[profit]]&lt;0,1,0)</f>
        <v>0</v>
      </c>
      <c r="I1409" t="str" cm="1">
        <f t="array" ref="I1409">_xlfn.IFS(Table_Sales[[#This Row],[quantity]]&lt;=3,"1-3",Table_Sales[[#This Row],[quantity]]&lt;=7,"2-7",Table_Sales[[#This Row],[quantity]]&lt;=10,"8-10",TRUE,"11 and above")</f>
        <v>1-3</v>
      </c>
      <c r="J1409" t="str" cm="1">
        <f t="array" ref="J1409">_xlfn.IFS(Table_Sales[[#This Row],[amount]]&lt;1000,"Under 1000",Table_Sales[[#This Row],[amount]]&lt;3000,"1000 - 2999",Table_Sales[[#This Row],[amount]]&lt;5000,"3000 - 4999",TRUE,"5000 &amp; above")</f>
        <v>Under 1000</v>
      </c>
      <c r="K1409">
        <f>IF(COUNTIFS(INDEX(Table_Sales[order_id],1):Table_Sales[[#This Row],[order_id]],Table_Sales[[#This Row],[order_id]])=1,1,0)</f>
        <v>0</v>
      </c>
      <c r="L140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410" spans="1:12" x14ac:dyDescent="0.25">
      <c r="A1410" t="s">
        <v>189</v>
      </c>
      <c r="B1410" s="1">
        <v>249</v>
      </c>
      <c r="C1410" s="1">
        <v>-130</v>
      </c>
      <c r="D1410">
        <v>4</v>
      </c>
      <c r="E1410" t="s">
        <v>8</v>
      </c>
      <c r="F1410" t="s">
        <v>21</v>
      </c>
      <c r="G1410" t="s">
        <v>28</v>
      </c>
      <c r="H1410">
        <f>IF(Table_Sales[[#This Row],[profit]]&lt;0,1,0)</f>
        <v>1</v>
      </c>
      <c r="I1410" t="str" cm="1">
        <f t="array" ref="I1410">_xlfn.IFS(Table_Sales[[#This Row],[quantity]]&lt;=3,"1-3",Table_Sales[[#This Row],[quantity]]&lt;=7,"2-7",Table_Sales[[#This Row],[quantity]]&lt;=10,"8-10",TRUE,"11 and above")</f>
        <v>2-7</v>
      </c>
      <c r="J1410" t="str" cm="1">
        <f t="array" ref="J1410">_xlfn.IFS(Table_Sales[[#This Row],[amount]]&lt;1000,"Under 1000",Table_Sales[[#This Row],[amount]]&lt;3000,"1000 - 2999",Table_Sales[[#This Row],[amount]]&lt;5000,"3000 - 4999",TRUE,"5000 &amp; above")</f>
        <v>Under 1000</v>
      </c>
      <c r="K1410">
        <f>IF(COUNTIFS(INDEX(Table_Sales[order_id],1):Table_Sales[[#This Row],[order_id]],Table_Sales[[#This Row],[order_id]])=1,1,0)</f>
        <v>0</v>
      </c>
      <c r="L141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411" spans="1:12" x14ac:dyDescent="0.25">
      <c r="A1411" t="s">
        <v>523</v>
      </c>
      <c r="B1411" s="1">
        <v>16</v>
      </c>
      <c r="C1411" s="1">
        <v>6</v>
      </c>
      <c r="D1411">
        <v>1</v>
      </c>
      <c r="E1411" t="s">
        <v>23</v>
      </c>
      <c r="F1411" t="s">
        <v>57</v>
      </c>
      <c r="G1411" t="s">
        <v>10</v>
      </c>
      <c r="H1411">
        <f>IF(Table_Sales[[#This Row],[profit]]&lt;0,1,0)</f>
        <v>0</v>
      </c>
      <c r="I1411" t="str" cm="1">
        <f t="array" ref="I1411">_xlfn.IFS(Table_Sales[[#This Row],[quantity]]&lt;=3,"1-3",Table_Sales[[#This Row],[quantity]]&lt;=7,"2-7",Table_Sales[[#This Row],[quantity]]&lt;=10,"8-10",TRUE,"11 and above")</f>
        <v>1-3</v>
      </c>
      <c r="J1411" t="str" cm="1">
        <f t="array" ref="J1411">_xlfn.IFS(Table_Sales[[#This Row],[amount]]&lt;1000,"Under 1000",Table_Sales[[#This Row],[amount]]&lt;3000,"1000 - 2999",Table_Sales[[#This Row],[amount]]&lt;5000,"3000 - 4999",TRUE,"5000 &amp; above")</f>
        <v>Under 1000</v>
      </c>
      <c r="K1411">
        <f>IF(COUNTIFS(INDEX(Table_Sales[order_id],1):Table_Sales[[#This Row],[order_id]],Table_Sales[[#This Row],[order_id]])=1,1,0)</f>
        <v>1</v>
      </c>
      <c r="L141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412" spans="1:12" x14ac:dyDescent="0.25">
      <c r="A1412" t="s">
        <v>127</v>
      </c>
      <c r="B1412" s="1">
        <v>1361</v>
      </c>
      <c r="C1412" s="1">
        <v>197</v>
      </c>
      <c r="D1412">
        <v>9</v>
      </c>
      <c r="E1412" t="s">
        <v>12</v>
      </c>
      <c r="F1412" t="s">
        <v>16</v>
      </c>
      <c r="G1412" t="s">
        <v>10</v>
      </c>
      <c r="H1412">
        <f>IF(Table_Sales[[#This Row],[profit]]&lt;0,1,0)</f>
        <v>0</v>
      </c>
      <c r="I1412" t="str" cm="1">
        <f t="array" ref="I1412">_xlfn.IFS(Table_Sales[[#This Row],[quantity]]&lt;=3,"1-3",Table_Sales[[#This Row],[quantity]]&lt;=7,"2-7",Table_Sales[[#This Row],[quantity]]&lt;=10,"8-10",TRUE,"11 and above")</f>
        <v>8-10</v>
      </c>
      <c r="J1412" t="str" cm="1">
        <f t="array" ref="J1412">_xlfn.IFS(Table_Sales[[#This Row],[amount]]&lt;1000,"Under 1000",Table_Sales[[#This Row],[amount]]&lt;3000,"1000 - 2999",Table_Sales[[#This Row],[amount]]&lt;5000,"3000 - 4999",TRUE,"5000 &amp; above")</f>
        <v>1000 - 2999</v>
      </c>
      <c r="K1412">
        <f>IF(COUNTIFS(INDEX(Table_Sales[order_id],1):Table_Sales[[#This Row],[order_id]],Table_Sales[[#This Row],[order_id]])=1,1,0)</f>
        <v>0</v>
      </c>
      <c r="L141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413" spans="1:12" x14ac:dyDescent="0.25">
      <c r="A1413" t="s">
        <v>122</v>
      </c>
      <c r="B1413" s="1">
        <v>15</v>
      </c>
      <c r="C1413" s="1">
        <v>1</v>
      </c>
      <c r="D1413">
        <v>1</v>
      </c>
      <c r="E1413" t="s">
        <v>23</v>
      </c>
      <c r="F1413" t="s">
        <v>142</v>
      </c>
      <c r="G1413" t="s">
        <v>10</v>
      </c>
      <c r="H1413">
        <f>IF(Table_Sales[[#This Row],[profit]]&lt;0,1,0)</f>
        <v>0</v>
      </c>
      <c r="I1413" t="str" cm="1">
        <f t="array" ref="I1413">_xlfn.IFS(Table_Sales[[#This Row],[quantity]]&lt;=3,"1-3",Table_Sales[[#This Row],[quantity]]&lt;=7,"2-7",Table_Sales[[#This Row],[quantity]]&lt;=10,"8-10",TRUE,"11 and above")</f>
        <v>1-3</v>
      </c>
      <c r="J1413" t="str" cm="1">
        <f t="array" ref="J1413">_xlfn.IFS(Table_Sales[[#This Row],[amount]]&lt;1000,"Under 1000",Table_Sales[[#This Row],[amount]]&lt;3000,"1000 - 2999",Table_Sales[[#This Row],[amount]]&lt;5000,"3000 - 4999",TRUE,"5000 &amp; above")</f>
        <v>Under 1000</v>
      </c>
      <c r="K1413">
        <f>IF(COUNTIFS(INDEX(Table_Sales[order_id],1):Table_Sales[[#This Row],[order_id]],Table_Sales[[#This Row],[order_id]])=1,1,0)</f>
        <v>0</v>
      </c>
      <c r="L141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414" spans="1:12" x14ac:dyDescent="0.25">
      <c r="A1414" t="s">
        <v>265</v>
      </c>
      <c r="B1414" s="1">
        <v>1076</v>
      </c>
      <c r="C1414" s="1">
        <v>-38</v>
      </c>
      <c r="D1414">
        <v>4</v>
      </c>
      <c r="E1414" t="s">
        <v>8</v>
      </c>
      <c r="F1414" t="s">
        <v>18</v>
      </c>
      <c r="G1414" t="s">
        <v>10</v>
      </c>
      <c r="H1414">
        <f>IF(Table_Sales[[#This Row],[profit]]&lt;0,1,0)</f>
        <v>1</v>
      </c>
      <c r="I1414" t="str" cm="1">
        <f t="array" ref="I1414">_xlfn.IFS(Table_Sales[[#This Row],[quantity]]&lt;=3,"1-3",Table_Sales[[#This Row],[quantity]]&lt;=7,"2-7",Table_Sales[[#This Row],[quantity]]&lt;=10,"8-10",TRUE,"11 and above")</f>
        <v>2-7</v>
      </c>
      <c r="J1414" t="str" cm="1">
        <f t="array" ref="J1414">_xlfn.IFS(Table_Sales[[#This Row],[amount]]&lt;1000,"Under 1000",Table_Sales[[#This Row],[amount]]&lt;3000,"1000 - 2999",Table_Sales[[#This Row],[amount]]&lt;5000,"3000 - 4999",TRUE,"5000 &amp; above")</f>
        <v>1000 - 2999</v>
      </c>
      <c r="K1414">
        <f>IF(COUNTIFS(INDEX(Table_Sales[order_id],1):Table_Sales[[#This Row],[order_id]],Table_Sales[[#This Row],[order_id]])=1,1,0)</f>
        <v>0</v>
      </c>
      <c r="L141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415" spans="1:12" x14ac:dyDescent="0.25">
      <c r="A1415" t="s">
        <v>159</v>
      </c>
      <c r="B1415" s="1">
        <v>18</v>
      </c>
      <c r="C1415" s="1">
        <v>2</v>
      </c>
      <c r="D1415">
        <v>3</v>
      </c>
      <c r="E1415" t="s">
        <v>23</v>
      </c>
      <c r="F1415" t="s">
        <v>30</v>
      </c>
      <c r="G1415" t="s">
        <v>19</v>
      </c>
      <c r="H1415">
        <f>IF(Table_Sales[[#This Row],[profit]]&lt;0,1,0)</f>
        <v>0</v>
      </c>
      <c r="I1415" t="str" cm="1">
        <f t="array" ref="I1415">_xlfn.IFS(Table_Sales[[#This Row],[quantity]]&lt;=3,"1-3",Table_Sales[[#This Row],[quantity]]&lt;=7,"2-7",Table_Sales[[#This Row],[quantity]]&lt;=10,"8-10",TRUE,"11 and above")</f>
        <v>1-3</v>
      </c>
      <c r="J1415" t="str" cm="1">
        <f t="array" ref="J1415">_xlfn.IFS(Table_Sales[[#This Row],[amount]]&lt;1000,"Under 1000",Table_Sales[[#This Row],[amount]]&lt;3000,"1000 - 2999",Table_Sales[[#This Row],[amount]]&lt;5000,"3000 - 4999",TRUE,"5000 &amp; above")</f>
        <v>Under 1000</v>
      </c>
      <c r="K1415">
        <f>IF(COUNTIFS(INDEX(Table_Sales[order_id],1):Table_Sales[[#This Row],[order_id]],Table_Sales[[#This Row],[order_id]])=1,1,0)</f>
        <v>0</v>
      </c>
      <c r="L141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416" spans="1:12" x14ac:dyDescent="0.25">
      <c r="A1416" t="s">
        <v>524</v>
      </c>
      <c r="B1416" s="1">
        <v>1101</v>
      </c>
      <c r="C1416" s="1">
        <v>352</v>
      </c>
      <c r="D1416">
        <v>3</v>
      </c>
      <c r="E1416" t="s">
        <v>12</v>
      </c>
      <c r="F1416" t="s">
        <v>16</v>
      </c>
      <c r="G1416" t="s">
        <v>28</v>
      </c>
      <c r="H1416">
        <f>IF(Table_Sales[[#This Row],[profit]]&lt;0,1,0)</f>
        <v>0</v>
      </c>
      <c r="I1416" t="str" cm="1">
        <f t="array" ref="I1416">_xlfn.IFS(Table_Sales[[#This Row],[quantity]]&lt;=3,"1-3",Table_Sales[[#This Row],[quantity]]&lt;=7,"2-7",Table_Sales[[#This Row],[quantity]]&lt;=10,"8-10",TRUE,"11 and above")</f>
        <v>1-3</v>
      </c>
      <c r="J1416" t="str" cm="1">
        <f t="array" ref="J1416">_xlfn.IFS(Table_Sales[[#This Row],[amount]]&lt;1000,"Under 1000",Table_Sales[[#This Row],[amount]]&lt;3000,"1000 - 2999",Table_Sales[[#This Row],[amount]]&lt;5000,"3000 - 4999",TRUE,"5000 &amp; above")</f>
        <v>1000 - 2999</v>
      </c>
      <c r="K1416">
        <f>IF(COUNTIFS(INDEX(Table_Sales[order_id],1):Table_Sales[[#This Row],[order_id]],Table_Sales[[#This Row],[order_id]])=1,1,0)</f>
        <v>1</v>
      </c>
      <c r="L141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417" spans="1:12" x14ac:dyDescent="0.25">
      <c r="A1417" t="s">
        <v>180</v>
      </c>
      <c r="B1417" s="1">
        <v>15</v>
      </c>
      <c r="C1417" s="1">
        <v>2</v>
      </c>
      <c r="D1417">
        <v>1</v>
      </c>
      <c r="E1417" t="s">
        <v>23</v>
      </c>
      <c r="F1417" t="s">
        <v>63</v>
      </c>
      <c r="G1417" t="s">
        <v>10</v>
      </c>
      <c r="H1417">
        <f>IF(Table_Sales[[#This Row],[profit]]&lt;0,1,0)</f>
        <v>0</v>
      </c>
      <c r="I1417" t="str" cm="1">
        <f t="array" ref="I1417">_xlfn.IFS(Table_Sales[[#This Row],[quantity]]&lt;=3,"1-3",Table_Sales[[#This Row],[quantity]]&lt;=7,"2-7",Table_Sales[[#This Row],[quantity]]&lt;=10,"8-10",TRUE,"11 and above")</f>
        <v>1-3</v>
      </c>
      <c r="J1417" t="str" cm="1">
        <f t="array" ref="J1417">_xlfn.IFS(Table_Sales[[#This Row],[amount]]&lt;1000,"Under 1000",Table_Sales[[#This Row],[amount]]&lt;3000,"1000 - 2999",Table_Sales[[#This Row],[amount]]&lt;5000,"3000 - 4999",TRUE,"5000 &amp; above")</f>
        <v>Under 1000</v>
      </c>
      <c r="K1417">
        <f>IF(COUNTIFS(INDEX(Table_Sales[order_id],1):Table_Sales[[#This Row],[order_id]],Table_Sales[[#This Row],[order_id]])=1,1,0)</f>
        <v>0</v>
      </c>
      <c r="L141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418" spans="1:12" x14ac:dyDescent="0.25">
      <c r="A1418" t="s">
        <v>55</v>
      </c>
      <c r="B1418" s="1">
        <v>1104</v>
      </c>
      <c r="C1418" s="1">
        <v>209</v>
      </c>
      <c r="D1418">
        <v>4</v>
      </c>
      <c r="E1418" t="s">
        <v>23</v>
      </c>
      <c r="F1418" t="s">
        <v>24</v>
      </c>
      <c r="G1418" t="s">
        <v>28</v>
      </c>
      <c r="H1418">
        <f>IF(Table_Sales[[#This Row],[profit]]&lt;0,1,0)</f>
        <v>0</v>
      </c>
      <c r="I1418" t="str" cm="1">
        <f t="array" ref="I1418">_xlfn.IFS(Table_Sales[[#This Row],[quantity]]&lt;=3,"1-3",Table_Sales[[#This Row],[quantity]]&lt;=7,"2-7",Table_Sales[[#This Row],[quantity]]&lt;=10,"8-10",TRUE,"11 and above")</f>
        <v>2-7</v>
      </c>
      <c r="J1418" t="str" cm="1">
        <f t="array" ref="J1418">_xlfn.IFS(Table_Sales[[#This Row],[amount]]&lt;1000,"Under 1000",Table_Sales[[#This Row],[amount]]&lt;3000,"1000 - 2999",Table_Sales[[#This Row],[amount]]&lt;5000,"3000 - 4999",TRUE,"5000 &amp; above")</f>
        <v>1000 - 2999</v>
      </c>
      <c r="K1418">
        <f>IF(COUNTIFS(INDEX(Table_Sales[order_id],1):Table_Sales[[#This Row],[order_id]],Table_Sales[[#This Row],[order_id]])=1,1,0)</f>
        <v>0</v>
      </c>
      <c r="L141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419" spans="1:12" x14ac:dyDescent="0.25">
      <c r="A1419" t="s">
        <v>155</v>
      </c>
      <c r="B1419" s="1">
        <v>14</v>
      </c>
      <c r="C1419" s="1">
        <v>2</v>
      </c>
      <c r="D1419">
        <v>1</v>
      </c>
      <c r="E1419" t="s">
        <v>23</v>
      </c>
      <c r="F1419" t="s">
        <v>30</v>
      </c>
      <c r="G1419" t="s">
        <v>10</v>
      </c>
      <c r="H1419">
        <f>IF(Table_Sales[[#This Row],[profit]]&lt;0,1,0)</f>
        <v>0</v>
      </c>
      <c r="I1419" t="str" cm="1">
        <f t="array" ref="I1419">_xlfn.IFS(Table_Sales[[#This Row],[quantity]]&lt;=3,"1-3",Table_Sales[[#This Row],[quantity]]&lt;=7,"2-7",Table_Sales[[#This Row],[quantity]]&lt;=10,"8-10",TRUE,"11 and above")</f>
        <v>1-3</v>
      </c>
      <c r="J1419" t="str" cm="1">
        <f t="array" ref="J1419">_xlfn.IFS(Table_Sales[[#This Row],[amount]]&lt;1000,"Under 1000",Table_Sales[[#This Row],[amount]]&lt;3000,"1000 - 2999",Table_Sales[[#This Row],[amount]]&lt;5000,"3000 - 4999",TRUE,"5000 &amp; above")</f>
        <v>Under 1000</v>
      </c>
      <c r="K1419">
        <f>IF(COUNTIFS(INDEX(Table_Sales[order_id],1):Table_Sales[[#This Row],[order_id]],Table_Sales[[#This Row],[order_id]])=1,1,0)</f>
        <v>0</v>
      </c>
      <c r="L141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420" spans="1:12" x14ac:dyDescent="0.25">
      <c r="A1420" t="s">
        <v>104</v>
      </c>
      <c r="B1420" s="1">
        <v>14</v>
      </c>
      <c r="C1420" s="1">
        <v>5</v>
      </c>
      <c r="D1420">
        <v>1</v>
      </c>
      <c r="E1420" t="s">
        <v>23</v>
      </c>
      <c r="F1420" t="s">
        <v>30</v>
      </c>
      <c r="G1420" t="s">
        <v>10</v>
      </c>
      <c r="H1420">
        <f>IF(Table_Sales[[#This Row],[profit]]&lt;0,1,0)</f>
        <v>0</v>
      </c>
      <c r="I1420" t="str" cm="1">
        <f t="array" ref="I1420">_xlfn.IFS(Table_Sales[[#This Row],[quantity]]&lt;=3,"1-3",Table_Sales[[#This Row],[quantity]]&lt;=7,"2-7",Table_Sales[[#This Row],[quantity]]&lt;=10,"8-10",TRUE,"11 and above")</f>
        <v>1-3</v>
      </c>
      <c r="J1420" t="str" cm="1">
        <f t="array" ref="J1420">_xlfn.IFS(Table_Sales[[#This Row],[amount]]&lt;1000,"Under 1000",Table_Sales[[#This Row],[amount]]&lt;3000,"1000 - 2999",Table_Sales[[#This Row],[amount]]&lt;5000,"3000 - 4999",TRUE,"5000 &amp; above")</f>
        <v>Under 1000</v>
      </c>
      <c r="K1420">
        <f>IF(COUNTIFS(INDEX(Table_Sales[order_id],1):Table_Sales[[#This Row],[order_id]],Table_Sales[[#This Row],[order_id]])=1,1,0)</f>
        <v>0</v>
      </c>
      <c r="L142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421" spans="1:12" x14ac:dyDescent="0.25">
      <c r="A1421" t="s">
        <v>262</v>
      </c>
      <c r="B1421" s="1">
        <v>14</v>
      </c>
      <c r="C1421" s="1">
        <v>-3</v>
      </c>
      <c r="D1421">
        <v>2</v>
      </c>
      <c r="E1421" t="s">
        <v>23</v>
      </c>
      <c r="F1421" t="s">
        <v>63</v>
      </c>
      <c r="G1421" t="s">
        <v>10</v>
      </c>
      <c r="H1421">
        <f>IF(Table_Sales[[#This Row],[profit]]&lt;0,1,0)</f>
        <v>1</v>
      </c>
      <c r="I1421" t="str" cm="1">
        <f t="array" ref="I1421">_xlfn.IFS(Table_Sales[[#This Row],[quantity]]&lt;=3,"1-3",Table_Sales[[#This Row],[quantity]]&lt;=7,"2-7",Table_Sales[[#This Row],[quantity]]&lt;=10,"8-10",TRUE,"11 and above")</f>
        <v>1-3</v>
      </c>
      <c r="J1421" t="str" cm="1">
        <f t="array" ref="J1421">_xlfn.IFS(Table_Sales[[#This Row],[amount]]&lt;1000,"Under 1000",Table_Sales[[#This Row],[amount]]&lt;3000,"1000 - 2999",Table_Sales[[#This Row],[amount]]&lt;5000,"3000 - 4999",TRUE,"5000 &amp; above")</f>
        <v>Under 1000</v>
      </c>
      <c r="K1421">
        <f>IF(COUNTIFS(INDEX(Table_Sales[order_id],1):Table_Sales[[#This Row],[order_id]],Table_Sales[[#This Row],[order_id]])=1,1,0)</f>
        <v>0</v>
      </c>
      <c r="L142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422" spans="1:12" x14ac:dyDescent="0.25">
      <c r="A1422" t="s">
        <v>27</v>
      </c>
      <c r="B1422" s="1">
        <v>14</v>
      </c>
      <c r="C1422" s="1">
        <v>-1</v>
      </c>
      <c r="D1422">
        <v>4</v>
      </c>
      <c r="E1422" t="s">
        <v>23</v>
      </c>
      <c r="F1422" t="s">
        <v>32</v>
      </c>
      <c r="G1422" t="s">
        <v>10</v>
      </c>
      <c r="H1422">
        <f>IF(Table_Sales[[#This Row],[profit]]&lt;0,1,0)</f>
        <v>1</v>
      </c>
      <c r="I1422" t="str" cm="1">
        <f t="array" ref="I1422">_xlfn.IFS(Table_Sales[[#This Row],[quantity]]&lt;=3,"1-3",Table_Sales[[#This Row],[quantity]]&lt;=7,"2-7",Table_Sales[[#This Row],[quantity]]&lt;=10,"8-10",TRUE,"11 and above")</f>
        <v>2-7</v>
      </c>
      <c r="J1422" t="str" cm="1">
        <f t="array" ref="J1422">_xlfn.IFS(Table_Sales[[#This Row],[amount]]&lt;1000,"Under 1000",Table_Sales[[#This Row],[amount]]&lt;3000,"1000 - 2999",Table_Sales[[#This Row],[amount]]&lt;5000,"3000 - 4999",TRUE,"5000 &amp; above")</f>
        <v>Under 1000</v>
      </c>
      <c r="K1422">
        <f>IF(COUNTIFS(INDEX(Table_Sales[order_id],1):Table_Sales[[#This Row],[order_id]],Table_Sales[[#This Row],[order_id]])=1,1,0)</f>
        <v>0</v>
      </c>
      <c r="L142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423" spans="1:12" x14ac:dyDescent="0.25">
      <c r="A1423" t="s">
        <v>62</v>
      </c>
      <c r="B1423" s="1">
        <v>13</v>
      </c>
      <c r="C1423" s="1">
        <v>-8</v>
      </c>
      <c r="D1423">
        <v>1</v>
      </c>
      <c r="E1423" t="s">
        <v>23</v>
      </c>
      <c r="F1423" t="s">
        <v>81</v>
      </c>
      <c r="G1423" t="s">
        <v>10</v>
      </c>
      <c r="H1423">
        <f>IF(Table_Sales[[#This Row],[profit]]&lt;0,1,0)</f>
        <v>1</v>
      </c>
      <c r="I1423" t="str" cm="1">
        <f t="array" ref="I1423">_xlfn.IFS(Table_Sales[[#This Row],[quantity]]&lt;=3,"1-3",Table_Sales[[#This Row],[quantity]]&lt;=7,"2-7",Table_Sales[[#This Row],[quantity]]&lt;=10,"8-10",TRUE,"11 and above")</f>
        <v>1-3</v>
      </c>
      <c r="J1423" t="str" cm="1">
        <f t="array" ref="J1423">_xlfn.IFS(Table_Sales[[#This Row],[amount]]&lt;1000,"Under 1000",Table_Sales[[#This Row],[amount]]&lt;3000,"1000 - 2999",Table_Sales[[#This Row],[amount]]&lt;5000,"3000 - 4999",TRUE,"5000 &amp; above")</f>
        <v>Under 1000</v>
      </c>
      <c r="K1423">
        <f>IF(COUNTIFS(INDEX(Table_Sales[order_id],1):Table_Sales[[#This Row],[order_id]],Table_Sales[[#This Row],[order_id]])=1,1,0)</f>
        <v>0</v>
      </c>
      <c r="L142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424" spans="1:12" x14ac:dyDescent="0.25">
      <c r="A1424" t="s">
        <v>123</v>
      </c>
      <c r="B1424" s="1">
        <v>13</v>
      </c>
      <c r="C1424" s="1">
        <v>-1</v>
      </c>
      <c r="D1424">
        <v>3</v>
      </c>
      <c r="E1424" t="s">
        <v>23</v>
      </c>
      <c r="F1424" t="s">
        <v>30</v>
      </c>
      <c r="G1424" t="s">
        <v>10</v>
      </c>
      <c r="H1424">
        <f>IF(Table_Sales[[#This Row],[profit]]&lt;0,1,0)</f>
        <v>1</v>
      </c>
      <c r="I1424" t="str" cm="1">
        <f t="array" ref="I1424">_xlfn.IFS(Table_Sales[[#This Row],[quantity]]&lt;=3,"1-3",Table_Sales[[#This Row],[quantity]]&lt;=7,"2-7",Table_Sales[[#This Row],[quantity]]&lt;=10,"8-10",TRUE,"11 and above")</f>
        <v>1-3</v>
      </c>
      <c r="J1424" t="str" cm="1">
        <f t="array" ref="J1424">_xlfn.IFS(Table_Sales[[#This Row],[amount]]&lt;1000,"Under 1000",Table_Sales[[#This Row],[amount]]&lt;3000,"1000 - 2999",Table_Sales[[#This Row],[amount]]&lt;5000,"3000 - 4999",TRUE,"5000 &amp; above")</f>
        <v>Under 1000</v>
      </c>
      <c r="K1424">
        <f>IF(COUNTIFS(INDEX(Table_Sales[order_id],1):Table_Sales[[#This Row],[order_id]],Table_Sales[[#This Row],[order_id]])=1,1,0)</f>
        <v>0</v>
      </c>
      <c r="L142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425" spans="1:12" x14ac:dyDescent="0.25">
      <c r="A1425" t="s">
        <v>346</v>
      </c>
      <c r="B1425" s="1">
        <v>1275</v>
      </c>
      <c r="C1425" s="1">
        <v>1148</v>
      </c>
      <c r="D1425">
        <v>7</v>
      </c>
      <c r="E1425" t="s">
        <v>12</v>
      </c>
      <c r="F1425" t="s">
        <v>16</v>
      </c>
      <c r="G1425" t="s">
        <v>14</v>
      </c>
      <c r="H1425">
        <f>IF(Table_Sales[[#This Row],[profit]]&lt;0,1,0)</f>
        <v>0</v>
      </c>
      <c r="I1425" t="str" cm="1">
        <f t="array" ref="I1425">_xlfn.IFS(Table_Sales[[#This Row],[quantity]]&lt;=3,"1-3",Table_Sales[[#This Row],[quantity]]&lt;=7,"2-7",Table_Sales[[#This Row],[quantity]]&lt;=10,"8-10",TRUE,"11 and above")</f>
        <v>2-7</v>
      </c>
      <c r="J1425" t="str" cm="1">
        <f t="array" ref="J1425">_xlfn.IFS(Table_Sales[[#This Row],[amount]]&lt;1000,"Under 1000",Table_Sales[[#This Row],[amount]]&lt;3000,"1000 - 2999",Table_Sales[[#This Row],[amount]]&lt;5000,"3000 - 4999",TRUE,"5000 &amp; above")</f>
        <v>1000 - 2999</v>
      </c>
      <c r="K1425">
        <f>IF(COUNTIFS(INDEX(Table_Sales[order_id],1):Table_Sales[[#This Row],[order_id]],Table_Sales[[#This Row],[order_id]])=1,1,0)</f>
        <v>0</v>
      </c>
      <c r="L142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426" spans="1:12" x14ac:dyDescent="0.25">
      <c r="A1426" t="s">
        <v>167</v>
      </c>
      <c r="B1426" s="1">
        <v>17</v>
      </c>
      <c r="C1426" s="1">
        <v>1</v>
      </c>
      <c r="D1426">
        <v>2</v>
      </c>
      <c r="E1426" t="s">
        <v>23</v>
      </c>
      <c r="F1426" t="s">
        <v>43</v>
      </c>
      <c r="G1426" t="s">
        <v>19</v>
      </c>
      <c r="H1426">
        <f>IF(Table_Sales[[#This Row],[profit]]&lt;0,1,0)</f>
        <v>0</v>
      </c>
      <c r="I1426" t="str" cm="1">
        <f t="array" ref="I1426">_xlfn.IFS(Table_Sales[[#This Row],[quantity]]&lt;=3,"1-3",Table_Sales[[#This Row],[quantity]]&lt;=7,"2-7",Table_Sales[[#This Row],[quantity]]&lt;=10,"8-10",TRUE,"11 and above")</f>
        <v>1-3</v>
      </c>
      <c r="J1426" t="str" cm="1">
        <f t="array" ref="J1426">_xlfn.IFS(Table_Sales[[#This Row],[amount]]&lt;1000,"Under 1000",Table_Sales[[#This Row],[amount]]&lt;3000,"1000 - 2999",Table_Sales[[#This Row],[amount]]&lt;5000,"3000 - 4999",TRUE,"5000 &amp; above")</f>
        <v>Under 1000</v>
      </c>
      <c r="K1426">
        <f>IF(COUNTIFS(INDEX(Table_Sales[order_id],1):Table_Sales[[#This Row],[order_id]],Table_Sales[[#This Row],[order_id]])=1,1,0)</f>
        <v>0</v>
      </c>
      <c r="L142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427" spans="1:12" x14ac:dyDescent="0.25">
      <c r="A1427" t="s">
        <v>49</v>
      </c>
      <c r="B1427" s="1">
        <v>13</v>
      </c>
      <c r="C1427" s="1">
        <v>0</v>
      </c>
      <c r="D1427">
        <v>2</v>
      </c>
      <c r="E1427" t="s">
        <v>23</v>
      </c>
      <c r="F1427" t="s">
        <v>30</v>
      </c>
      <c r="G1427" t="s">
        <v>10</v>
      </c>
      <c r="H1427">
        <f>IF(Table_Sales[[#This Row],[profit]]&lt;0,1,0)</f>
        <v>0</v>
      </c>
      <c r="I1427" t="str" cm="1">
        <f t="array" ref="I1427">_xlfn.IFS(Table_Sales[[#This Row],[quantity]]&lt;=3,"1-3",Table_Sales[[#This Row],[quantity]]&lt;=7,"2-7",Table_Sales[[#This Row],[quantity]]&lt;=10,"8-10",TRUE,"11 and above")</f>
        <v>1-3</v>
      </c>
      <c r="J1427" t="str" cm="1">
        <f t="array" ref="J1427">_xlfn.IFS(Table_Sales[[#This Row],[amount]]&lt;1000,"Under 1000",Table_Sales[[#This Row],[amount]]&lt;3000,"1000 - 2999",Table_Sales[[#This Row],[amount]]&lt;5000,"3000 - 4999",TRUE,"5000 &amp; above")</f>
        <v>Under 1000</v>
      </c>
      <c r="K1427">
        <f>IF(COUNTIFS(INDEX(Table_Sales[order_id],1):Table_Sales[[#This Row],[order_id]],Table_Sales[[#This Row],[order_id]])=1,1,0)</f>
        <v>0</v>
      </c>
      <c r="L142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428" spans="1:12" x14ac:dyDescent="0.25">
      <c r="A1428" t="s">
        <v>235</v>
      </c>
      <c r="B1428" s="1">
        <v>1270</v>
      </c>
      <c r="C1428" s="1">
        <v>546</v>
      </c>
      <c r="D1428">
        <v>11</v>
      </c>
      <c r="E1428" t="s">
        <v>8</v>
      </c>
      <c r="F1428" t="s">
        <v>9</v>
      </c>
      <c r="G1428" t="s">
        <v>14</v>
      </c>
      <c r="H1428">
        <f>IF(Table_Sales[[#This Row],[profit]]&lt;0,1,0)</f>
        <v>0</v>
      </c>
      <c r="I1428" t="str" cm="1">
        <f t="array" ref="I1428">_xlfn.IFS(Table_Sales[[#This Row],[quantity]]&lt;=3,"1-3",Table_Sales[[#This Row],[quantity]]&lt;=7,"2-7",Table_Sales[[#This Row],[quantity]]&lt;=10,"8-10",TRUE,"11 and above")</f>
        <v>11 and above</v>
      </c>
      <c r="J1428" t="str" cm="1">
        <f t="array" ref="J1428">_xlfn.IFS(Table_Sales[[#This Row],[amount]]&lt;1000,"Under 1000",Table_Sales[[#This Row],[amount]]&lt;3000,"1000 - 2999",Table_Sales[[#This Row],[amount]]&lt;5000,"3000 - 4999",TRUE,"5000 &amp; above")</f>
        <v>1000 - 2999</v>
      </c>
      <c r="K1428">
        <f>IF(COUNTIFS(INDEX(Table_Sales[order_id],1):Table_Sales[[#This Row],[order_id]],Table_Sales[[#This Row],[order_id]])=1,1,0)</f>
        <v>0</v>
      </c>
      <c r="L142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429" spans="1:12" x14ac:dyDescent="0.25">
      <c r="A1429" t="s">
        <v>137</v>
      </c>
      <c r="B1429" s="1">
        <v>13</v>
      </c>
      <c r="C1429" s="1">
        <v>-2</v>
      </c>
      <c r="D1429">
        <v>1</v>
      </c>
      <c r="E1429" t="s">
        <v>23</v>
      </c>
      <c r="F1429" t="s">
        <v>57</v>
      </c>
      <c r="G1429" t="s">
        <v>10</v>
      </c>
      <c r="H1429">
        <f>IF(Table_Sales[[#This Row],[profit]]&lt;0,1,0)</f>
        <v>1</v>
      </c>
      <c r="I1429" t="str" cm="1">
        <f t="array" ref="I1429">_xlfn.IFS(Table_Sales[[#This Row],[quantity]]&lt;=3,"1-3",Table_Sales[[#This Row],[quantity]]&lt;=7,"2-7",Table_Sales[[#This Row],[quantity]]&lt;=10,"8-10",TRUE,"11 and above")</f>
        <v>1-3</v>
      </c>
      <c r="J1429" t="str" cm="1">
        <f t="array" ref="J1429">_xlfn.IFS(Table_Sales[[#This Row],[amount]]&lt;1000,"Under 1000",Table_Sales[[#This Row],[amount]]&lt;3000,"1000 - 2999",Table_Sales[[#This Row],[amount]]&lt;5000,"3000 - 4999",TRUE,"5000 &amp; above")</f>
        <v>Under 1000</v>
      </c>
      <c r="K1429">
        <f>IF(COUNTIFS(INDEX(Table_Sales[order_id],1):Table_Sales[[#This Row],[order_id]],Table_Sales[[#This Row],[order_id]])=1,1,0)</f>
        <v>0</v>
      </c>
      <c r="L142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430" spans="1:12" x14ac:dyDescent="0.25">
      <c r="A1430" t="s">
        <v>525</v>
      </c>
      <c r="B1430" s="1">
        <v>13</v>
      </c>
      <c r="C1430" s="1">
        <v>3</v>
      </c>
      <c r="D1430">
        <v>1</v>
      </c>
      <c r="E1430" t="s">
        <v>23</v>
      </c>
      <c r="F1430" t="s">
        <v>63</v>
      </c>
      <c r="G1430" t="s">
        <v>10</v>
      </c>
      <c r="H1430">
        <f>IF(Table_Sales[[#This Row],[profit]]&lt;0,1,0)</f>
        <v>0</v>
      </c>
      <c r="I1430" t="str" cm="1">
        <f t="array" ref="I1430">_xlfn.IFS(Table_Sales[[#This Row],[quantity]]&lt;=3,"1-3",Table_Sales[[#This Row],[quantity]]&lt;=7,"2-7",Table_Sales[[#This Row],[quantity]]&lt;=10,"8-10",TRUE,"11 and above")</f>
        <v>1-3</v>
      </c>
      <c r="J1430" t="str" cm="1">
        <f t="array" ref="J1430">_xlfn.IFS(Table_Sales[[#This Row],[amount]]&lt;1000,"Under 1000",Table_Sales[[#This Row],[amount]]&lt;3000,"1000 - 2999",Table_Sales[[#This Row],[amount]]&lt;5000,"3000 - 4999",TRUE,"5000 &amp; above")</f>
        <v>Under 1000</v>
      </c>
      <c r="K1430">
        <f>IF(COUNTIFS(INDEX(Table_Sales[order_id],1):Table_Sales[[#This Row],[order_id]],Table_Sales[[#This Row],[order_id]])=1,1,0)</f>
        <v>1</v>
      </c>
      <c r="L143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431" spans="1:12" x14ac:dyDescent="0.25">
      <c r="A1431" t="s">
        <v>382</v>
      </c>
      <c r="B1431" s="1">
        <v>17</v>
      </c>
      <c r="C1431" s="1">
        <v>5</v>
      </c>
      <c r="D1431">
        <v>1</v>
      </c>
      <c r="E1431" t="s">
        <v>23</v>
      </c>
      <c r="F1431" t="s">
        <v>30</v>
      </c>
      <c r="G1431" t="s">
        <v>28</v>
      </c>
      <c r="H1431">
        <f>IF(Table_Sales[[#This Row],[profit]]&lt;0,1,0)</f>
        <v>0</v>
      </c>
      <c r="I1431" t="str" cm="1">
        <f t="array" ref="I1431">_xlfn.IFS(Table_Sales[[#This Row],[quantity]]&lt;=3,"1-3",Table_Sales[[#This Row],[quantity]]&lt;=7,"2-7",Table_Sales[[#This Row],[quantity]]&lt;=10,"8-10",TRUE,"11 and above")</f>
        <v>1-3</v>
      </c>
      <c r="J1431" t="str" cm="1">
        <f t="array" ref="J1431">_xlfn.IFS(Table_Sales[[#This Row],[amount]]&lt;1000,"Under 1000",Table_Sales[[#This Row],[amount]]&lt;3000,"1000 - 2999",Table_Sales[[#This Row],[amount]]&lt;5000,"3000 - 4999",TRUE,"5000 &amp; above")</f>
        <v>Under 1000</v>
      </c>
      <c r="K1431">
        <f>IF(COUNTIFS(INDEX(Table_Sales[order_id],1):Table_Sales[[#This Row],[order_id]],Table_Sales[[#This Row],[order_id]])=1,1,0)</f>
        <v>0</v>
      </c>
      <c r="L143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432" spans="1:12" x14ac:dyDescent="0.25">
      <c r="A1432" t="s">
        <v>112</v>
      </c>
      <c r="B1432" s="1">
        <v>13</v>
      </c>
      <c r="C1432" s="1">
        <v>-13</v>
      </c>
      <c r="D1432">
        <v>2</v>
      </c>
      <c r="E1432" t="s">
        <v>23</v>
      </c>
      <c r="F1432" t="s">
        <v>43</v>
      </c>
      <c r="G1432" t="s">
        <v>10</v>
      </c>
      <c r="H1432">
        <f>IF(Table_Sales[[#This Row],[profit]]&lt;0,1,0)</f>
        <v>1</v>
      </c>
      <c r="I1432" t="str" cm="1">
        <f t="array" ref="I1432">_xlfn.IFS(Table_Sales[[#This Row],[quantity]]&lt;=3,"1-3",Table_Sales[[#This Row],[quantity]]&lt;=7,"2-7",Table_Sales[[#This Row],[quantity]]&lt;=10,"8-10",TRUE,"11 and above")</f>
        <v>1-3</v>
      </c>
      <c r="J1432" t="str" cm="1">
        <f t="array" ref="J1432">_xlfn.IFS(Table_Sales[[#This Row],[amount]]&lt;1000,"Under 1000",Table_Sales[[#This Row],[amount]]&lt;3000,"1000 - 2999",Table_Sales[[#This Row],[amount]]&lt;5000,"3000 - 4999",TRUE,"5000 &amp; above")</f>
        <v>Under 1000</v>
      </c>
      <c r="K1432">
        <f>IF(COUNTIFS(INDEX(Table_Sales[order_id],1):Table_Sales[[#This Row],[order_id]],Table_Sales[[#This Row],[order_id]])=1,1,0)</f>
        <v>0</v>
      </c>
      <c r="L143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433" spans="1:12" x14ac:dyDescent="0.25">
      <c r="A1433" t="s">
        <v>371</v>
      </c>
      <c r="B1433" s="1">
        <v>13</v>
      </c>
      <c r="C1433" s="1">
        <v>-9</v>
      </c>
      <c r="D1433">
        <v>2</v>
      </c>
      <c r="E1433" t="s">
        <v>23</v>
      </c>
      <c r="F1433" t="s">
        <v>43</v>
      </c>
      <c r="G1433" t="s">
        <v>10</v>
      </c>
      <c r="H1433">
        <f>IF(Table_Sales[[#This Row],[profit]]&lt;0,1,0)</f>
        <v>1</v>
      </c>
      <c r="I1433" t="str" cm="1">
        <f t="array" ref="I1433">_xlfn.IFS(Table_Sales[[#This Row],[quantity]]&lt;=3,"1-3",Table_Sales[[#This Row],[quantity]]&lt;=7,"2-7",Table_Sales[[#This Row],[quantity]]&lt;=10,"8-10",TRUE,"11 and above")</f>
        <v>1-3</v>
      </c>
      <c r="J1433" t="str" cm="1">
        <f t="array" ref="J1433">_xlfn.IFS(Table_Sales[[#This Row],[amount]]&lt;1000,"Under 1000",Table_Sales[[#This Row],[amount]]&lt;3000,"1000 - 2999",Table_Sales[[#This Row],[amount]]&lt;5000,"3000 - 4999",TRUE,"5000 &amp; above")</f>
        <v>Under 1000</v>
      </c>
      <c r="K1433">
        <f>IF(COUNTIFS(INDEX(Table_Sales[order_id],1):Table_Sales[[#This Row],[order_id]],Table_Sales[[#This Row],[order_id]])=1,1,0)</f>
        <v>0</v>
      </c>
      <c r="L143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434" spans="1:12" x14ac:dyDescent="0.25">
      <c r="A1434" t="s">
        <v>158</v>
      </c>
      <c r="B1434" s="1">
        <v>1263</v>
      </c>
      <c r="C1434" s="1">
        <v>-56</v>
      </c>
      <c r="D1434">
        <v>5</v>
      </c>
      <c r="E1434" t="s">
        <v>23</v>
      </c>
      <c r="F1434" t="s">
        <v>24</v>
      </c>
      <c r="G1434" t="s">
        <v>14</v>
      </c>
      <c r="H1434">
        <f>IF(Table_Sales[[#This Row],[profit]]&lt;0,1,0)</f>
        <v>1</v>
      </c>
      <c r="I1434" t="str" cm="1">
        <f t="array" ref="I1434">_xlfn.IFS(Table_Sales[[#This Row],[quantity]]&lt;=3,"1-3",Table_Sales[[#This Row],[quantity]]&lt;=7,"2-7",Table_Sales[[#This Row],[quantity]]&lt;=10,"8-10",TRUE,"11 and above")</f>
        <v>2-7</v>
      </c>
      <c r="J1434" t="str" cm="1">
        <f t="array" ref="J1434">_xlfn.IFS(Table_Sales[[#This Row],[amount]]&lt;1000,"Under 1000",Table_Sales[[#This Row],[amount]]&lt;3000,"1000 - 2999",Table_Sales[[#This Row],[amount]]&lt;5000,"3000 - 4999",TRUE,"5000 &amp; above")</f>
        <v>1000 - 2999</v>
      </c>
      <c r="K1434">
        <f>IF(COUNTIFS(INDEX(Table_Sales[order_id],1):Table_Sales[[#This Row],[order_id]],Table_Sales[[#This Row],[order_id]])=1,1,0)</f>
        <v>0</v>
      </c>
      <c r="L143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435" spans="1:12" x14ac:dyDescent="0.25">
      <c r="A1435" t="s">
        <v>526</v>
      </c>
      <c r="B1435" s="1">
        <v>1629</v>
      </c>
      <c r="C1435" s="1">
        <v>-153</v>
      </c>
      <c r="D1435">
        <v>3</v>
      </c>
      <c r="E1435" t="s">
        <v>8</v>
      </c>
      <c r="F1435" t="s">
        <v>21</v>
      </c>
      <c r="G1435" t="s">
        <v>10</v>
      </c>
      <c r="H1435">
        <f>IF(Table_Sales[[#This Row],[profit]]&lt;0,1,0)</f>
        <v>1</v>
      </c>
      <c r="I1435" t="str" cm="1">
        <f t="array" ref="I1435">_xlfn.IFS(Table_Sales[[#This Row],[quantity]]&lt;=3,"1-3",Table_Sales[[#This Row],[quantity]]&lt;=7,"2-7",Table_Sales[[#This Row],[quantity]]&lt;=10,"8-10",TRUE,"11 and above")</f>
        <v>1-3</v>
      </c>
      <c r="J1435" t="str" cm="1">
        <f t="array" ref="J1435">_xlfn.IFS(Table_Sales[[#This Row],[amount]]&lt;1000,"Under 1000",Table_Sales[[#This Row],[amount]]&lt;3000,"1000 - 2999",Table_Sales[[#This Row],[amount]]&lt;5000,"3000 - 4999",TRUE,"5000 &amp; above")</f>
        <v>1000 - 2999</v>
      </c>
      <c r="K1435">
        <f>IF(COUNTIFS(INDEX(Table_Sales[order_id],1):Table_Sales[[#This Row],[order_id]],Table_Sales[[#This Row],[order_id]])=1,1,0)</f>
        <v>1</v>
      </c>
      <c r="L143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436" spans="1:12" x14ac:dyDescent="0.25">
      <c r="A1436" t="s">
        <v>104</v>
      </c>
      <c r="B1436" s="1">
        <v>17</v>
      </c>
      <c r="C1436" s="1">
        <v>7</v>
      </c>
      <c r="D1436">
        <v>3</v>
      </c>
      <c r="E1436" t="s">
        <v>23</v>
      </c>
      <c r="F1436" t="s">
        <v>30</v>
      </c>
      <c r="G1436" t="s">
        <v>28</v>
      </c>
      <c r="H1436">
        <f>IF(Table_Sales[[#This Row],[profit]]&lt;0,1,0)</f>
        <v>0</v>
      </c>
      <c r="I1436" t="str" cm="1">
        <f t="array" ref="I1436">_xlfn.IFS(Table_Sales[[#This Row],[quantity]]&lt;=3,"1-3",Table_Sales[[#This Row],[quantity]]&lt;=7,"2-7",Table_Sales[[#This Row],[quantity]]&lt;=10,"8-10",TRUE,"11 and above")</f>
        <v>1-3</v>
      </c>
      <c r="J1436" t="str" cm="1">
        <f t="array" ref="J1436">_xlfn.IFS(Table_Sales[[#This Row],[amount]]&lt;1000,"Under 1000",Table_Sales[[#This Row],[amount]]&lt;3000,"1000 - 2999",Table_Sales[[#This Row],[amount]]&lt;5000,"3000 - 4999",TRUE,"5000 &amp; above")</f>
        <v>Under 1000</v>
      </c>
      <c r="K1436">
        <f>IF(COUNTIFS(INDEX(Table_Sales[order_id],1):Table_Sales[[#This Row],[order_id]],Table_Sales[[#This Row],[order_id]])=1,1,0)</f>
        <v>0</v>
      </c>
      <c r="L143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437" spans="1:12" x14ac:dyDescent="0.25">
      <c r="A1437" t="s">
        <v>60</v>
      </c>
      <c r="B1437" s="1">
        <v>17</v>
      </c>
      <c r="C1437" s="1">
        <v>2</v>
      </c>
      <c r="D1437">
        <v>2</v>
      </c>
      <c r="E1437" t="s">
        <v>23</v>
      </c>
      <c r="F1437" t="s">
        <v>43</v>
      </c>
      <c r="G1437" t="s">
        <v>28</v>
      </c>
      <c r="H1437">
        <f>IF(Table_Sales[[#This Row],[profit]]&lt;0,1,0)</f>
        <v>0</v>
      </c>
      <c r="I1437" t="str" cm="1">
        <f t="array" ref="I1437">_xlfn.IFS(Table_Sales[[#This Row],[quantity]]&lt;=3,"1-3",Table_Sales[[#This Row],[quantity]]&lt;=7,"2-7",Table_Sales[[#This Row],[quantity]]&lt;=10,"8-10",TRUE,"11 and above")</f>
        <v>1-3</v>
      </c>
      <c r="J1437" t="str" cm="1">
        <f t="array" ref="J1437">_xlfn.IFS(Table_Sales[[#This Row],[amount]]&lt;1000,"Under 1000",Table_Sales[[#This Row],[amount]]&lt;3000,"1000 - 2999",Table_Sales[[#This Row],[amount]]&lt;5000,"3000 - 4999",TRUE,"5000 &amp; above")</f>
        <v>Under 1000</v>
      </c>
      <c r="K1437">
        <f>IF(COUNTIFS(INDEX(Table_Sales[order_id],1):Table_Sales[[#This Row],[order_id]],Table_Sales[[#This Row],[order_id]])=1,1,0)</f>
        <v>0</v>
      </c>
      <c r="L143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438" spans="1:12" x14ac:dyDescent="0.25">
      <c r="A1438" t="s">
        <v>11</v>
      </c>
      <c r="B1438" s="1">
        <v>1250</v>
      </c>
      <c r="C1438" s="1">
        <v>-12</v>
      </c>
      <c r="D1438">
        <v>2</v>
      </c>
      <c r="E1438" t="s">
        <v>8</v>
      </c>
      <c r="F1438" t="s">
        <v>18</v>
      </c>
      <c r="G1438" t="s">
        <v>14</v>
      </c>
      <c r="H1438">
        <f>IF(Table_Sales[[#This Row],[profit]]&lt;0,1,0)</f>
        <v>1</v>
      </c>
      <c r="I1438" t="str" cm="1">
        <f t="array" ref="I1438">_xlfn.IFS(Table_Sales[[#This Row],[quantity]]&lt;=3,"1-3",Table_Sales[[#This Row],[quantity]]&lt;=7,"2-7",Table_Sales[[#This Row],[quantity]]&lt;=10,"8-10",TRUE,"11 and above")</f>
        <v>1-3</v>
      </c>
      <c r="J1438" t="str" cm="1">
        <f t="array" ref="J1438">_xlfn.IFS(Table_Sales[[#This Row],[amount]]&lt;1000,"Under 1000",Table_Sales[[#This Row],[amount]]&lt;3000,"1000 - 2999",Table_Sales[[#This Row],[amount]]&lt;5000,"3000 - 4999",TRUE,"5000 &amp; above")</f>
        <v>1000 - 2999</v>
      </c>
      <c r="K1438">
        <f>IF(COUNTIFS(INDEX(Table_Sales[order_id],1):Table_Sales[[#This Row],[order_id]],Table_Sales[[#This Row],[order_id]])=1,1,0)</f>
        <v>0</v>
      </c>
      <c r="L143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439" spans="1:12" x14ac:dyDescent="0.25">
      <c r="A1439" t="s">
        <v>39</v>
      </c>
      <c r="B1439" s="1">
        <v>17</v>
      </c>
      <c r="C1439" s="1">
        <v>-11</v>
      </c>
      <c r="D1439">
        <v>3</v>
      </c>
      <c r="E1439" t="s">
        <v>23</v>
      </c>
      <c r="F1439" t="s">
        <v>43</v>
      </c>
      <c r="G1439" t="s">
        <v>28</v>
      </c>
      <c r="H1439">
        <f>IF(Table_Sales[[#This Row],[profit]]&lt;0,1,0)</f>
        <v>1</v>
      </c>
      <c r="I1439" t="str" cm="1">
        <f t="array" ref="I1439">_xlfn.IFS(Table_Sales[[#This Row],[quantity]]&lt;=3,"1-3",Table_Sales[[#This Row],[quantity]]&lt;=7,"2-7",Table_Sales[[#This Row],[quantity]]&lt;=10,"8-10",TRUE,"11 and above")</f>
        <v>1-3</v>
      </c>
      <c r="J1439" t="str" cm="1">
        <f t="array" ref="J1439">_xlfn.IFS(Table_Sales[[#This Row],[amount]]&lt;1000,"Under 1000",Table_Sales[[#This Row],[amount]]&lt;3000,"1000 - 2999",Table_Sales[[#This Row],[amount]]&lt;5000,"3000 - 4999",TRUE,"5000 &amp; above")</f>
        <v>Under 1000</v>
      </c>
      <c r="K1439">
        <f>IF(COUNTIFS(INDEX(Table_Sales[order_id],1):Table_Sales[[#This Row],[order_id]],Table_Sales[[#This Row],[order_id]])=1,1,0)</f>
        <v>0</v>
      </c>
      <c r="L143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440" spans="1:12" x14ac:dyDescent="0.25">
      <c r="A1440" t="s">
        <v>385</v>
      </c>
      <c r="B1440" s="1">
        <v>977</v>
      </c>
      <c r="C1440" s="1">
        <v>-244</v>
      </c>
      <c r="D1440">
        <v>7</v>
      </c>
      <c r="E1440" t="s">
        <v>8</v>
      </c>
      <c r="F1440" t="s">
        <v>21</v>
      </c>
      <c r="G1440" t="s">
        <v>10</v>
      </c>
      <c r="H1440">
        <f>IF(Table_Sales[[#This Row],[profit]]&lt;0,1,0)</f>
        <v>1</v>
      </c>
      <c r="I1440" t="str" cm="1">
        <f t="array" ref="I1440">_xlfn.IFS(Table_Sales[[#This Row],[quantity]]&lt;=3,"1-3",Table_Sales[[#This Row],[quantity]]&lt;=7,"2-7",Table_Sales[[#This Row],[quantity]]&lt;=10,"8-10",TRUE,"11 and above")</f>
        <v>2-7</v>
      </c>
      <c r="J1440" t="str" cm="1">
        <f t="array" ref="J1440">_xlfn.IFS(Table_Sales[[#This Row],[amount]]&lt;1000,"Under 1000",Table_Sales[[#This Row],[amount]]&lt;3000,"1000 - 2999",Table_Sales[[#This Row],[amount]]&lt;5000,"3000 - 4999",TRUE,"5000 &amp; above")</f>
        <v>Under 1000</v>
      </c>
      <c r="K1440">
        <f>IF(COUNTIFS(INDEX(Table_Sales[order_id],1):Table_Sales[[#This Row],[order_id]],Table_Sales[[#This Row],[order_id]])=1,1,0)</f>
        <v>0</v>
      </c>
      <c r="L144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441" spans="1:12" x14ac:dyDescent="0.25">
      <c r="A1441" t="s">
        <v>527</v>
      </c>
      <c r="B1441" s="1">
        <v>1246</v>
      </c>
      <c r="C1441" s="1">
        <v>62</v>
      </c>
      <c r="D1441">
        <v>3</v>
      </c>
      <c r="E1441" t="s">
        <v>12</v>
      </c>
      <c r="F1441" t="s">
        <v>16</v>
      </c>
      <c r="G1441" t="s">
        <v>14</v>
      </c>
      <c r="H1441">
        <f>IF(Table_Sales[[#This Row],[profit]]&lt;0,1,0)</f>
        <v>0</v>
      </c>
      <c r="I1441" t="str" cm="1">
        <f t="array" ref="I1441">_xlfn.IFS(Table_Sales[[#This Row],[quantity]]&lt;=3,"1-3",Table_Sales[[#This Row],[quantity]]&lt;=7,"2-7",Table_Sales[[#This Row],[quantity]]&lt;=10,"8-10",TRUE,"11 and above")</f>
        <v>1-3</v>
      </c>
      <c r="J1441" t="str" cm="1">
        <f t="array" ref="J1441">_xlfn.IFS(Table_Sales[[#This Row],[amount]]&lt;1000,"Under 1000",Table_Sales[[#This Row],[amount]]&lt;3000,"1000 - 2999",Table_Sales[[#This Row],[amount]]&lt;5000,"3000 - 4999",TRUE,"5000 &amp; above")</f>
        <v>1000 - 2999</v>
      </c>
      <c r="K1441">
        <f>IF(COUNTIFS(INDEX(Table_Sales[order_id],1):Table_Sales[[#This Row],[order_id]],Table_Sales[[#This Row],[order_id]])=1,1,0)</f>
        <v>1</v>
      </c>
      <c r="L144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442" spans="1:12" x14ac:dyDescent="0.25">
      <c r="A1442" t="s">
        <v>300</v>
      </c>
      <c r="B1442" s="1">
        <v>12</v>
      </c>
      <c r="C1442" s="1">
        <v>1</v>
      </c>
      <c r="D1442">
        <v>2</v>
      </c>
      <c r="E1442" t="s">
        <v>23</v>
      </c>
      <c r="F1442" t="s">
        <v>30</v>
      </c>
      <c r="G1442" t="s">
        <v>10</v>
      </c>
      <c r="H1442">
        <f>IF(Table_Sales[[#This Row],[profit]]&lt;0,1,0)</f>
        <v>0</v>
      </c>
      <c r="I1442" t="str" cm="1">
        <f t="array" ref="I1442">_xlfn.IFS(Table_Sales[[#This Row],[quantity]]&lt;=3,"1-3",Table_Sales[[#This Row],[quantity]]&lt;=7,"2-7",Table_Sales[[#This Row],[quantity]]&lt;=10,"8-10",TRUE,"11 and above")</f>
        <v>1-3</v>
      </c>
      <c r="J1442" t="str" cm="1">
        <f t="array" ref="J1442">_xlfn.IFS(Table_Sales[[#This Row],[amount]]&lt;1000,"Under 1000",Table_Sales[[#This Row],[amount]]&lt;3000,"1000 - 2999",Table_Sales[[#This Row],[amount]]&lt;5000,"3000 - 4999",TRUE,"5000 &amp; above")</f>
        <v>Under 1000</v>
      </c>
      <c r="K1442">
        <f>IF(COUNTIFS(INDEX(Table_Sales[order_id],1):Table_Sales[[#This Row],[order_id]],Table_Sales[[#This Row],[order_id]])=1,1,0)</f>
        <v>0</v>
      </c>
      <c r="L144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443" spans="1:12" x14ac:dyDescent="0.25">
      <c r="A1443" t="s">
        <v>119</v>
      </c>
      <c r="B1443" s="1">
        <v>11</v>
      </c>
      <c r="C1443" s="1">
        <v>-4</v>
      </c>
      <c r="D1443">
        <v>2</v>
      </c>
      <c r="E1443" t="s">
        <v>23</v>
      </c>
      <c r="F1443" t="s">
        <v>43</v>
      </c>
      <c r="G1443" t="s">
        <v>10</v>
      </c>
      <c r="H1443">
        <f>IF(Table_Sales[[#This Row],[profit]]&lt;0,1,0)</f>
        <v>1</v>
      </c>
      <c r="I1443" t="str" cm="1">
        <f t="array" ref="I1443">_xlfn.IFS(Table_Sales[[#This Row],[quantity]]&lt;=3,"1-3",Table_Sales[[#This Row],[quantity]]&lt;=7,"2-7",Table_Sales[[#This Row],[quantity]]&lt;=10,"8-10",TRUE,"11 and above")</f>
        <v>1-3</v>
      </c>
      <c r="J1443" t="str" cm="1">
        <f t="array" ref="J1443">_xlfn.IFS(Table_Sales[[#This Row],[amount]]&lt;1000,"Under 1000",Table_Sales[[#This Row],[amount]]&lt;3000,"1000 - 2999",Table_Sales[[#This Row],[amount]]&lt;5000,"3000 - 4999",TRUE,"5000 &amp; above")</f>
        <v>Under 1000</v>
      </c>
      <c r="K1443">
        <f>IF(COUNTIFS(INDEX(Table_Sales[order_id],1):Table_Sales[[#This Row],[order_id]],Table_Sales[[#This Row],[order_id]])=1,1,0)</f>
        <v>0</v>
      </c>
      <c r="L144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444" spans="1:12" x14ac:dyDescent="0.25">
      <c r="A1444" t="s">
        <v>117</v>
      </c>
      <c r="B1444" s="1">
        <v>1327</v>
      </c>
      <c r="C1444" s="1">
        <v>318</v>
      </c>
      <c r="D1444">
        <v>8</v>
      </c>
      <c r="E1444" t="s">
        <v>12</v>
      </c>
      <c r="F1444" t="s">
        <v>13</v>
      </c>
      <c r="G1444" t="s">
        <v>14</v>
      </c>
      <c r="H1444">
        <f>IF(Table_Sales[[#This Row],[profit]]&lt;0,1,0)</f>
        <v>0</v>
      </c>
      <c r="I1444" t="str" cm="1">
        <f t="array" ref="I1444">_xlfn.IFS(Table_Sales[[#This Row],[quantity]]&lt;=3,"1-3",Table_Sales[[#This Row],[quantity]]&lt;=7,"2-7",Table_Sales[[#This Row],[quantity]]&lt;=10,"8-10",TRUE,"11 and above")</f>
        <v>8-10</v>
      </c>
      <c r="J1444" t="str" cm="1">
        <f t="array" ref="J1444">_xlfn.IFS(Table_Sales[[#This Row],[amount]]&lt;1000,"Under 1000",Table_Sales[[#This Row],[amount]]&lt;3000,"1000 - 2999",Table_Sales[[#This Row],[amount]]&lt;5000,"3000 - 4999",TRUE,"5000 &amp; above")</f>
        <v>1000 - 2999</v>
      </c>
      <c r="K1444">
        <f>IF(COUNTIFS(INDEX(Table_Sales[order_id],1):Table_Sales[[#This Row],[order_id]],Table_Sales[[#This Row],[order_id]])=1,1,0)</f>
        <v>0</v>
      </c>
      <c r="L144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445" spans="1:12" x14ac:dyDescent="0.25">
      <c r="A1445" t="s">
        <v>171</v>
      </c>
      <c r="B1445" s="1">
        <v>1319</v>
      </c>
      <c r="C1445" s="1">
        <v>567</v>
      </c>
      <c r="D1445">
        <v>5</v>
      </c>
      <c r="E1445" t="s">
        <v>8</v>
      </c>
      <c r="F1445" t="s">
        <v>18</v>
      </c>
      <c r="G1445" t="s">
        <v>10</v>
      </c>
      <c r="H1445">
        <f>IF(Table_Sales[[#This Row],[profit]]&lt;0,1,0)</f>
        <v>0</v>
      </c>
      <c r="I1445" t="str" cm="1">
        <f t="array" ref="I1445">_xlfn.IFS(Table_Sales[[#This Row],[quantity]]&lt;=3,"1-3",Table_Sales[[#This Row],[quantity]]&lt;=7,"2-7",Table_Sales[[#This Row],[quantity]]&lt;=10,"8-10",TRUE,"11 and above")</f>
        <v>2-7</v>
      </c>
      <c r="J1445" t="str" cm="1">
        <f t="array" ref="J1445">_xlfn.IFS(Table_Sales[[#This Row],[amount]]&lt;1000,"Under 1000",Table_Sales[[#This Row],[amount]]&lt;3000,"1000 - 2999",Table_Sales[[#This Row],[amount]]&lt;5000,"3000 - 4999",TRUE,"5000 &amp; above")</f>
        <v>1000 - 2999</v>
      </c>
      <c r="K1445">
        <f>IF(COUNTIFS(INDEX(Table_Sales[order_id],1):Table_Sales[[#This Row],[order_id]],Table_Sales[[#This Row],[order_id]])=1,1,0)</f>
        <v>0</v>
      </c>
      <c r="L144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446" spans="1:12" x14ac:dyDescent="0.25">
      <c r="A1446" t="s">
        <v>307</v>
      </c>
      <c r="B1446" s="1">
        <v>1402</v>
      </c>
      <c r="C1446" s="1">
        <v>109</v>
      </c>
      <c r="D1446">
        <v>11</v>
      </c>
      <c r="E1446" t="s">
        <v>23</v>
      </c>
      <c r="F1446" t="s">
        <v>26</v>
      </c>
      <c r="G1446" t="s">
        <v>14</v>
      </c>
      <c r="H1446">
        <f>IF(Table_Sales[[#This Row],[profit]]&lt;0,1,0)</f>
        <v>0</v>
      </c>
      <c r="I1446" t="str" cm="1">
        <f t="array" ref="I1446">_xlfn.IFS(Table_Sales[[#This Row],[quantity]]&lt;=3,"1-3",Table_Sales[[#This Row],[quantity]]&lt;=7,"2-7",Table_Sales[[#This Row],[quantity]]&lt;=10,"8-10",TRUE,"11 and above")</f>
        <v>11 and above</v>
      </c>
      <c r="J1446" t="str" cm="1">
        <f t="array" ref="J1446">_xlfn.IFS(Table_Sales[[#This Row],[amount]]&lt;1000,"Under 1000",Table_Sales[[#This Row],[amount]]&lt;3000,"1000 - 2999",Table_Sales[[#This Row],[amount]]&lt;5000,"3000 - 4999",TRUE,"5000 &amp; above")</f>
        <v>1000 - 2999</v>
      </c>
      <c r="K1446">
        <f>IF(COUNTIFS(INDEX(Table_Sales[order_id],1):Table_Sales[[#This Row],[order_id]],Table_Sales[[#This Row],[order_id]])=1,1,0)</f>
        <v>0</v>
      </c>
      <c r="L144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447" spans="1:12" x14ac:dyDescent="0.25">
      <c r="A1447" t="s">
        <v>253</v>
      </c>
      <c r="B1447" s="1">
        <v>1514</v>
      </c>
      <c r="C1447" s="1">
        <v>742</v>
      </c>
      <c r="D1447">
        <v>4</v>
      </c>
      <c r="E1447" t="s">
        <v>8</v>
      </c>
      <c r="F1447" t="s">
        <v>18</v>
      </c>
      <c r="G1447" t="s">
        <v>14</v>
      </c>
      <c r="H1447">
        <f>IF(Table_Sales[[#This Row],[profit]]&lt;0,1,0)</f>
        <v>0</v>
      </c>
      <c r="I1447" t="str" cm="1">
        <f t="array" ref="I1447">_xlfn.IFS(Table_Sales[[#This Row],[quantity]]&lt;=3,"1-3",Table_Sales[[#This Row],[quantity]]&lt;=7,"2-7",Table_Sales[[#This Row],[quantity]]&lt;=10,"8-10",TRUE,"11 and above")</f>
        <v>2-7</v>
      </c>
      <c r="J1447" t="str" cm="1">
        <f t="array" ref="J1447">_xlfn.IFS(Table_Sales[[#This Row],[amount]]&lt;1000,"Under 1000",Table_Sales[[#This Row],[amount]]&lt;3000,"1000 - 2999",Table_Sales[[#This Row],[amount]]&lt;5000,"3000 - 4999",TRUE,"5000 &amp; above")</f>
        <v>1000 - 2999</v>
      </c>
      <c r="K1447">
        <f>IF(COUNTIFS(INDEX(Table_Sales[order_id],1):Table_Sales[[#This Row],[order_id]],Table_Sales[[#This Row],[order_id]])=1,1,0)</f>
        <v>0</v>
      </c>
      <c r="L144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448" spans="1:12" x14ac:dyDescent="0.25">
      <c r="A1448" t="s">
        <v>22</v>
      </c>
      <c r="B1448" s="1">
        <v>1351</v>
      </c>
      <c r="C1448" s="1">
        <v>111</v>
      </c>
      <c r="D1448">
        <v>6</v>
      </c>
      <c r="E1448" t="s">
        <v>8</v>
      </c>
      <c r="F1448" t="s">
        <v>9</v>
      </c>
      <c r="G1448" t="s">
        <v>10</v>
      </c>
      <c r="H1448">
        <f>IF(Table_Sales[[#This Row],[profit]]&lt;0,1,0)</f>
        <v>0</v>
      </c>
      <c r="I1448" t="str" cm="1">
        <f t="array" ref="I1448">_xlfn.IFS(Table_Sales[[#This Row],[quantity]]&lt;=3,"1-3",Table_Sales[[#This Row],[quantity]]&lt;=7,"2-7",Table_Sales[[#This Row],[quantity]]&lt;=10,"8-10",TRUE,"11 and above")</f>
        <v>2-7</v>
      </c>
      <c r="J1448" t="str" cm="1">
        <f t="array" ref="J1448">_xlfn.IFS(Table_Sales[[#This Row],[amount]]&lt;1000,"Under 1000",Table_Sales[[#This Row],[amount]]&lt;3000,"1000 - 2999",Table_Sales[[#This Row],[amount]]&lt;5000,"3000 - 4999",TRUE,"5000 &amp; above")</f>
        <v>1000 - 2999</v>
      </c>
      <c r="K1448">
        <f>IF(COUNTIFS(INDEX(Table_Sales[order_id],1):Table_Sales[[#This Row],[order_id]],Table_Sales[[#This Row],[order_id]])=1,1,0)</f>
        <v>0</v>
      </c>
      <c r="L144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449" spans="1:12" x14ac:dyDescent="0.25">
      <c r="A1449" t="s">
        <v>149</v>
      </c>
      <c r="B1449" s="1">
        <v>1355</v>
      </c>
      <c r="C1449" s="1">
        <v>-60</v>
      </c>
      <c r="D1449">
        <v>5</v>
      </c>
      <c r="E1449" t="s">
        <v>23</v>
      </c>
      <c r="F1449" t="s">
        <v>24</v>
      </c>
      <c r="G1449" t="s">
        <v>10</v>
      </c>
      <c r="H1449">
        <f>IF(Table_Sales[[#This Row],[profit]]&lt;0,1,0)</f>
        <v>1</v>
      </c>
      <c r="I1449" t="str" cm="1">
        <f t="array" ref="I1449">_xlfn.IFS(Table_Sales[[#This Row],[quantity]]&lt;=3,"1-3",Table_Sales[[#This Row],[quantity]]&lt;=7,"2-7",Table_Sales[[#This Row],[quantity]]&lt;=10,"8-10",TRUE,"11 and above")</f>
        <v>2-7</v>
      </c>
      <c r="J1449" t="str" cm="1">
        <f t="array" ref="J1449">_xlfn.IFS(Table_Sales[[#This Row],[amount]]&lt;1000,"Under 1000",Table_Sales[[#This Row],[amount]]&lt;3000,"1000 - 2999",Table_Sales[[#This Row],[amount]]&lt;5000,"3000 - 4999",TRUE,"5000 &amp; above")</f>
        <v>1000 - 2999</v>
      </c>
      <c r="K1449">
        <f>IF(COUNTIFS(INDEX(Table_Sales[order_id],1):Table_Sales[[#This Row],[order_id]],Table_Sales[[#This Row],[order_id]])=1,1,0)</f>
        <v>0</v>
      </c>
      <c r="L144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450" spans="1:12" x14ac:dyDescent="0.25">
      <c r="A1450" t="s">
        <v>31</v>
      </c>
      <c r="B1450" s="1">
        <v>10</v>
      </c>
      <c r="C1450" s="1">
        <v>2</v>
      </c>
      <c r="D1450">
        <v>2</v>
      </c>
      <c r="E1450" t="s">
        <v>23</v>
      </c>
      <c r="F1450" t="s">
        <v>30</v>
      </c>
      <c r="G1450" t="s">
        <v>10</v>
      </c>
      <c r="H1450">
        <f>IF(Table_Sales[[#This Row],[profit]]&lt;0,1,0)</f>
        <v>0</v>
      </c>
      <c r="I1450" t="str" cm="1">
        <f t="array" ref="I1450">_xlfn.IFS(Table_Sales[[#This Row],[quantity]]&lt;=3,"1-3",Table_Sales[[#This Row],[quantity]]&lt;=7,"2-7",Table_Sales[[#This Row],[quantity]]&lt;=10,"8-10",TRUE,"11 and above")</f>
        <v>1-3</v>
      </c>
      <c r="J1450" t="str" cm="1">
        <f t="array" ref="J1450">_xlfn.IFS(Table_Sales[[#This Row],[amount]]&lt;1000,"Under 1000",Table_Sales[[#This Row],[amount]]&lt;3000,"1000 - 2999",Table_Sales[[#This Row],[amount]]&lt;5000,"3000 - 4999",TRUE,"5000 &amp; above")</f>
        <v>Under 1000</v>
      </c>
      <c r="K1450">
        <f>IF(COUNTIFS(INDEX(Table_Sales[order_id],1):Table_Sales[[#This Row],[order_id]],Table_Sales[[#This Row],[order_id]])=1,1,0)</f>
        <v>0</v>
      </c>
      <c r="L145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451" spans="1:12" x14ac:dyDescent="0.25">
      <c r="A1451" t="s">
        <v>59</v>
      </c>
      <c r="B1451" s="1">
        <v>10</v>
      </c>
      <c r="C1451" s="1">
        <v>-2</v>
      </c>
      <c r="D1451">
        <v>2</v>
      </c>
      <c r="E1451" t="s">
        <v>23</v>
      </c>
      <c r="F1451" t="s">
        <v>63</v>
      </c>
      <c r="G1451" t="s">
        <v>10</v>
      </c>
      <c r="H1451">
        <f>IF(Table_Sales[[#This Row],[profit]]&lt;0,1,0)</f>
        <v>1</v>
      </c>
      <c r="I1451" t="str" cm="1">
        <f t="array" ref="I1451">_xlfn.IFS(Table_Sales[[#This Row],[quantity]]&lt;=3,"1-3",Table_Sales[[#This Row],[quantity]]&lt;=7,"2-7",Table_Sales[[#This Row],[quantity]]&lt;=10,"8-10",TRUE,"11 and above")</f>
        <v>1-3</v>
      </c>
      <c r="J1451" t="str" cm="1">
        <f t="array" ref="J1451">_xlfn.IFS(Table_Sales[[#This Row],[amount]]&lt;1000,"Under 1000",Table_Sales[[#This Row],[amount]]&lt;3000,"1000 - 2999",Table_Sales[[#This Row],[amount]]&lt;5000,"3000 - 4999",TRUE,"5000 &amp; above")</f>
        <v>Under 1000</v>
      </c>
      <c r="K1451">
        <f>IF(COUNTIFS(INDEX(Table_Sales[order_id],1):Table_Sales[[#This Row],[order_id]],Table_Sales[[#This Row],[order_id]])=1,1,0)</f>
        <v>0</v>
      </c>
      <c r="L145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452" spans="1:12" x14ac:dyDescent="0.25">
      <c r="A1452" t="s">
        <v>528</v>
      </c>
      <c r="B1452" s="1">
        <v>1582</v>
      </c>
      <c r="C1452" s="1">
        <v>-443</v>
      </c>
      <c r="D1452">
        <v>6</v>
      </c>
      <c r="E1452" t="s">
        <v>23</v>
      </c>
      <c r="F1452" t="s">
        <v>24</v>
      </c>
      <c r="G1452" t="s">
        <v>14</v>
      </c>
      <c r="H1452">
        <f>IF(Table_Sales[[#This Row],[profit]]&lt;0,1,0)</f>
        <v>1</v>
      </c>
      <c r="I1452" t="str" cm="1">
        <f t="array" ref="I1452">_xlfn.IFS(Table_Sales[[#This Row],[quantity]]&lt;=3,"1-3",Table_Sales[[#This Row],[quantity]]&lt;=7,"2-7",Table_Sales[[#This Row],[quantity]]&lt;=10,"8-10",TRUE,"11 and above")</f>
        <v>2-7</v>
      </c>
      <c r="J1452" t="str" cm="1">
        <f t="array" ref="J1452">_xlfn.IFS(Table_Sales[[#This Row],[amount]]&lt;1000,"Under 1000",Table_Sales[[#This Row],[amount]]&lt;3000,"1000 - 2999",Table_Sales[[#This Row],[amount]]&lt;5000,"3000 - 4999",TRUE,"5000 &amp; above")</f>
        <v>1000 - 2999</v>
      </c>
      <c r="K1452">
        <f>IF(COUNTIFS(INDEX(Table_Sales[order_id],1):Table_Sales[[#This Row],[order_id]],Table_Sales[[#This Row],[order_id]])=1,1,0)</f>
        <v>1</v>
      </c>
      <c r="L145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453" spans="1:12" x14ac:dyDescent="0.25">
      <c r="A1453" t="s">
        <v>132</v>
      </c>
      <c r="B1453" s="1">
        <v>1218</v>
      </c>
      <c r="C1453" s="1">
        <v>352</v>
      </c>
      <c r="D1453">
        <v>9</v>
      </c>
      <c r="E1453" t="s">
        <v>12</v>
      </c>
      <c r="F1453" t="s">
        <v>16</v>
      </c>
      <c r="G1453" t="s">
        <v>14</v>
      </c>
      <c r="H1453">
        <f>IF(Table_Sales[[#This Row],[profit]]&lt;0,1,0)</f>
        <v>0</v>
      </c>
      <c r="I1453" t="str" cm="1">
        <f t="array" ref="I1453">_xlfn.IFS(Table_Sales[[#This Row],[quantity]]&lt;=3,"1-3",Table_Sales[[#This Row],[quantity]]&lt;=7,"2-7",Table_Sales[[#This Row],[quantity]]&lt;=10,"8-10",TRUE,"11 and above")</f>
        <v>8-10</v>
      </c>
      <c r="J1453" t="str" cm="1">
        <f t="array" ref="J1453">_xlfn.IFS(Table_Sales[[#This Row],[amount]]&lt;1000,"Under 1000",Table_Sales[[#This Row],[amount]]&lt;3000,"1000 - 2999",Table_Sales[[#This Row],[amount]]&lt;5000,"3000 - 4999",TRUE,"5000 &amp; above")</f>
        <v>1000 - 2999</v>
      </c>
      <c r="K1453">
        <f>IF(COUNTIFS(INDEX(Table_Sales[order_id],1):Table_Sales[[#This Row],[order_id]],Table_Sales[[#This Row],[order_id]])=1,1,0)</f>
        <v>0</v>
      </c>
      <c r="L145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454" spans="1:12" x14ac:dyDescent="0.25">
      <c r="A1454" t="s">
        <v>67</v>
      </c>
      <c r="B1454" s="1">
        <v>321</v>
      </c>
      <c r="C1454" s="1">
        <v>315</v>
      </c>
      <c r="D1454">
        <v>5</v>
      </c>
      <c r="E1454" t="s">
        <v>23</v>
      </c>
      <c r="F1454" t="s">
        <v>26</v>
      </c>
      <c r="G1454" t="s">
        <v>28</v>
      </c>
      <c r="H1454">
        <f>IF(Table_Sales[[#This Row],[profit]]&lt;0,1,0)</f>
        <v>0</v>
      </c>
      <c r="I1454" t="str" cm="1">
        <f t="array" ref="I1454">_xlfn.IFS(Table_Sales[[#This Row],[quantity]]&lt;=3,"1-3",Table_Sales[[#This Row],[quantity]]&lt;=7,"2-7",Table_Sales[[#This Row],[quantity]]&lt;=10,"8-10",TRUE,"11 and above")</f>
        <v>2-7</v>
      </c>
      <c r="J1454" t="str" cm="1">
        <f t="array" ref="J1454">_xlfn.IFS(Table_Sales[[#This Row],[amount]]&lt;1000,"Under 1000",Table_Sales[[#This Row],[amount]]&lt;3000,"1000 - 2999",Table_Sales[[#This Row],[amount]]&lt;5000,"3000 - 4999",TRUE,"5000 &amp; above")</f>
        <v>Under 1000</v>
      </c>
      <c r="K1454">
        <f>IF(COUNTIFS(INDEX(Table_Sales[order_id],1):Table_Sales[[#This Row],[order_id]],Table_Sales[[#This Row],[order_id]])=1,1,0)</f>
        <v>0</v>
      </c>
      <c r="L145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455" spans="1:12" x14ac:dyDescent="0.25">
      <c r="A1455" t="s">
        <v>207</v>
      </c>
      <c r="B1455" s="1">
        <v>736</v>
      </c>
      <c r="C1455" s="1">
        <v>346</v>
      </c>
      <c r="D1455">
        <v>5</v>
      </c>
      <c r="E1455" t="s">
        <v>8</v>
      </c>
      <c r="F1455" t="s">
        <v>18</v>
      </c>
      <c r="G1455" t="s">
        <v>10</v>
      </c>
      <c r="H1455">
        <f>IF(Table_Sales[[#This Row],[profit]]&lt;0,1,0)</f>
        <v>0</v>
      </c>
      <c r="I1455" t="str" cm="1">
        <f t="array" ref="I1455">_xlfn.IFS(Table_Sales[[#This Row],[quantity]]&lt;=3,"1-3",Table_Sales[[#This Row],[quantity]]&lt;=7,"2-7",Table_Sales[[#This Row],[quantity]]&lt;=10,"8-10",TRUE,"11 and above")</f>
        <v>2-7</v>
      </c>
      <c r="J1455" t="str" cm="1">
        <f t="array" ref="J1455">_xlfn.IFS(Table_Sales[[#This Row],[amount]]&lt;1000,"Under 1000",Table_Sales[[#This Row],[amount]]&lt;3000,"1000 - 2999",Table_Sales[[#This Row],[amount]]&lt;5000,"3000 - 4999",TRUE,"5000 &amp; above")</f>
        <v>Under 1000</v>
      </c>
      <c r="K1455">
        <f>IF(COUNTIFS(INDEX(Table_Sales[order_id],1):Table_Sales[[#This Row],[order_id]],Table_Sales[[#This Row],[order_id]])=1,1,0)</f>
        <v>0</v>
      </c>
      <c r="L145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456" spans="1:12" x14ac:dyDescent="0.25">
      <c r="A1456" t="s">
        <v>11</v>
      </c>
      <c r="B1456" s="1">
        <v>1218</v>
      </c>
      <c r="C1456" s="1">
        <v>-420</v>
      </c>
      <c r="D1456">
        <v>8</v>
      </c>
      <c r="E1456" t="s">
        <v>12</v>
      </c>
      <c r="F1456" t="s">
        <v>16</v>
      </c>
      <c r="G1456" t="s">
        <v>10</v>
      </c>
      <c r="H1456">
        <f>IF(Table_Sales[[#This Row],[profit]]&lt;0,1,0)</f>
        <v>1</v>
      </c>
      <c r="I1456" t="str" cm="1">
        <f t="array" ref="I1456">_xlfn.IFS(Table_Sales[[#This Row],[quantity]]&lt;=3,"1-3",Table_Sales[[#This Row],[quantity]]&lt;=7,"2-7",Table_Sales[[#This Row],[quantity]]&lt;=10,"8-10",TRUE,"11 and above")</f>
        <v>8-10</v>
      </c>
      <c r="J1456" t="str" cm="1">
        <f t="array" ref="J1456">_xlfn.IFS(Table_Sales[[#This Row],[amount]]&lt;1000,"Under 1000",Table_Sales[[#This Row],[amount]]&lt;3000,"1000 - 2999",Table_Sales[[#This Row],[amount]]&lt;5000,"3000 - 4999",TRUE,"5000 &amp; above")</f>
        <v>1000 - 2999</v>
      </c>
      <c r="K1456">
        <f>IF(COUNTIFS(INDEX(Table_Sales[order_id],1):Table_Sales[[#This Row],[order_id]],Table_Sales[[#This Row],[order_id]])=1,1,0)</f>
        <v>0</v>
      </c>
      <c r="L145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457" spans="1:12" x14ac:dyDescent="0.25">
      <c r="A1457" t="s">
        <v>171</v>
      </c>
      <c r="B1457" s="1">
        <v>1027</v>
      </c>
      <c r="C1457" s="1">
        <v>441</v>
      </c>
      <c r="D1457">
        <v>8</v>
      </c>
      <c r="E1457" t="s">
        <v>23</v>
      </c>
      <c r="F1457" t="s">
        <v>26</v>
      </c>
      <c r="G1457" t="s">
        <v>10</v>
      </c>
      <c r="H1457">
        <f>IF(Table_Sales[[#This Row],[profit]]&lt;0,1,0)</f>
        <v>0</v>
      </c>
      <c r="I1457" t="str" cm="1">
        <f t="array" ref="I1457">_xlfn.IFS(Table_Sales[[#This Row],[quantity]]&lt;=3,"1-3",Table_Sales[[#This Row],[quantity]]&lt;=7,"2-7",Table_Sales[[#This Row],[quantity]]&lt;=10,"8-10",TRUE,"11 and above")</f>
        <v>8-10</v>
      </c>
      <c r="J1457" t="str" cm="1">
        <f t="array" ref="J1457">_xlfn.IFS(Table_Sales[[#This Row],[amount]]&lt;1000,"Under 1000",Table_Sales[[#This Row],[amount]]&lt;3000,"1000 - 2999",Table_Sales[[#This Row],[amount]]&lt;5000,"3000 - 4999",TRUE,"5000 &amp; above")</f>
        <v>1000 - 2999</v>
      </c>
      <c r="K1457">
        <f>IF(COUNTIFS(INDEX(Table_Sales[order_id],1):Table_Sales[[#This Row],[order_id]],Table_Sales[[#This Row],[order_id]])=1,1,0)</f>
        <v>0</v>
      </c>
      <c r="L145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458" spans="1:12" x14ac:dyDescent="0.25">
      <c r="A1458" t="s">
        <v>255</v>
      </c>
      <c r="B1458" s="1">
        <v>10</v>
      </c>
      <c r="C1458" s="1">
        <v>5</v>
      </c>
      <c r="D1458">
        <v>1</v>
      </c>
      <c r="E1458" t="s">
        <v>23</v>
      </c>
      <c r="F1458" t="s">
        <v>57</v>
      </c>
      <c r="G1458" t="s">
        <v>10</v>
      </c>
      <c r="H1458">
        <f>IF(Table_Sales[[#This Row],[profit]]&lt;0,1,0)</f>
        <v>0</v>
      </c>
      <c r="I1458" t="str" cm="1">
        <f t="array" ref="I1458">_xlfn.IFS(Table_Sales[[#This Row],[quantity]]&lt;=3,"1-3",Table_Sales[[#This Row],[quantity]]&lt;=7,"2-7",Table_Sales[[#This Row],[quantity]]&lt;=10,"8-10",TRUE,"11 and above")</f>
        <v>1-3</v>
      </c>
      <c r="J1458" t="str" cm="1">
        <f t="array" ref="J1458">_xlfn.IFS(Table_Sales[[#This Row],[amount]]&lt;1000,"Under 1000",Table_Sales[[#This Row],[amount]]&lt;3000,"1000 - 2999",Table_Sales[[#This Row],[amount]]&lt;5000,"3000 - 4999",TRUE,"5000 &amp; above")</f>
        <v>Under 1000</v>
      </c>
      <c r="K1458">
        <f>IF(COUNTIFS(INDEX(Table_Sales[order_id],1):Table_Sales[[#This Row],[order_id]],Table_Sales[[#This Row],[order_id]])=1,1,0)</f>
        <v>0</v>
      </c>
      <c r="L145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459" spans="1:12" x14ac:dyDescent="0.25">
      <c r="A1459" t="s">
        <v>458</v>
      </c>
      <c r="B1459" s="1">
        <v>2366</v>
      </c>
      <c r="C1459" s="1">
        <v>552</v>
      </c>
      <c r="D1459">
        <v>5</v>
      </c>
      <c r="E1459" t="s">
        <v>23</v>
      </c>
      <c r="F1459" t="s">
        <v>24</v>
      </c>
      <c r="G1459" t="s">
        <v>28</v>
      </c>
      <c r="H1459">
        <f>IF(Table_Sales[[#This Row],[profit]]&lt;0,1,0)</f>
        <v>0</v>
      </c>
      <c r="I1459" t="str" cm="1">
        <f t="array" ref="I1459">_xlfn.IFS(Table_Sales[[#This Row],[quantity]]&lt;=3,"1-3",Table_Sales[[#This Row],[quantity]]&lt;=7,"2-7",Table_Sales[[#This Row],[quantity]]&lt;=10,"8-10",TRUE,"11 and above")</f>
        <v>2-7</v>
      </c>
      <c r="J1459" t="str" cm="1">
        <f t="array" ref="J1459">_xlfn.IFS(Table_Sales[[#This Row],[amount]]&lt;1000,"Under 1000",Table_Sales[[#This Row],[amount]]&lt;3000,"1000 - 2999",Table_Sales[[#This Row],[amount]]&lt;5000,"3000 - 4999",TRUE,"5000 &amp; above")</f>
        <v>1000 - 2999</v>
      </c>
      <c r="K1459">
        <f>IF(COUNTIFS(INDEX(Table_Sales[order_id],1):Table_Sales[[#This Row],[order_id]],Table_Sales[[#This Row],[order_id]])=1,1,0)</f>
        <v>0</v>
      </c>
      <c r="L145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460" spans="1:12" x14ac:dyDescent="0.25">
      <c r="A1460" t="s">
        <v>308</v>
      </c>
      <c r="B1460" s="1">
        <v>9</v>
      </c>
      <c r="C1460" s="1">
        <v>-6</v>
      </c>
      <c r="D1460">
        <v>2</v>
      </c>
      <c r="E1460" t="s">
        <v>23</v>
      </c>
      <c r="F1460" t="s">
        <v>30</v>
      </c>
      <c r="G1460" t="s">
        <v>10</v>
      </c>
      <c r="H1460">
        <f>IF(Table_Sales[[#This Row],[profit]]&lt;0,1,0)</f>
        <v>1</v>
      </c>
      <c r="I1460" t="str" cm="1">
        <f t="array" ref="I1460">_xlfn.IFS(Table_Sales[[#This Row],[quantity]]&lt;=3,"1-3",Table_Sales[[#This Row],[quantity]]&lt;=7,"2-7",Table_Sales[[#This Row],[quantity]]&lt;=10,"8-10",TRUE,"11 and above")</f>
        <v>1-3</v>
      </c>
      <c r="J1460" t="str" cm="1">
        <f t="array" ref="J1460">_xlfn.IFS(Table_Sales[[#This Row],[amount]]&lt;1000,"Under 1000",Table_Sales[[#This Row],[amount]]&lt;3000,"1000 - 2999",Table_Sales[[#This Row],[amount]]&lt;5000,"3000 - 4999",TRUE,"5000 &amp; above")</f>
        <v>Under 1000</v>
      </c>
      <c r="K1460">
        <f>IF(COUNTIFS(INDEX(Table_Sales[order_id],1):Table_Sales[[#This Row],[order_id]],Table_Sales[[#This Row],[order_id]])=1,1,0)</f>
        <v>0</v>
      </c>
      <c r="L146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461" spans="1:12" x14ac:dyDescent="0.25">
      <c r="A1461" t="s">
        <v>66</v>
      </c>
      <c r="B1461" s="1">
        <v>16</v>
      </c>
      <c r="C1461" s="1">
        <v>-12</v>
      </c>
      <c r="D1461">
        <v>2</v>
      </c>
      <c r="E1461" t="s">
        <v>23</v>
      </c>
      <c r="F1461" t="s">
        <v>57</v>
      </c>
      <c r="G1461" t="s">
        <v>28</v>
      </c>
      <c r="H1461">
        <f>IF(Table_Sales[[#This Row],[profit]]&lt;0,1,0)</f>
        <v>1</v>
      </c>
      <c r="I1461" t="str" cm="1">
        <f t="array" ref="I1461">_xlfn.IFS(Table_Sales[[#This Row],[quantity]]&lt;=3,"1-3",Table_Sales[[#This Row],[quantity]]&lt;=7,"2-7",Table_Sales[[#This Row],[quantity]]&lt;=10,"8-10",TRUE,"11 and above")</f>
        <v>1-3</v>
      </c>
      <c r="J1461" t="str" cm="1">
        <f t="array" ref="J1461">_xlfn.IFS(Table_Sales[[#This Row],[amount]]&lt;1000,"Under 1000",Table_Sales[[#This Row],[amount]]&lt;3000,"1000 - 2999",Table_Sales[[#This Row],[amount]]&lt;5000,"3000 - 4999",TRUE,"5000 &amp; above")</f>
        <v>Under 1000</v>
      </c>
      <c r="K1461">
        <f>IF(COUNTIFS(INDEX(Table_Sales[order_id],1):Table_Sales[[#This Row],[order_id]],Table_Sales[[#This Row],[order_id]])=1,1,0)</f>
        <v>0</v>
      </c>
      <c r="L146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462" spans="1:12" x14ac:dyDescent="0.25">
      <c r="A1462" t="s">
        <v>458</v>
      </c>
      <c r="B1462" s="1">
        <v>9</v>
      </c>
      <c r="C1462" s="1">
        <v>3</v>
      </c>
      <c r="D1462">
        <v>1</v>
      </c>
      <c r="E1462" t="s">
        <v>23</v>
      </c>
      <c r="F1462" t="s">
        <v>43</v>
      </c>
      <c r="G1462" t="s">
        <v>10</v>
      </c>
      <c r="H1462">
        <f>IF(Table_Sales[[#This Row],[profit]]&lt;0,1,0)</f>
        <v>0</v>
      </c>
      <c r="I1462" t="str" cm="1">
        <f t="array" ref="I1462">_xlfn.IFS(Table_Sales[[#This Row],[quantity]]&lt;=3,"1-3",Table_Sales[[#This Row],[quantity]]&lt;=7,"2-7",Table_Sales[[#This Row],[quantity]]&lt;=10,"8-10",TRUE,"11 and above")</f>
        <v>1-3</v>
      </c>
      <c r="J1462" t="str" cm="1">
        <f t="array" ref="J1462">_xlfn.IFS(Table_Sales[[#This Row],[amount]]&lt;1000,"Under 1000",Table_Sales[[#This Row],[amount]]&lt;3000,"1000 - 2999",Table_Sales[[#This Row],[amount]]&lt;5000,"3000 - 4999",TRUE,"5000 &amp; above")</f>
        <v>Under 1000</v>
      </c>
      <c r="K1462">
        <f>IF(COUNTIFS(INDEX(Table_Sales[order_id],1):Table_Sales[[#This Row],[order_id]],Table_Sales[[#This Row],[order_id]])=1,1,0)</f>
        <v>0</v>
      </c>
      <c r="L146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463" spans="1:12" x14ac:dyDescent="0.25">
      <c r="A1463" t="s">
        <v>529</v>
      </c>
      <c r="B1463" s="1">
        <v>1560</v>
      </c>
      <c r="C1463" s="1">
        <v>421</v>
      </c>
      <c r="D1463">
        <v>3</v>
      </c>
      <c r="E1463" t="s">
        <v>23</v>
      </c>
      <c r="F1463" t="s">
        <v>24</v>
      </c>
      <c r="G1463" t="s">
        <v>10</v>
      </c>
      <c r="H1463">
        <f>IF(Table_Sales[[#This Row],[profit]]&lt;0,1,0)</f>
        <v>0</v>
      </c>
      <c r="I1463" t="str" cm="1">
        <f t="array" ref="I1463">_xlfn.IFS(Table_Sales[[#This Row],[quantity]]&lt;=3,"1-3",Table_Sales[[#This Row],[quantity]]&lt;=7,"2-7",Table_Sales[[#This Row],[quantity]]&lt;=10,"8-10",TRUE,"11 and above")</f>
        <v>1-3</v>
      </c>
      <c r="J1463" t="str" cm="1">
        <f t="array" ref="J1463">_xlfn.IFS(Table_Sales[[#This Row],[amount]]&lt;1000,"Under 1000",Table_Sales[[#This Row],[amount]]&lt;3000,"1000 - 2999",Table_Sales[[#This Row],[amount]]&lt;5000,"3000 - 4999",TRUE,"5000 &amp; above")</f>
        <v>1000 - 2999</v>
      </c>
      <c r="K1463">
        <f>IF(COUNTIFS(INDEX(Table_Sales[order_id],1):Table_Sales[[#This Row],[order_id]],Table_Sales[[#This Row],[order_id]])=1,1,0)</f>
        <v>1</v>
      </c>
      <c r="L146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464" spans="1:12" x14ac:dyDescent="0.25">
      <c r="A1464" t="s">
        <v>196</v>
      </c>
      <c r="B1464" s="1">
        <v>1137</v>
      </c>
      <c r="C1464" s="1">
        <v>568</v>
      </c>
      <c r="D1464">
        <v>2</v>
      </c>
      <c r="E1464" t="s">
        <v>23</v>
      </c>
      <c r="F1464" t="s">
        <v>24</v>
      </c>
      <c r="G1464" t="s">
        <v>14</v>
      </c>
      <c r="H1464">
        <f>IF(Table_Sales[[#This Row],[profit]]&lt;0,1,0)</f>
        <v>0</v>
      </c>
      <c r="I1464" t="str" cm="1">
        <f t="array" ref="I1464">_xlfn.IFS(Table_Sales[[#This Row],[quantity]]&lt;=3,"1-3",Table_Sales[[#This Row],[quantity]]&lt;=7,"2-7",Table_Sales[[#This Row],[quantity]]&lt;=10,"8-10",TRUE,"11 and above")</f>
        <v>1-3</v>
      </c>
      <c r="J1464" t="str" cm="1">
        <f t="array" ref="J1464">_xlfn.IFS(Table_Sales[[#This Row],[amount]]&lt;1000,"Under 1000",Table_Sales[[#This Row],[amount]]&lt;3000,"1000 - 2999",Table_Sales[[#This Row],[amount]]&lt;5000,"3000 - 4999",TRUE,"5000 &amp; above")</f>
        <v>1000 - 2999</v>
      </c>
      <c r="K1464">
        <f>IF(COUNTIFS(INDEX(Table_Sales[order_id],1):Table_Sales[[#This Row],[order_id]],Table_Sales[[#This Row],[order_id]])=1,1,0)</f>
        <v>0</v>
      </c>
      <c r="L146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465" spans="1:12" x14ac:dyDescent="0.25">
      <c r="A1465" t="s">
        <v>284</v>
      </c>
      <c r="B1465" s="1">
        <v>9</v>
      </c>
      <c r="C1465" s="1">
        <v>-9</v>
      </c>
      <c r="D1465">
        <v>2</v>
      </c>
      <c r="E1465" t="s">
        <v>23</v>
      </c>
      <c r="F1465" t="s">
        <v>32</v>
      </c>
      <c r="G1465" t="s">
        <v>10</v>
      </c>
      <c r="H1465">
        <f>IF(Table_Sales[[#This Row],[profit]]&lt;0,1,0)</f>
        <v>1</v>
      </c>
      <c r="I1465" t="str" cm="1">
        <f t="array" ref="I1465">_xlfn.IFS(Table_Sales[[#This Row],[quantity]]&lt;=3,"1-3",Table_Sales[[#This Row],[quantity]]&lt;=7,"2-7",Table_Sales[[#This Row],[quantity]]&lt;=10,"8-10",TRUE,"11 and above")</f>
        <v>1-3</v>
      </c>
      <c r="J1465" t="str" cm="1">
        <f t="array" ref="J1465">_xlfn.IFS(Table_Sales[[#This Row],[amount]]&lt;1000,"Under 1000",Table_Sales[[#This Row],[amount]]&lt;3000,"1000 - 2999",Table_Sales[[#This Row],[amount]]&lt;5000,"3000 - 4999",TRUE,"5000 &amp; above")</f>
        <v>Under 1000</v>
      </c>
      <c r="K1465">
        <f>IF(COUNTIFS(INDEX(Table_Sales[order_id],1):Table_Sales[[#This Row],[order_id]],Table_Sales[[#This Row],[order_id]])=1,1,0)</f>
        <v>0</v>
      </c>
      <c r="L146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466" spans="1:12" x14ac:dyDescent="0.25">
      <c r="A1466" t="s">
        <v>42</v>
      </c>
      <c r="B1466" s="1">
        <v>15</v>
      </c>
      <c r="C1466" s="1">
        <v>-7</v>
      </c>
      <c r="D1466">
        <v>1</v>
      </c>
      <c r="E1466" t="s">
        <v>23</v>
      </c>
      <c r="F1466" t="s">
        <v>30</v>
      </c>
      <c r="G1466" t="s">
        <v>28</v>
      </c>
      <c r="H1466">
        <f>IF(Table_Sales[[#This Row],[profit]]&lt;0,1,0)</f>
        <v>1</v>
      </c>
      <c r="I1466" t="str" cm="1">
        <f t="array" ref="I1466">_xlfn.IFS(Table_Sales[[#This Row],[quantity]]&lt;=3,"1-3",Table_Sales[[#This Row],[quantity]]&lt;=7,"2-7",Table_Sales[[#This Row],[quantity]]&lt;=10,"8-10",TRUE,"11 and above")</f>
        <v>1-3</v>
      </c>
      <c r="J1466" t="str" cm="1">
        <f t="array" ref="J1466">_xlfn.IFS(Table_Sales[[#This Row],[amount]]&lt;1000,"Under 1000",Table_Sales[[#This Row],[amount]]&lt;3000,"1000 - 2999",Table_Sales[[#This Row],[amount]]&lt;5000,"3000 - 4999",TRUE,"5000 &amp; above")</f>
        <v>Under 1000</v>
      </c>
      <c r="K1466">
        <f>IF(COUNTIFS(INDEX(Table_Sales[order_id],1):Table_Sales[[#This Row],[order_id]],Table_Sales[[#This Row],[order_id]])=1,1,0)</f>
        <v>0</v>
      </c>
      <c r="L146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467" spans="1:12" x14ac:dyDescent="0.25">
      <c r="A1467" t="s">
        <v>61</v>
      </c>
      <c r="B1467" s="1">
        <v>14</v>
      </c>
      <c r="C1467" s="1">
        <v>5</v>
      </c>
      <c r="D1467">
        <v>1</v>
      </c>
      <c r="E1467" t="s">
        <v>23</v>
      </c>
      <c r="F1467" t="s">
        <v>30</v>
      </c>
      <c r="G1467" t="s">
        <v>28</v>
      </c>
      <c r="H1467">
        <f>IF(Table_Sales[[#This Row],[profit]]&lt;0,1,0)</f>
        <v>0</v>
      </c>
      <c r="I1467" t="str" cm="1">
        <f t="array" ref="I1467">_xlfn.IFS(Table_Sales[[#This Row],[quantity]]&lt;=3,"1-3",Table_Sales[[#This Row],[quantity]]&lt;=7,"2-7",Table_Sales[[#This Row],[quantity]]&lt;=10,"8-10",TRUE,"11 and above")</f>
        <v>1-3</v>
      </c>
      <c r="J1467" t="str" cm="1">
        <f t="array" ref="J1467">_xlfn.IFS(Table_Sales[[#This Row],[amount]]&lt;1000,"Under 1000",Table_Sales[[#This Row],[amount]]&lt;3000,"1000 - 2999",Table_Sales[[#This Row],[amount]]&lt;5000,"3000 - 4999",TRUE,"5000 &amp; above")</f>
        <v>Under 1000</v>
      </c>
      <c r="K1467">
        <f>IF(COUNTIFS(INDEX(Table_Sales[order_id],1):Table_Sales[[#This Row],[order_id]],Table_Sales[[#This Row],[order_id]])=1,1,0)</f>
        <v>0</v>
      </c>
      <c r="L146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468" spans="1:12" x14ac:dyDescent="0.25">
      <c r="A1468" t="s">
        <v>169</v>
      </c>
      <c r="B1468" s="1">
        <v>14</v>
      </c>
      <c r="C1468" s="1">
        <v>7</v>
      </c>
      <c r="D1468">
        <v>2</v>
      </c>
      <c r="E1468" t="s">
        <v>23</v>
      </c>
      <c r="F1468" t="s">
        <v>30</v>
      </c>
      <c r="G1468" t="s">
        <v>28</v>
      </c>
      <c r="H1468">
        <f>IF(Table_Sales[[#This Row],[profit]]&lt;0,1,0)</f>
        <v>0</v>
      </c>
      <c r="I1468" t="str" cm="1">
        <f t="array" ref="I1468">_xlfn.IFS(Table_Sales[[#This Row],[quantity]]&lt;=3,"1-3",Table_Sales[[#This Row],[quantity]]&lt;=7,"2-7",Table_Sales[[#This Row],[quantity]]&lt;=10,"8-10",TRUE,"11 and above")</f>
        <v>1-3</v>
      </c>
      <c r="J1468" t="str" cm="1">
        <f t="array" ref="J1468">_xlfn.IFS(Table_Sales[[#This Row],[amount]]&lt;1000,"Under 1000",Table_Sales[[#This Row],[amount]]&lt;3000,"1000 - 2999",Table_Sales[[#This Row],[amount]]&lt;5000,"3000 - 4999",TRUE,"5000 &amp; above")</f>
        <v>Under 1000</v>
      </c>
      <c r="K1468">
        <f>IF(COUNTIFS(INDEX(Table_Sales[order_id],1):Table_Sales[[#This Row],[order_id]],Table_Sales[[#This Row],[order_id]])=1,1,0)</f>
        <v>0</v>
      </c>
      <c r="L146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469" spans="1:12" x14ac:dyDescent="0.25">
      <c r="A1469" t="s">
        <v>127</v>
      </c>
      <c r="B1469" s="1">
        <v>8</v>
      </c>
      <c r="C1469" s="1">
        <v>-2</v>
      </c>
      <c r="D1469">
        <v>2</v>
      </c>
      <c r="E1469" t="s">
        <v>23</v>
      </c>
      <c r="F1469" t="s">
        <v>30</v>
      </c>
      <c r="G1469" t="s">
        <v>10</v>
      </c>
      <c r="H1469">
        <f>IF(Table_Sales[[#This Row],[profit]]&lt;0,1,0)</f>
        <v>1</v>
      </c>
      <c r="I1469" t="str" cm="1">
        <f t="array" ref="I1469">_xlfn.IFS(Table_Sales[[#This Row],[quantity]]&lt;=3,"1-3",Table_Sales[[#This Row],[quantity]]&lt;=7,"2-7",Table_Sales[[#This Row],[quantity]]&lt;=10,"8-10",TRUE,"11 and above")</f>
        <v>1-3</v>
      </c>
      <c r="J1469" t="str" cm="1">
        <f t="array" ref="J1469">_xlfn.IFS(Table_Sales[[#This Row],[amount]]&lt;1000,"Under 1000",Table_Sales[[#This Row],[amount]]&lt;3000,"1000 - 2999",Table_Sales[[#This Row],[amount]]&lt;5000,"3000 - 4999",TRUE,"5000 &amp; above")</f>
        <v>Under 1000</v>
      </c>
      <c r="K1469">
        <f>IF(COUNTIFS(INDEX(Table_Sales[order_id],1):Table_Sales[[#This Row],[order_id]],Table_Sales[[#This Row],[order_id]])=1,1,0)</f>
        <v>0</v>
      </c>
      <c r="L146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470" spans="1:12" x14ac:dyDescent="0.25">
      <c r="A1470" t="s">
        <v>123</v>
      </c>
      <c r="B1470" s="1">
        <v>1389</v>
      </c>
      <c r="C1470" s="1">
        <v>680</v>
      </c>
      <c r="D1470">
        <v>7</v>
      </c>
      <c r="E1470" t="s">
        <v>23</v>
      </c>
      <c r="F1470" t="s">
        <v>26</v>
      </c>
      <c r="G1470" t="s">
        <v>10</v>
      </c>
      <c r="H1470">
        <f>IF(Table_Sales[[#This Row],[profit]]&lt;0,1,0)</f>
        <v>0</v>
      </c>
      <c r="I1470" t="str" cm="1">
        <f t="array" ref="I1470">_xlfn.IFS(Table_Sales[[#This Row],[quantity]]&lt;=3,"1-3",Table_Sales[[#This Row],[quantity]]&lt;=7,"2-7",Table_Sales[[#This Row],[quantity]]&lt;=10,"8-10",TRUE,"11 and above")</f>
        <v>2-7</v>
      </c>
      <c r="J1470" t="str" cm="1">
        <f t="array" ref="J1470">_xlfn.IFS(Table_Sales[[#This Row],[amount]]&lt;1000,"Under 1000",Table_Sales[[#This Row],[amount]]&lt;3000,"1000 - 2999",Table_Sales[[#This Row],[amount]]&lt;5000,"3000 - 4999",TRUE,"5000 &amp; above")</f>
        <v>1000 - 2999</v>
      </c>
      <c r="K1470">
        <f>IF(COUNTIFS(INDEX(Table_Sales[order_id],1):Table_Sales[[#This Row],[order_id]],Table_Sales[[#This Row],[order_id]])=1,1,0)</f>
        <v>0</v>
      </c>
      <c r="L147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471" spans="1:12" x14ac:dyDescent="0.25">
      <c r="A1471" t="s">
        <v>326</v>
      </c>
      <c r="B1471" s="1">
        <v>8</v>
      </c>
      <c r="C1471" s="1">
        <v>-1</v>
      </c>
      <c r="D1471">
        <v>2</v>
      </c>
      <c r="E1471" t="s">
        <v>23</v>
      </c>
      <c r="F1471" t="s">
        <v>63</v>
      </c>
      <c r="G1471" t="s">
        <v>10</v>
      </c>
      <c r="H1471">
        <f>IF(Table_Sales[[#This Row],[profit]]&lt;0,1,0)</f>
        <v>1</v>
      </c>
      <c r="I1471" t="str" cm="1">
        <f t="array" ref="I1471">_xlfn.IFS(Table_Sales[[#This Row],[quantity]]&lt;=3,"1-3",Table_Sales[[#This Row],[quantity]]&lt;=7,"2-7",Table_Sales[[#This Row],[quantity]]&lt;=10,"8-10",TRUE,"11 and above")</f>
        <v>1-3</v>
      </c>
      <c r="J1471" t="str" cm="1">
        <f t="array" ref="J1471">_xlfn.IFS(Table_Sales[[#This Row],[amount]]&lt;1000,"Under 1000",Table_Sales[[#This Row],[amount]]&lt;3000,"1000 - 2999",Table_Sales[[#This Row],[amount]]&lt;5000,"3000 - 4999",TRUE,"5000 &amp; above")</f>
        <v>Under 1000</v>
      </c>
      <c r="K1471">
        <f>IF(COUNTIFS(INDEX(Table_Sales[order_id],1):Table_Sales[[#This Row],[order_id]],Table_Sales[[#This Row],[order_id]])=1,1,0)</f>
        <v>0</v>
      </c>
      <c r="L147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472" spans="1:12" x14ac:dyDescent="0.25">
      <c r="A1472" t="s">
        <v>530</v>
      </c>
      <c r="B1472" s="1">
        <v>8</v>
      </c>
      <c r="C1472" s="1">
        <v>-2</v>
      </c>
      <c r="D1472">
        <v>1</v>
      </c>
      <c r="E1472" t="s">
        <v>23</v>
      </c>
      <c r="F1472" t="s">
        <v>57</v>
      </c>
      <c r="G1472" t="s">
        <v>10</v>
      </c>
      <c r="H1472">
        <f>IF(Table_Sales[[#This Row],[profit]]&lt;0,1,0)</f>
        <v>1</v>
      </c>
      <c r="I1472" t="str" cm="1">
        <f t="array" ref="I1472">_xlfn.IFS(Table_Sales[[#This Row],[quantity]]&lt;=3,"1-3",Table_Sales[[#This Row],[quantity]]&lt;=7,"2-7",Table_Sales[[#This Row],[quantity]]&lt;=10,"8-10",TRUE,"11 and above")</f>
        <v>1-3</v>
      </c>
      <c r="J1472" t="str" cm="1">
        <f t="array" ref="J1472">_xlfn.IFS(Table_Sales[[#This Row],[amount]]&lt;1000,"Under 1000",Table_Sales[[#This Row],[amount]]&lt;3000,"1000 - 2999",Table_Sales[[#This Row],[amount]]&lt;5000,"3000 - 4999",TRUE,"5000 &amp; above")</f>
        <v>Under 1000</v>
      </c>
      <c r="K1472">
        <f>IF(COUNTIFS(INDEX(Table_Sales[order_id],1):Table_Sales[[#This Row],[order_id]],Table_Sales[[#This Row],[order_id]])=1,1,0)</f>
        <v>1</v>
      </c>
      <c r="L147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473" spans="1:12" x14ac:dyDescent="0.25">
      <c r="A1473" t="s">
        <v>46</v>
      </c>
      <c r="B1473" s="1">
        <v>13</v>
      </c>
      <c r="C1473" s="1">
        <v>4</v>
      </c>
      <c r="D1473">
        <v>1</v>
      </c>
      <c r="E1473" t="s">
        <v>23</v>
      </c>
      <c r="F1473" t="s">
        <v>63</v>
      </c>
      <c r="G1473" t="s">
        <v>28</v>
      </c>
      <c r="H1473">
        <f>IF(Table_Sales[[#This Row],[profit]]&lt;0,1,0)</f>
        <v>0</v>
      </c>
      <c r="I1473" t="str" cm="1">
        <f t="array" ref="I1473">_xlfn.IFS(Table_Sales[[#This Row],[quantity]]&lt;=3,"1-3",Table_Sales[[#This Row],[quantity]]&lt;=7,"2-7",Table_Sales[[#This Row],[quantity]]&lt;=10,"8-10",TRUE,"11 and above")</f>
        <v>1-3</v>
      </c>
      <c r="J1473" t="str" cm="1">
        <f t="array" ref="J1473">_xlfn.IFS(Table_Sales[[#This Row],[amount]]&lt;1000,"Under 1000",Table_Sales[[#This Row],[amount]]&lt;3000,"1000 - 2999",Table_Sales[[#This Row],[amount]]&lt;5000,"3000 - 4999",TRUE,"5000 &amp; above")</f>
        <v>Under 1000</v>
      </c>
      <c r="K1473">
        <f>IF(COUNTIFS(INDEX(Table_Sales[order_id],1):Table_Sales[[#This Row],[order_id]],Table_Sales[[#This Row],[order_id]])=1,1,0)</f>
        <v>0</v>
      </c>
      <c r="L147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474" spans="1:12" x14ac:dyDescent="0.25">
      <c r="A1474" t="s">
        <v>531</v>
      </c>
      <c r="B1474" s="1">
        <v>8</v>
      </c>
      <c r="C1474" s="1">
        <v>-6</v>
      </c>
      <c r="D1474">
        <v>1</v>
      </c>
      <c r="E1474" t="s">
        <v>23</v>
      </c>
      <c r="F1474" t="s">
        <v>57</v>
      </c>
      <c r="G1474" t="s">
        <v>10</v>
      </c>
      <c r="H1474">
        <f>IF(Table_Sales[[#This Row],[profit]]&lt;0,1,0)</f>
        <v>1</v>
      </c>
      <c r="I1474" t="str" cm="1">
        <f t="array" ref="I1474">_xlfn.IFS(Table_Sales[[#This Row],[quantity]]&lt;=3,"1-3",Table_Sales[[#This Row],[quantity]]&lt;=7,"2-7",Table_Sales[[#This Row],[quantity]]&lt;=10,"8-10",TRUE,"11 and above")</f>
        <v>1-3</v>
      </c>
      <c r="J1474" t="str" cm="1">
        <f t="array" ref="J1474">_xlfn.IFS(Table_Sales[[#This Row],[amount]]&lt;1000,"Under 1000",Table_Sales[[#This Row],[amount]]&lt;3000,"1000 - 2999",Table_Sales[[#This Row],[amount]]&lt;5000,"3000 - 4999",TRUE,"5000 &amp; above")</f>
        <v>Under 1000</v>
      </c>
      <c r="K1474">
        <f>IF(COUNTIFS(INDEX(Table_Sales[order_id],1):Table_Sales[[#This Row],[order_id]],Table_Sales[[#This Row],[order_id]])=1,1,0)</f>
        <v>1</v>
      </c>
      <c r="L147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475" spans="1:12" x14ac:dyDescent="0.25">
      <c r="A1475" t="s">
        <v>71</v>
      </c>
      <c r="B1475" s="1">
        <v>12</v>
      </c>
      <c r="C1475" s="1">
        <v>2</v>
      </c>
      <c r="D1475">
        <v>2</v>
      </c>
      <c r="E1475" t="s">
        <v>23</v>
      </c>
      <c r="F1475" t="s">
        <v>43</v>
      </c>
      <c r="G1475" t="s">
        <v>19</v>
      </c>
      <c r="H1475">
        <f>IF(Table_Sales[[#This Row],[profit]]&lt;0,1,0)</f>
        <v>0</v>
      </c>
      <c r="I1475" t="str" cm="1">
        <f t="array" ref="I1475">_xlfn.IFS(Table_Sales[[#This Row],[quantity]]&lt;=3,"1-3",Table_Sales[[#This Row],[quantity]]&lt;=7,"2-7",Table_Sales[[#This Row],[quantity]]&lt;=10,"8-10",TRUE,"11 and above")</f>
        <v>1-3</v>
      </c>
      <c r="J1475" t="str" cm="1">
        <f t="array" ref="J1475">_xlfn.IFS(Table_Sales[[#This Row],[amount]]&lt;1000,"Under 1000",Table_Sales[[#This Row],[amount]]&lt;3000,"1000 - 2999",Table_Sales[[#This Row],[amount]]&lt;5000,"3000 - 4999",TRUE,"5000 &amp; above")</f>
        <v>Under 1000</v>
      </c>
      <c r="K1475">
        <f>IF(COUNTIFS(INDEX(Table_Sales[order_id],1):Table_Sales[[#This Row],[order_id]],Table_Sales[[#This Row],[order_id]])=1,1,0)</f>
        <v>0</v>
      </c>
      <c r="L147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476" spans="1:12" x14ac:dyDescent="0.25">
      <c r="A1476" t="s">
        <v>15</v>
      </c>
      <c r="B1476" s="1">
        <v>1716</v>
      </c>
      <c r="C1476" s="1">
        <v>309</v>
      </c>
      <c r="D1476">
        <v>7</v>
      </c>
      <c r="E1476" t="s">
        <v>8</v>
      </c>
      <c r="F1476" t="s">
        <v>73</v>
      </c>
      <c r="G1476" t="s">
        <v>10</v>
      </c>
      <c r="H1476">
        <f>IF(Table_Sales[[#This Row],[profit]]&lt;0,1,0)</f>
        <v>0</v>
      </c>
      <c r="I1476" t="str" cm="1">
        <f t="array" ref="I1476">_xlfn.IFS(Table_Sales[[#This Row],[quantity]]&lt;=3,"1-3",Table_Sales[[#This Row],[quantity]]&lt;=7,"2-7",Table_Sales[[#This Row],[quantity]]&lt;=10,"8-10",TRUE,"11 and above")</f>
        <v>2-7</v>
      </c>
      <c r="J1476" t="str" cm="1">
        <f t="array" ref="J1476">_xlfn.IFS(Table_Sales[[#This Row],[amount]]&lt;1000,"Under 1000",Table_Sales[[#This Row],[amount]]&lt;3000,"1000 - 2999",Table_Sales[[#This Row],[amount]]&lt;5000,"3000 - 4999",TRUE,"5000 &amp; above")</f>
        <v>1000 - 2999</v>
      </c>
      <c r="K1476">
        <f>IF(COUNTIFS(INDEX(Table_Sales[order_id],1):Table_Sales[[#This Row],[order_id]],Table_Sales[[#This Row],[order_id]])=1,1,0)</f>
        <v>0</v>
      </c>
      <c r="L147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477" spans="1:12" x14ac:dyDescent="0.25">
      <c r="A1477" t="s">
        <v>285</v>
      </c>
      <c r="B1477" s="1">
        <v>1117</v>
      </c>
      <c r="C1477" s="1">
        <v>447</v>
      </c>
      <c r="D1477">
        <v>10</v>
      </c>
      <c r="E1477" t="s">
        <v>12</v>
      </c>
      <c r="F1477" t="s">
        <v>16</v>
      </c>
      <c r="G1477" t="s">
        <v>14</v>
      </c>
      <c r="H1477">
        <f>IF(Table_Sales[[#This Row],[profit]]&lt;0,1,0)</f>
        <v>0</v>
      </c>
      <c r="I1477" t="str" cm="1">
        <f t="array" ref="I1477">_xlfn.IFS(Table_Sales[[#This Row],[quantity]]&lt;=3,"1-3",Table_Sales[[#This Row],[quantity]]&lt;=7,"2-7",Table_Sales[[#This Row],[quantity]]&lt;=10,"8-10",TRUE,"11 and above")</f>
        <v>8-10</v>
      </c>
      <c r="J1477" t="str" cm="1">
        <f t="array" ref="J1477">_xlfn.IFS(Table_Sales[[#This Row],[amount]]&lt;1000,"Under 1000",Table_Sales[[#This Row],[amount]]&lt;3000,"1000 - 2999",Table_Sales[[#This Row],[amount]]&lt;5000,"3000 - 4999",TRUE,"5000 &amp; above")</f>
        <v>1000 - 2999</v>
      </c>
      <c r="K1477">
        <f>IF(COUNTIFS(INDEX(Table_Sales[order_id],1):Table_Sales[[#This Row],[order_id]],Table_Sales[[#This Row],[order_id]])=1,1,0)</f>
        <v>0</v>
      </c>
      <c r="L147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478" spans="1:12" x14ac:dyDescent="0.25">
      <c r="A1478" t="s">
        <v>38</v>
      </c>
      <c r="B1478" s="1">
        <v>9</v>
      </c>
      <c r="C1478" s="1">
        <v>-6</v>
      </c>
      <c r="D1478">
        <v>2</v>
      </c>
      <c r="E1478" t="s">
        <v>23</v>
      </c>
      <c r="F1478" t="s">
        <v>43</v>
      </c>
      <c r="G1478" t="s">
        <v>19</v>
      </c>
      <c r="H1478">
        <f>IF(Table_Sales[[#This Row],[profit]]&lt;0,1,0)</f>
        <v>1</v>
      </c>
      <c r="I1478" t="str" cm="1">
        <f t="array" ref="I1478">_xlfn.IFS(Table_Sales[[#This Row],[quantity]]&lt;=3,"1-3",Table_Sales[[#This Row],[quantity]]&lt;=7,"2-7",Table_Sales[[#This Row],[quantity]]&lt;=10,"8-10",TRUE,"11 and above")</f>
        <v>1-3</v>
      </c>
      <c r="J1478" t="str" cm="1">
        <f t="array" ref="J1478">_xlfn.IFS(Table_Sales[[#This Row],[amount]]&lt;1000,"Under 1000",Table_Sales[[#This Row],[amount]]&lt;3000,"1000 - 2999",Table_Sales[[#This Row],[amount]]&lt;5000,"3000 - 4999",TRUE,"5000 &amp; above")</f>
        <v>Under 1000</v>
      </c>
      <c r="K1478">
        <f>IF(COUNTIFS(INDEX(Table_Sales[order_id],1):Table_Sales[[#This Row],[order_id]],Table_Sales[[#This Row],[order_id]])=1,1,0)</f>
        <v>0</v>
      </c>
      <c r="L147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479" spans="1:12" x14ac:dyDescent="0.25">
      <c r="A1479" t="s">
        <v>53</v>
      </c>
      <c r="B1479" s="1">
        <v>332</v>
      </c>
      <c r="C1479" s="1">
        <v>503</v>
      </c>
      <c r="D1479">
        <v>3</v>
      </c>
      <c r="E1479" t="s">
        <v>8</v>
      </c>
      <c r="F1479" t="s">
        <v>18</v>
      </c>
      <c r="G1479" t="s">
        <v>10</v>
      </c>
      <c r="H1479">
        <f>IF(Table_Sales[[#This Row],[profit]]&lt;0,1,0)</f>
        <v>0</v>
      </c>
      <c r="I1479" t="str" cm="1">
        <f t="array" ref="I1479">_xlfn.IFS(Table_Sales[[#This Row],[quantity]]&lt;=3,"1-3",Table_Sales[[#This Row],[quantity]]&lt;=7,"2-7",Table_Sales[[#This Row],[quantity]]&lt;=10,"8-10",TRUE,"11 and above")</f>
        <v>1-3</v>
      </c>
      <c r="J1479" t="str" cm="1">
        <f t="array" ref="J1479">_xlfn.IFS(Table_Sales[[#This Row],[amount]]&lt;1000,"Under 1000",Table_Sales[[#This Row],[amount]]&lt;3000,"1000 - 2999",Table_Sales[[#This Row],[amount]]&lt;5000,"3000 - 4999",TRUE,"5000 &amp; above")</f>
        <v>Under 1000</v>
      </c>
      <c r="K1479">
        <f>IF(COUNTIFS(INDEX(Table_Sales[order_id],1):Table_Sales[[#This Row],[order_id]],Table_Sales[[#This Row],[order_id]])=1,1,0)</f>
        <v>0</v>
      </c>
      <c r="L147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0</v>
      </c>
    </row>
    <row r="1480" spans="1:12" x14ac:dyDescent="0.25">
      <c r="A1480" t="s">
        <v>38</v>
      </c>
      <c r="B1480" s="1">
        <v>7</v>
      </c>
      <c r="C1480" s="1">
        <v>-4</v>
      </c>
      <c r="D1480">
        <v>3</v>
      </c>
      <c r="E1480" t="s">
        <v>23</v>
      </c>
      <c r="F1480" t="s">
        <v>30</v>
      </c>
      <c r="G1480" t="s">
        <v>10</v>
      </c>
      <c r="H1480">
        <f>IF(Table_Sales[[#This Row],[profit]]&lt;0,1,0)</f>
        <v>1</v>
      </c>
      <c r="I1480" t="str" cm="1">
        <f t="array" ref="I1480">_xlfn.IFS(Table_Sales[[#This Row],[quantity]]&lt;=3,"1-3",Table_Sales[[#This Row],[quantity]]&lt;=7,"2-7",Table_Sales[[#This Row],[quantity]]&lt;=10,"8-10",TRUE,"11 and above")</f>
        <v>1-3</v>
      </c>
      <c r="J1480" t="str" cm="1">
        <f t="array" ref="J1480">_xlfn.IFS(Table_Sales[[#This Row],[amount]]&lt;1000,"Under 1000",Table_Sales[[#This Row],[amount]]&lt;3000,"1000 - 2999",Table_Sales[[#This Row],[amount]]&lt;5000,"3000 - 4999",TRUE,"5000 &amp; above")</f>
        <v>Under 1000</v>
      </c>
      <c r="K1480">
        <f>IF(COUNTIFS(INDEX(Table_Sales[order_id],1):Table_Sales[[#This Row],[order_id]],Table_Sales[[#This Row],[order_id]])=1,1,0)</f>
        <v>0</v>
      </c>
      <c r="L148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481" spans="1:12" x14ac:dyDescent="0.25">
      <c r="A1481" t="s">
        <v>346</v>
      </c>
      <c r="B1481" s="1">
        <v>8</v>
      </c>
      <c r="C1481" s="1">
        <v>-2</v>
      </c>
      <c r="D1481">
        <v>3</v>
      </c>
      <c r="E1481" t="s">
        <v>23</v>
      </c>
      <c r="F1481" t="s">
        <v>30</v>
      </c>
      <c r="G1481" t="s">
        <v>19</v>
      </c>
      <c r="H1481">
        <f>IF(Table_Sales[[#This Row],[profit]]&lt;0,1,0)</f>
        <v>1</v>
      </c>
      <c r="I1481" t="str" cm="1">
        <f t="array" ref="I1481">_xlfn.IFS(Table_Sales[[#This Row],[quantity]]&lt;=3,"1-3",Table_Sales[[#This Row],[quantity]]&lt;=7,"2-7",Table_Sales[[#This Row],[quantity]]&lt;=10,"8-10",TRUE,"11 and above")</f>
        <v>1-3</v>
      </c>
      <c r="J1481" t="str" cm="1">
        <f t="array" ref="J1481">_xlfn.IFS(Table_Sales[[#This Row],[amount]]&lt;1000,"Under 1000",Table_Sales[[#This Row],[amount]]&lt;3000,"1000 - 2999",Table_Sales[[#This Row],[amount]]&lt;5000,"3000 - 4999",TRUE,"5000 &amp; above")</f>
        <v>Under 1000</v>
      </c>
      <c r="K1481">
        <f>IF(COUNTIFS(INDEX(Table_Sales[order_id],1):Table_Sales[[#This Row],[order_id]],Table_Sales[[#This Row],[order_id]])=1,1,0)</f>
        <v>0</v>
      </c>
      <c r="L148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482" spans="1:12" x14ac:dyDescent="0.25">
      <c r="A1482" t="s">
        <v>395</v>
      </c>
      <c r="B1482" s="1">
        <v>2061</v>
      </c>
      <c r="C1482" s="1">
        <v>701</v>
      </c>
      <c r="D1482">
        <v>5</v>
      </c>
      <c r="E1482" t="s">
        <v>12</v>
      </c>
      <c r="F1482" t="s">
        <v>16</v>
      </c>
      <c r="G1482" t="s">
        <v>28</v>
      </c>
      <c r="H1482">
        <f>IF(Table_Sales[[#This Row],[profit]]&lt;0,1,0)</f>
        <v>0</v>
      </c>
      <c r="I1482" t="str" cm="1">
        <f t="array" ref="I1482">_xlfn.IFS(Table_Sales[[#This Row],[quantity]]&lt;=3,"1-3",Table_Sales[[#This Row],[quantity]]&lt;=7,"2-7",Table_Sales[[#This Row],[quantity]]&lt;=10,"8-10",TRUE,"11 and above")</f>
        <v>2-7</v>
      </c>
      <c r="J1482" t="str" cm="1">
        <f t="array" ref="J1482">_xlfn.IFS(Table_Sales[[#This Row],[amount]]&lt;1000,"Under 1000",Table_Sales[[#This Row],[amount]]&lt;3000,"1000 - 2999",Table_Sales[[#This Row],[amount]]&lt;5000,"3000 - 4999",TRUE,"5000 &amp; above")</f>
        <v>1000 - 2999</v>
      </c>
      <c r="K1482">
        <f>IF(COUNTIFS(INDEX(Table_Sales[order_id],1):Table_Sales[[#This Row],[order_id]],Table_Sales[[#This Row],[order_id]])=1,1,0)</f>
        <v>0</v>
      </c>
      <c r="L148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483" spans="1:12" x14ac:dyDescent="0.25">
      <c r="A1483" t="s">
        <v>470</v>
      </c>
      <c r="B1483" s="1">
        <v>1103</v>
      </c>
      <c r="C1483" s="1">
        <v>276</v>
      </c>
      <c r="D1483">
        <v>3</v>
      </c>
      <c r="E1483" t="s">
        <v>12</v>
      </c>
      <c r="F1483" t="s">
        <v>13</v>
      </c>
      <c r="G1483" t="s">
        <v>14</v>
      </c>
      <c r="H1483">
        <f>IF(Table_Sales[[#This Row],[profit]]&lt;0,1,0)</f>
        <v>0</v>
      </c>
      <c r="I1483" t="str" cm="1">
        <f t="array" ref="I1483">_xlfn.IFS(Table_Sales[[#This Row],[quantity]]&lt;=3,"1-3",Table_Sales[[#This Row],[quantity]]&lt;=7,"2-7",Table_Sales[[#This Row],[quantity]]&lt;=10,"8-10",TRUE,"11 and above")</f>
        <v>1-3</v>
      </c>
      <c r="J1483" t="str" cm="1">
        <f t="array" ref="J1483">_xlfn.IFS(Table_Sales[[#This Row],[amount]]&lt;1000,"Under 1000",Table_Sales[[#This Row],[amount]]&lt;3000,"1000 - 2999",Table_Sales[[#This Row],[amount]]&lt;5000,"3000 - 4999",TRUE,"5000 &amp; above")</f>
        <v>1000 - 2999</v>
      </c>
      <c r="K1483">
        <f>IF(COUNTIFS(INDEX(Table_Sales[order_id],1):Table_Sales[[#This Row],[order_id]],Table_Sales[[#This Row],[order_id]])=1,1,0)</f>
        <v>0</v>
      </c>
      <c r="L148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484" spans="1:12" x14ac:dyDescent="0.25">
      <c r="A1484" t="s">
        <v>310</v>
      </c>
      <c r="B1484" s="1">
        <v>2103</v>
      </c>
      <c r="C1484" s="1">
        <v>322</v>
      </c>
      <c r="D1484">
        <v>8</v>
      </c>
      <c r="E1484" t="s">
        <v>8</v>
      </c>
      <c r="F1484" t="s">
        <v>9</v>
      </c>
      <c r="G1484" t="s">
        <v>28</v>
      </c>
      <c r="H1484">
        <f>IF(Table_Sales[[#This Row],[profit]]&lt;0,1,0)</f>
        <v>0</v>
      </c>
      <c r="I1484" t="str" cm="1">
        <f t="array" ref="I1484">_xlfn.IFS(Table_Sales[[#This Row],[quantity]]&lt;=3,"1-3",Table_Sales[[#This Row],[quantity]]&lt;=7,"2-7",Table_Sales[[#This Row],[quantity]]&lt;=10,"8-10",TRUE,"11 and above")</f>
        <v>8-10</v>
      </c>
      <c r="J1484" t="str" cm="1">
        <f t="array" ref="J1484">_xlfn.IFS(Table_Sales[[#This Row],[amount]]&lt;1000,"Under 1000",Table_Sales[[#This Row],[amount]]&lt;3000,"1000 - 2999",Table_Sales[[#This Row],[amount]]&lt;5000,"3000 - 4999",TRUE,"5000 &amp; above")</f>
        <v>1000 - 2999</v>
      </c>
      <c r="K1484">
        <f>IF(COUNTIFS(INDEX(Table_Sales[order_id],1):Table_Sales[[#This Row],[order_id]],Table_Sales[[#This Row],[order_id]])=1,1,0)</f>
        <v>0</v>
      </c>
      <c r="L148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485" spans="1:12" x14ac:dyDescent="0.25">
      <c r="A1485" t="s">
        <v>22</v>
      </c>
      <c r="B1485" s="1">
        <v>2115</v>
      </c>
      <c r="C1485" s="1">
        <v>23</v>
      </c>
      <c r="D1485">
        <v>5</v>
      </c>
      <c r="E1485" t="s">
        <v>12</v>
      </c>
      <c r="F1485" t="s">
        <v>13</v>
      </c>
      <c r="G1485" t="s">
        <v>10</v>
      </c>
      <c r="H1485">
        <f>IF(Table_Sales[[#This Row],[profit]]&lt;0,1,0)</f>
        <v>0</v>
      </c>
      <c r="I1485" t="str" cm="1">
        <f t="array" ref="I1485">_xlfn.IFS(Table_Sales[[#This Row],[quantity]]&lt;=3,"1-3",Table_Sales[[#This Row],[quantity]]&lt;=7,"2-7",Table_Sales[[#This Row],[quantity]]&lt;=10,"8-10",TRUE,"11 and above")</f>
        <v>2-7</v>
      </c>
      <c r="J1485" t="str" cm="1">
        <f t="array" ref="J1485">_xlfn.IFS(Table_Sales[[#This Row],[amount]]&lt;1000,"Under 1000",Table_Sales[[#This Row],[amount]]&lt;3000,"1000 - 2999",Table_Sales[[#This Row],[amount]]&lt;5000,"3000 - 4999",TRUE,"5000 &amp; above")</f>
        <v>1000 - 2999</v>
      </c>
      <c r="K1485">
        <f>IF(COUNTIFS(INDEX(Table_Sales[order_id],1):Table_Sales[[#This Row],[order_id]],Table_Sales[[#This Row],[order_id]])=1,1,0)</f>
        <v>0</v>
      </c>
      <c r="L148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486" spans="1:12" x14ac:dyDescent="0.25">
      <c r="A1486" t="s">
        <v>44</v>
      </c>
      <c r="B1486" s="1">
        <v>850</v>
      </c>
      <c r="C1486" s="1">
        <v>-289</v>
      </c>
      <c r="D1486">
        <v>5</v>
      </c>
      <c r="E1486" t="s">
        <v>8</v>
      </c>
      <c r="F1486" t="s">
        <v>9</v>
      </c>
      <c r="G1486" t="s">
        <v>10</v>
      </c>
      <c r="H1486">
        <f>IF(Table_Sales[[#This Row],[profit]]&lt;0,1,0)</f>
        <v>1</v>
      </c>
      <c r="I1486" t="str" cm="1">
        <f t="array" ref="I1486">_xlfn.IFS(Table_Sales[[#This Row],[quantity]]&lt;=3,"1-3",Table_Sales[[#This Row],[quantity]]&lt;=7,"2-7",Table_Sales[[#This Row],[quantity]]&lt;=10,"8-10",TRUE,"11 and above")</f>
        <v>2-7</v>
      </c>
      <c r="J1486" t="str" cm="1">
        <f t="array" ref="J1486">_xlfn.IFS(Table_Sales[[#This Row],[amount]]&lt;1000,"Under 1000",Table_Sales[[#This Row],[amount]]&lt;3000,"1000 - 2999",Table_Sales[[#This Row],[amount]]&lt;5000,"3000 - 4999",TRUE,"5000 &amp; above")</f>
        <v>Under 1000</v>
      </c>
      <c r="K1486">
        <f>IF(COUNTIFS(INDEX(Table_Sales[order_id],1):Table_Sales[[#This Row],[order_id]],Table_Sales[[#This Row],[order_id]])=1,1,0)</f>
        <v>0</v>
      </c>
      <c r="L148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487" spans="1:12" x14ac:dyDescent="0.25">
      <c r="A1487" t="s">
        <v>50</v>
      </c>
      <c r="B1487" s="1">
        <v>1063</v>
      </c>
      <c r="C1487" s="1">
        <v>64</v>
      </c>
      <c r="D1487">
        <v>7</v>
      </c>
      <c r="E1487" t="s">
        <v>8</v>
      </c>
      <c r="F1487" t="s">
        <v>21</v>
      </c>
      <c r="G1487" t="s">
        <v>14</v>
      </c>
      <c r="H1487">
        <f>IF(Table_Sales[[#This Row],[profit]]&lt;0,1,0)</f>
        <v>0</v>
      </c>
      <c r="I1487" t="str" cm="1">
        <f t="array" ref="I1487">_xlfn.IFS(Table_Sales[[#This Row],[quantity]]&lt;=3,"1-3",Table_Sales[[#This Row],[quantity]]&lt;=7,"2-7",Table_Sales[[#This Row],[quantity]]&lt;=10,"8-10",TRUE,"11 and above")</f>
        <v>2-7</v>
      </c>
      <c r="J1487" t="str" cm="1">
        <f t="array" ref="J1487">_xlfn.IFS(Table_Sales[[#This Row],[amount]]&lt;1000,"Under 1000",Table_Sales[[#This Row],[amount]]&lt;3000,"1000 - 2999",Table_Sales[[#This Row],[amount]]&lt;5000,"3000 - 4999",TRUE,"5000 &amp; above")</f>
        <v>1000 - 2999</v>
      </c>
      <c r="K1487">
        <f>IF(COUNTIFS(INDEX(Table_Sales[order_id],1):Table_Sales[[#This Row],[order_id]],Table_Sales[[#This Row],[order_id]])=1,1,0)</f>
        <v>0</v>
      </c>
      <c r="L148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488" spans="1:12" x14ac:dyDescent="0.25">
      <c r="A1488" t="s">
        <v>478</v>
      </c>
      <c r="B1488" s="1">
        <v>1063</v>
      </c>
      <c r="C1488" s="1">
        <v>-175</v>
      </c>
      <c r="D1488">
        <v>4</v>
      </c>
      <c r="E1488" t="s">
        <v>8</v>
      </c>
      <c r="F1488" t="s">
        <v>9</v>
      </c>
      <c r="G1488" t="s">
        <v>14</v>
      </c>
      <c r="H1488">
        <f>IF(Table_Sales[[#This Row],[profit]]&lt;0,1,0)</f>
        <v>1</v>
      </c>
      <c r="I1488" t="str" cm="1">
        <f t="array" ref="I1488">_xlfn.IFS(Table_Sales[[#This Row],[quantity]]&lt;=3,"1-3",Table_Sales[[#This Row],[quantity]]&lt;=7,"2-7",Table_Sales[[#This Row],[quantity]]&lt;=10,"8-10",TRUE,"11 and above")</f>
        <v>2-7</v>
      </c>
      <c r="J1488" t="str" cm="1">
        <f t="array" ref="J1488">_xlfn.IFS(Table_Sales[[#This Row],[amount]]&lt;1000,"Under 1000",Table_Sales[[#This Row],[amount]]&lt;3000,"1000 - 2999",Table_Sales[[#This Row],[amount]]&lt;5000,"3000 - 4999",TRUE,"5000 &amp; above")</f>
        <v>1000 - 2999</v>
      </c>
      <c r="K1488">
        <f>IF(COUNTIFS(INDEX(Table_Sales[order_id],1):Table_Sales[[#This Row],[order_id]],Table_Sales[[#This Row],[order_id]])=1,1,0)</f>
        <v>0</v>
      </c>
      <c r="L148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489" spans="1:12" x14ac:dyDescent="0.25">
      <c r="A1489" t="s">
        <v>321</v>
      </c>
      <c r="B1489" s="1">
        <v>2292</v>
      </c>
      <c r="C1489" s="1">
        <v>127</v>
      </c>
      <c r="D1489">
        <v>7</v>
      </c>
      <c r="E1489" t="s">
        <v>12</v>
      </c>
      <c r="F1489" t="s">
        <v>16</v>
      </c>
      <c r="G1489" t="s">
        <v>10</v>
      </c>
      <c r="H1489">
        <f>IF(Table_Sales[[#This Row],[profit]]&lt;0,1,0)</f>
        <v>0</v>
      </c>
      <c r="I1489" t="str" cm="1">
        <f t="array" ref="I1489">_xlfn.IFS(Table_Sales[[#This Row],[quantity]]&lt;=3,"1-3",Table_Sales[[#This Row],[quantity]]&lt;=7,"2-7",Table_Sales[[#This Row],[quantity]]&lt;=10,"8-10",TRUE,"11 and above")</f>
        <v>2-7</v>
      </c>
      <c r="J1489" t="str" cm="1">
        <f t="array" ref="J1489">_xlfn.IFS(Table_Sales[[#This Row],[amount]]&lt;1000,"Under 1000",Table_Sales[[#This Row],[amount]]&lt;3000,"1000 - 2999",Table_Sales[[#This Row],[amount]]&lt;5000,"3000 - 4999",TRUE,"5000 &amp; above")</f>
        <v>1000 - 2999</v>
      </c>
      <c r="K1489">
        <f>IF(COUNTIFS(INDEX(Table_Sales[order_id],1):Table_Sales[[#This Row],[order_id]],Table_Sales[[#This Row],[order_id]])=1,1,0)</f>
        <v>0</v>
      </c>
      <c r="L148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490" spans="1:12" x14ac:dyDescent="0.25">
      <c r="A1490" t="s">
        <v>290</v>
      </c>
      <c r="B1490" s="1">
        <v>7</v>
      </c>
      <c r="C1490" s="1">
        <v>-1</v>
      </c>
      <c r="D1490">
        <v>2</v>
      </c>
      <c r="E1490" t="s">
        <v>23</v>
      </c>
      <c r="F1490" t="s">
        <v>30</v>
      </c>
      <c r="G1490" t="s">
        <v>19</v>
      </c>
      <c r="H1490">
        <f>IF(Table_Sales[[#This Row],[profit]]&lt;0,1,0)</f>
        <v>1</v>
      </c>
      <c r="I1490" t="str" cm="1">
        <f t="array" ref="I1490">_xlfn.IFS(Table_Sales[[#This Row],[quantity]]&lt;=3,"1-3",Table_Sales[[#This Row],[quantity]]&lt;=7,"2-7",Table_Sales[[#This Row],[quantity]]&lt;=10,"8-10",TRUE,"11 and above")</f>
        <v>1-3</v>
      </c>
      <c r="J1490" t="str" cm="1">
        <f t="array" ref="J1490">_xlfn.IFS(Table_Sales[[#This Row],[amount]]&lt;1000,"Under 1000",Table_Sales[[#This Row],[amount]]&lt;3000,"1000 - 2999",Table_Sales[[#This Row],[amount]]&lt;5000,"3000 - 4999",TRUE,"5000 &amp; above")</f>
        <v>Under 1000</v>
      </c>
      <c r="K1490">
        <f>IF(COUNTIFS(INDEX(Table_Sales[order_id],1):Table_Sales[[#This Row],[order_id]],Table_Sales[[#This Row],[order_id]])=1,1,0)</f>
        <v>0</v>
      </c>
      <c r="L149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491" spans="1:12" x14ac:dyDescent="0.25">
      <c r="A1491" t="s">
        <v>436</v>
      </c>
      <c r="B1491" s="1">
        <v>2452</v>
      </c>
      <c r="C1491" s="1">
        <v>191</v>
      </c>
      <c r="D1491">
        <v>7</v>
      </c>
      <c r="E1491" t="s">
        <v>12</v>
      </c>
      <c r="F1491" t="s">
        <v>16</v>
      </c>
      <c r="G1491" t="s">
        <v>28</v>
      </c>
      <c r="H1491">
        <f>IF(Table_Sales[[#This Row],[profit]]&lt;0,1,0)</f>
        <v>0</v>
      </c>
      <c r="I1491" t="str" cm="1">
        <f t="array" ref="I1491">_xlfn.IFS(Table_Sales[[#This Row],[quantity]]&lt;=3,"1-3",Table_Sales[[#This Row],[quantity]]&lt;=7,"2-7",Table_Sales[[#This Row],[quantity]]&lt;=10,"8-10",TRUE,"11 and above")</f>
        <v>2-7</v>
      </c>
      <c r="J1491" t="str" cm="1">
        <f t="array" ref="J1491">_xlfn.IFS(Table_Sales[[#This Row],[amount]]&lt;1000,"Under 1000",Table_Sales[[#This Row],[amount]]&lt;3000,"1000 - 2999",Table_Sales[[#This Row],[amount]]&lt;5000,"3000 - 4999",TRUE,"5000 &amp; above")</f>
        <v>1000 - 2999</v>
      </c>
      <c r="K1491">
        <f>IF(COUNTIFS(INDEX(Table_Sales[order_id],1):Table_Sales[[#This Row],[order_id]],Table_Sales[[#This Row],[order_id]])=1,1,0)</f>
        <v>0</v>
      </c>
      <c r="L149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492" spans="1:12" x14ac:dyDescent="0.25">
      <c r="A1492" t="s">
        <v>187</v>
      </c>
      <c r="B1492" s="1">
        <v>2457</v>
      </c>
      <c r="C1492" s="1">
        <v>665</v>
      </c>
      <c r="D1492">
        <v>11</v>
      </c>
      <c r="E1492" t="s">
        <v>8</v>
      </c>
      <c r="F1492" t="s">
        <v>9</v>
      </c>
      <c r="G1492" t="s">
        <v>14</v>
      </c>
      <c r="H1492">
        <f>IF(Table_Sales[[#This Row],[profit]]&lt;0,1,0)</f>
        <v>0</v>
      </c>
      <c r="I1492" t="str" cm="1">
        <f t="array" ref="I1492">_xlfn.IFS(Table_Sales[[#This Row],[quantity]]&lt;=3,"1-3",Table_Sales[[#This Row],[quantity]]&lt;=7,"2-7",Table_Sales[[#This Row],[quantity]]&lt;=10,"8-10",TRUE,"11 and above")</f>
        <v>11 and above</v>
      </c>
      <c r="J1492" t="str" cm="1">
        <f t="array" ref="J1492">_xlfn.IFS(Table_Sales[[#This Row],[amount]]&lt;1000,"Under 1000",Table_Sales[[#This Row],[amount]]&lt;3000,"1000 - 2999",Table_Sales[[#This Row],[amount]]&lt;5000,"3000 - 4999",TRUE,"5000 &amp; above")</f>
        <v>1000 - 2999</v>
      </c>
      <c r="K1492">
        <f>IF(COUNTIFS(INDEX(Table_Sales[order_id],1):Table_Sales[[#This Row],[order_id]],Table_Sales[[#This Row],[order_id]])=1,1,0)</f>
        <v>0</v>
      </c>
      <c r="L1492"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493" spans="1:12" x14ac:dyDescent="0.25">
      <c r="A1493" t="s">
        <v>99</v>
      </c>
      <c r="B1493" s="1">
        <v>4</v>
      </c>
      <c r="C1493" s="1">
        <v>-3</v>
      </c>
      <c r="D1493">
        <v>1</v>
      </c>
      <c r="E1493" t="s">
        <v>23</v>
      </c>
      <c r="F1493" t="s">
        <v>43</v>
      </c>
      <c r="G1493" t="s">
        <v>19</v>
      </c>
      <c r="H1493">
        <f>IF(Table_Sales[[#This Row],[profit]]&lt;0,1,0)</f>
        <v>1</v>
      </c>
      <c r="I1493" t="str" cm="1">
        <f t="array" ref="I1493">_xlfn.IFS(Table_Sales[[#This Row],[quantity]]&lt;=3,"1-3",Table_Sales[[#This Row],[quantity]]&lt;=7,"2-7",Table_Sales[[#This Row],[quantity]]&lt;=10,"8-10",TRUE,"11 and above")</f>
        <v>1-3</v>
      </c>
      <c r="J1493" t="str" cm="1">
        <f t="array" ref="J1493">_xlfn.IFS(Table_Sales[[#This Row],[amount]]&lt;1000,"Under 1000",Table_Sales[[#This Row],[amount]]&lt;3000,"1000 - 2999",Table_Sales[[#This Row],[amount]]&lt;5000,"3000 - 4999",TRUE,"5000 &amp; above")</f>
        <v>Under 1000</v>
      </c>
      <c r="K1493">
        <f>IF(COUNTIFS(INDEX(Table_Sales[order_id],1):Table_Sales[[#This Row],[order_id]],Table_Sales[[#This Row],[order_id]])=1,1,0)</f>
        <v>0</v>
      </c>
      <c r="L1493"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494" spans="1:12" x14ac:dyDescent="0.25">
      <c r="A1494" t="s">
        <v>208</v>
      </c>
      <c r="B1494" s="1">
        <v>2830</v>
      </c>
      <c r="C1494" s="1">
        <v>-1981</v>
      </c>
      <c r="D1494">
        <v>13</v>
      </c>
      <c r="E1494" t="s">
        <v>12</v>
      </c>
      <c r="F1494" t="s">
        <v>16</v>
      </c>
      <c r="G1494" t="s">
        <v>14</v>
      </c>
      <c r="H1494">
        <f>IF(Table_Sales[[#This Row],[profit]]&lt;0,1,0)</f>
        <v>1</v>
      </c>
      <c r="I1494" t="str" cm="1">
        <f t="array" ref="I1494">_xlfn.IFS(Table_Sales[[#This Row],[quantity]]&lt;=3,"1-3",Table_Sales[[#This Row],[quantity]]&lt;=7,"2-7",Table_Sales[[#This Row],[quantity]]&lt;=10,"8-10",TRUE,"11 and above")</f>
        <v>11 and above</v>
      </c>
      <c r="J1494" t="str" cm="1">
        <f t="array" ref="J1494">_xlfn.IFS(Table_Sales[[#This Row],[amount]]&lt;1000,"Under 1000",Table_Sales[[#This Row],[amount]]&lt;3000,"1000 - 2999",Table_Sales[[#This Row],[amount]]&lt;5000,"3000 - 4999",TRUE,"5000 &amp; above")</f>
        <v>1000 - 2999</v>
      </c>
      <c r="K1494">
        <f>IF(COUNTIFS(INDEX(Table_Sales[order_id],1):Table_Sales[[#This Row],[order_id]],Table_Sales[[#This Row],[order_id]])=1,1,0)</f>
        <v>0</v>
      </c>
      <c r="L1494"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495" spans="1:12" x14ac:dyDescent="0.25">
      <c r="A1495" t="s">
        <v>186</v>
      </c>
      <c r="B1495" s="1">
        <v>7</v>
      </c>
      <c r="C1495" s="1">
        <v>1</v>
      </c>
      <c r="D1495">
        <v>1</v>
      </c>
      <c r="E1495" t="s">
        <v>23</v>
      </c>
      <c r="F1495" t="s">
        <v>30</v>
      </c>
      <c r="G1495" t="s">
        <v>10</v>
      </c>
      <c r="H1495">
        <f>IF(Table_Sales[[#This Row],[profit]]&lt;0,1,0)</f>
        <v>0</v>
      </c>
      <c r="I1495" t="str" cm="1">
        <f t="array" ref="I1495">_xlfn.IFS(Table_Sales[[#This Row],[quantity]]&lt;=3,"1-3",Table_Sales[[#This Row],[quantity]]&lt;=7,"2-7",Table_Sales[[#This Row],[quantity]]&lt;=10,"8-10",TRUE,"11 and above")</f>
        <v>1-3</v>
      </c>
      <c r="J1495" t="str" cm="1">
        <f t="array" ref="J1495">_xlfn.IFS(Table_Sales[[#This Row],[amount]]&lt;1000,"Under 1000",Table_Sales[[#This Row],[amount]]&lt;3000,"1000 - 2999",Table_Sales[[#This Row],[amount]]&lt;5000,"3000 - 4999",TRUE,"5000 &amp; above")</f>
        <v>Under 1000</v>
      </c>
      <c r="K1495">
        <f>IF(COUNTIFS(INDEX(Table_Sales[order_id],1):Table_Sales[[#This Row],[order_id]],Table_Sales[[#This Row],[order_id]])=1,1,0)</f>
        <v>0</v>
      </c>
      <c r="L1495"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496" spans="1:12" x14ac:dyDescent="0.25">
      <c r="A1496" t="s">
        <v>438</v>
      </c>
      <c r="B1496" s="1">
        <v>7</v>
      </c>
      <c r="C1496" s="1">
        <v>0</v>
      </c>
      <c r="D1496">
        <v>2</v>
      </c>
      <c r="E1496" t="s">
        <v>23</v>
      </c>
      <c r="F1496" t="s">
        <v>43</v>
      </c>
      <c r="G1496" t="s">
        <v>10</v>
      </c>
      <c r="H1496">
        <f>IF(Table_Sales[[#This Row],[profit]]&lt;0,1,0)</f>
        <v>0</v>
      </c>
      <c r="I1496" t="str" cm="1">
        <f t="array" ref="I1496">_xlfn.IFS(Table_Sales[[#This Row],[quantity]]&lt;=3,"1-3",Table_Sales[[#This Row],[quantity]]&lt;=7,"2-7",Table_Sales[[#This Row],[quantity]]&lt;=10,"8-10",TRUE,"11 and above")</f>
        <v>1-3</v>
      </c>
      <c r="J1496" t="str" cm="1">
        <f t="array" ref="J1496">_xlfn.IFS(Table_Sales[[#This Row],[amount]]&lt;1000,"Under 1000",Table_Sales[[#This Row],[amount]]&lt;3000,"1000 - 2999",Table_Sales[[#This Row],[amount]]&lt;5000,"3000 - 4999",TRUE,"5000 &amp; above")</f>
        <v>Under 1000</v>
      </c>
      <c r="K1496">
        <f>IF(COUNTIFS(INDEX(Table_Sales[order_id],1):Table_Sales[[#This Row],[order_id]],Table_Sales[[#This Row],[order_id]])=1,1,0)</f>
        <v>0</v>
      </c>
      <c r="L1496"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497" spans="1:12" x14ac:dyDescent="0.25">
      <c r="A1497" t="s">
        <v>268</v>
      </c>
      <c r="B1497" s="1">
        <v>7</v>
      </c>
      <c r="C1497" s="1">
        <v>-3</v>
      </c>
      <c r="D1497">
        <v>2</v>
      </c>
      <c r="E1497" t="s">
        <v>23</v>
      </c>
      <c r="F1497" t="s">
        <v>30</v>
      </c>
      <c r="G1497" t="s">
        <v>10</v>
      </c>
      <c r="H1497">
        <f>IF(Table_Sales[[#This Row],[profit]]&lt;0,1,0)</f>
        <v>1</v>
      </c>
      <c r="I1497" t="str" cm="1">
        <f t="array" ref="I1497">_xlfn.IFS(Table_Sales[[#This Row],[quantity]]&lt;=3,"1-3",Table_Sales[[#This Row],[quantity]]&lt;=7,"2-7",Table_Sales[[#This Row],[quantity]]&lt;=10,"8-10",TRUE,"11 and above")</f>
        <v>1-3</v>
      </c>
      <c r="J1497" t="str" cm="1">
        <f t="array" ref="J1497">_xlfn.IFS(Table_Sales[[#This Row],[amount]]&lt;1000,"Under 1000",Table_Sales[[#This Row],[amount]]&lt;3000,"1000 - 2999",Table_Sales[[#This Row],[amount]]&lt;5000,"3000 - 4999",TRUE,"5000 &amp; above")</f>
        <v>Under 1000</v>
      </c>
      <c r="K1497">
        <f>IF(COUNTIFS(INDEX(Table_Sales[order_id],1):Table_Sales[[#This Row],[order_id]],Table_Sales[[#This Row],[order_id]])=1,1,0)</f>
        <v>0</v>
      </c>
      <c r="L1497"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498" spans="1:12" x14ac:dyDescent="0.25">
      <c r="A1498" t="s">
        <v>104</v>
      </c>
      <c r="B1498" s="1">
        <v>3151</v>
      </c>
      <c r="C1498" s="1">
        <v>-35</v>
      </c>
      <c r="D1498">
        <v>7</v>
      </c>
      <c r="E1498" t="s">
        <v>23</v>
      </c>
      <c r="F1498" t="s">
        <v>24</v>
      </c>
      <c r="G1498" t="s">
        <v>14</v>
      </c>
      <c r="H1498">
        <f>IF(Table_Sales[[#This Row],[profit]]&lt;0,1,0)</f>
        <v>1</v>
      </c>
      <c r="I1498" t="str" cm="1">
        <f t="array" ref="I1498">_xlfn.IFS(Table_Sales[[#This Row],[quantity]]&lt;=3,"1-3",Table_Sales[[#This Row],[quantity]]&lt;=7,"2-7",Table_Sales[[#This Row],[quantity]]&lt;=10,"8-10",TRUE,"11 and above")</f>
        <v>2-7</v>
      </c>
      <c r="J1498" t="str" cm="1">
        <f t="array" ref="J1498">_xlfn.IFS(Table_Sales[[#This Row],[amount]]&lt;1000,"Under 1000",Table_Sales[[#This Row],[amount]]&lt;3000,"1000 - 2999",Table_Sales[[#This Row],[amount]]&lt;5000,"3000 - 4999",TRUE,"5000 &amp; above")</f>
        <v>3000 - 4999</v>
      </c>
      <c r="K1498">
        <f>IF(COUNTIFS(INDEX(Table_Sales[order_id],1):Table_Sales[[#This Row],[order_id]],Table_Sales[[#This Row],[order_id]])=1,1,0)</f>
        <v>0</v>
      </c>
      <c r="L1498"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499" spans="1:12" x14ac:dyDescent="0.25">
      <c r="A1499" t="s">
        <v>225</v>
      </c>
      <c r="B1499" s="1">
        <v>4141</v>
      </c>
      <c r="C1499" s="1">
        <v>1698</v>
      </c>
      <c r="D1499">
        <v>13</v>
      </c>
      <c r="E1499" t="s">
        <v>8</v>
      </c>
      <c r="F1499" t="s">
        <v>18</v>
      </c>
      <c r="G1499" t="s">
        <v>10</v>
      </c>
      <c r="H1499">
        <f>IF(Table_Sales[[#This Row],[profit]]&lt;0,1,0)</f>
        <v>0</v>
      </c>
      <c r="I1499" t="str" cm="1">
        <f t="array" ref="I1499">_xlfn.IFS(Table_Sales[[#This Row],[quantity]]&lt;=3,"1-3",Table_Sales[[#This Row],[quantity]]&lt;=7,"2-7",Table_Sales[[#This Row],[quantity]]&lt;=10,"8-10",TRUE,"11 and above")</f>
        <v>11 and above</v>
      </c>
      <c r="J1499" t="str" cm="1">
        <f t="array" ref="J1499">_xlfn.IFS(Table_Sales[[#This Row],[amount]]&lt;1000,"Under 1000",Table_Sales[[#This Row],[amount]]&lt;3000,"1000 - 2999",Table_Sales[[#This Row],[amount]]&lt;5000,"3000 - 4999",TRUE,"5000 &amp; above")</f>
        <v>3000 - 4999</v>
      </c>
      <c r="K1499">
        <f>IF(COUNTIFS(INDEX(Table_Sales[order_id],1):Table_Sales[[#This Row],[order_id]],Table_Sales[[#This Row],[order_id]])=1,1,0)</f>
        <v>0</v>
      </c>
      <c r="L1499"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500" spans="1:12" x14ac:dyDescent="0.25">
      <c r="A1500" t="s">
        <v>182</v>
      </c>
      <c r="B1500" s="1">
        <v>7</v>
      </c>
      <c r="C1500" s="1">
        <v>-2</v>
      </c>
      <c r="D1500">
        <v>1</v>
      </c>
      <c r="E1500" t="s">
        <v>23</v>
      </c>
      <c r="F1500" t="s">
        <v>30</v>
      </c>
      <c r="G1500" t="s">
        <v>10</v>
      </c>
      <c r="H1500">
        <f>IF(Table_Sales[[#This Row],[profit]]&lt;0,1,0)</f>
        <v>1</v>
      </c>
      <c r="I1500" t="str" cm="1">
        <f t="array" ref="I1500">_xlfn.IFS(Table_Sales[[#This Row],[quantity]]&lt;=3,"1-3",Table_Sales[[#This Row],[quantity]]&lt;=7,"2-7",Table_Sales[[#This Row],[quantity]]&lt;=10,"8-10",TRUE,"11 and above")</f>
        <v>1-3</v>
      </c>
      <c r="J1500" t="str" cm="1">
        <f t="array" ref="J1500">_xlfn.IFS(Table_Sales[[#This Row],[amount]]&lt;1000,"Under 1000",Table_Sales[[#This Row],[amount]]&lt;3000,"1000 - 2999",Table_Sales[[#This Row],[amount]]&lt;5000,"3000 - 4999",TRUE,"5000 &amp; above")</f>
        <v>Under 1000</v>
      </c>
      <c r="K1500">
        <f>IF(COUNTIFS(INDEX(Table_Sales[order_id],1):Table_Sales[[#This Row],[order_id]],Table_Sales[[#This Row],[order_id]])=1,1,0)</f>
        <v>0</v>
      </c>
      <c r="L1500"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row r="1501" spans="1:12" x14ac:dyDescent="0.25">
      <c r="A1501" t="s">
        <v>164</v>
      </c>
      <c r="B1501" s="1">
        <v>4363</v>
      </c>
      <c r="C1501" s="1">
        <v>305</v>
      </c>
      <c r="D1501">
        <v>5</v>
      </c>
      <c r="E1501" t="s">
        <v>12</v>
      </c>
      <c r="F1501" t="s">
        <v>45</v>
      </c>
      <c r="G1501" t="s">
        <v>14</v>
      </c>
      <c r="H1501">
        <f>IF(Table_Sales[[#This Row],[profit]]&lt;0,1,0)</f>
        <v>0</v>
      </c>
      <c r="I1501" t="str" cm="1">
        <f t="array" ref="I1501">_xlfn.IFS(Table_Sales[[#This Row],[quantity]]&lt;=3,"1-3",Table_Sales[[#This Row],[quantity]]&lt;=7,"2-7",Table_Sales[[#This Row],[quantity]]&lt;=10,"8-10",TRUE,"11 and above")</f>
        <v>2-7</v>
      </c>
      <c r="J1501" t="str" cm="1">
        <f t="array" ref="J1501">_xlfn.IFS(Table_Sales[[#This Row],[amount]]&lt;1000,"Under 1000",Table_Sales[[#This Row],[amount]]&lt;3000,"1000 - 2999",Table_Sales[[#This Row],[amount]]&lt;5000,"3000 - 4999",TRUE,"5000 &amp; above")</f>
        <v>3000 - 4999</v>
      </c>
      <c r="K1501">
        <f>IF(COUNTIFS(INDEX(Table_Sales[order_id],1):Table_Sales[[#This Row],[order_id]],Table_Sales[[#This Row],[order_id]])=1,1,0)</f>
        <v>0</v>
      </c>
      <c r="L1501" s="2">
        <f>IF(AND(COUNTBLANK(Table_Sales[[#This Row],[order_id]:[payment_mode]])=0,Table_Sales[[#This Row],[amount]]&gt;0,Table_Sales[[#This Row],[quantity]]&gt;=1,Table_Sales[[#This Row],[profit]]&lt;=Table_Sales[[#This Row],[amount]],COUNTIFS(Table_Sales[order_id],Table_Sales[[#This Row],[order_id]],Table_Sales[sub_category],Table_Sales[[#This Row],[sub_category]],Table_Sales[amount],Table_Sales[[#This Row],[amount]],Table_Sales[profit],Table_Sales[[#This Row],[profit]],Table_Sales[quantity],Table_Sales[[#This Row],[quantity]],Table_Sales[payment_mode],Table_Sales[[#This Row],[payment_mode]])=1),1,0)</f>
        <v>1</v>
      </c>
    </row>
  </sheetData>
  <phoneticPr fontId="18"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K8"/>
  <sheetViews>
    <sheetView workbookViewId="0">
      <selection activeCell="A8" sqref="A8"/>
    </sheetView>
  </sheetViews>
  <sheetFormatPr defaultRowHeight="15" x14ac:dyDescent="0.25"/>
  <cols>
    <col min="1" max="1" width="18.140625" bestFit="1" customWidth="1"/>
    <col min="2" max="2" width="16.28515625" bestFit="1" customWidth="1"/>
    <col min="3" max="3" width="12.5703125" bestFit="1" customWidth="1"/>
    <col min="4" max="4" width="10.28515625" bestFit="1" customWidth="1"/>
    <col min="5" max="5" width="21.7109375" bestFit="1" customWidth="1"/>
    <col min="6" max="6" width="4.140625" bestFit="1" customWidth="1"/>
    <col min="7" max="7" width="10" bestFit="1" customWidth="1"/>
    <col min="8" max="8" width="16.42578125" bestFit="1" customWidth="1"/>
    <col min="9" max="9" width="14.140625" bestFit="1" customWidth="1"/>
    <col min="10" max="10" width="16.42578125" bestFit="1" customWidth="1"/>
    <col min="11" max="11" width="16.7109375" bestFit="1" customWidth="1"/>
    <col min="12" max="17" width="16.42578125" bestFit="1" customWidth="1"/>
    <col min="18" max="18" width="11.28515625" bestFit="1" customWidth="1"/>
  </cols>
  <sheetData>
    <row r="2" spans="1:11" x14ac:dyDescent="0.25">
      <c r="A2" t="s">
        <v>542</v>
      </c>
      <c r="C2" t="s">
        <v>541</v>
      </c>
      <c r="E2" t="s">
        <v>543</v>
      </c>
      <c r="G2" s="4" t="s">
        <v>544</v>
      </c>
      <c r="I2" s="4" t="s">
        <v>545</v>
      </c>
      <c r="K2" s="4" t="s">
        <v>546</v>
      </c>
    </row>
    <row r="3" spans="1:11" x14ac:dyDescent="0.25">
      <c r="A3" s="11">
        <v>437771</v>
      </c>
      <c r="C3" s="11">
        <v>36963</v>
      </c>
      <c r="E3" s="3">
        <v>8.4434555966475616E-2</v>
      </c>
      <c r="G3" s="5">
        <v>5615</v>
      </c>
      <c r="I3" s="5">
        <v>500</v>
      </c>
      <c r="K3" s="3">
        <v>0.35266666666666668</v>
      </c>
    </row>
    <row r="4" spans="1:11" x14ac:dyDescent="0.25">
      <c r="A4" s="11">
        <f>GETPIVOTDATA("amount",$A$2)</f>
        <v>437771</v>
      </c>
      <c r="C4" s="11">
        <f>GETPIVOTDATA("profit",$C$2)</f>
        <v>36963</v>
      </c>
      <c r="E4" s="6">
        <f>GETPIVOTDATA("Profit Margin %",$E$2)</f>
        <v>8.4434555966475616E-2</v>
      </c>
      <c r="G4" s="5">
        <f>GETPIVOTDATA("quantity",$G$2)</f>
        <v>5615</v>
      </c>
      <c r="I4">
        <f>GETPIVOTDATA("h_Firstline",$I$2)</f>
        <v>500</v>
      </c>
      <c r="K4" s="6">
        <f>GETPIVOTDATA("h_loss",$K$2)</f>
        <v>0.35266666666666668</v>
      </c>
    </row>
    <row r="6" spans="1:11" x14ac:dyDescent="0.25">
      <c r="A6" s="4" t="s">
        <v>554</v>
      </c>
    </row>
    <row r="7" spans="1:11" x14ac:dyDescent="0.25">
      <c r="A7" s="11">
        <v>291.84733333333332</v>
      </c>
    </row>
    <row r="8" spans="1:11" x14ac:dyDescent="0.25">
      <c r="A8" s="11">
        <f>GETPIVOTDATA("amount",$A$6)</f>
        <v>291.84733333333332</v>
      </c>
    </row>
  </sheetData>
  <pageMargins left="0.7" right="0.7" top="0.75" bottom="0.75" header="0.3" footer="0.3"/>
  <pageSetup orientation="portrait" r:id="rId8"/>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C70"/>
  <sheetViews>
    <sheetView tabSelected="1" workbookViewId="0">
      <selection activeCell="J12" sqref="J12"/>
    </sheetView>
  </sheetViews>
  <sheetFormatPr defaultRowHeight="15" x14ac:dyDescent="0.25"/>
  <cols>
    <col min="1" max="1" width="13.140625" bestFit="1" customWidth="1"/>
    <col min="2" max="2" width="6.140625" bestFit="1" customWidth="1"/>
    <col min="3" max="3" width="9" bestFit="1" customWidth="1"/>
  </cols>
  <sheetData>
    <row r="2" spans="1:3" x14ac:dyDescent="0.25">
      <c r="A2" s="7" t="s">
        <v>547</v>
      </c>
      <c r="B2" t="s">
        <v>553</v>
      </c>
      <c r="C2" t="s">
        <v>552</v>
      </c>
    </row>
    <row r="3" spans="1:3" x14ac:dyDescent="0.25">
      <c r="A3" s="8" t="s">
        <v>23</v>
      </c>
      <c r="B3" s="11">
        <v>144323</v>
      </c>
      <c r="C3" s="11">
        <v>13325</v>
      </c>
    </row>
    <row r="4" spans="1:3" x14ac:dyDescent="0.25">
      <c r="A4" s="8" t="s">
        <v>8</v>
      </c>
      <c r="B4" s="11">
        <v>166267</v>
      </c>
      <c r="C4" s="11">
        <v>13162</v>
      </c>
    </row>
    <row r="5" spans="1:3" x14ac:dyDescent="0.25">
      <c r="A5" s="8" t="s">
        <v>12</v>
      </c>
      <c r="B5" s="11">
        <v>127181</v>
      </c>
      <c r="C5" s="11">
        <v>10476</v>
      </c>
    </row>
    <row r="12" spans="1:3" x14ac:dyDescent="0.25">
      <c r="A12" s="7" t="s">
        <v>547</v>
      </c>
      <c r="B12" t="s">
        <v>541</v>
      </c>
    </row>
    <row r="13" spans="1:3" x14ac:dyDescent="0.25">
      <c r="A13" s="8" t="s">
        <v>18</v>
      </c>
      <c r="B13" s="2">
        <v>8606</v>
      </c>
    </row>
    <row r="14" spans="1:3" x14ac:dyDescent="0.25">
      <c r="A14" s="8" t="s">
        <v>16</v>
      </c>
      <c r="B14" s="2">
        <v>6516</v>
      </c>
    </row>
    <row r="15" spans="1:3" x14ac:dyDescent="0.25">
      <c r="A15" s="8" t="s">
        <v>26</v>
      </c>
      <c r="B15" s="2">
        <v>4057</v>
      </c>
    </row>
    <row r="16" spans="1:3" x14ac:dyDescent="0.25">
      <c r="A16" s="8" t="s">
        <v>73</v>
      </c>
      <c r="B16" s="2">
        <v>3353</v>
      </c>
    </row>
    <row r="17" spans="1:2" x14ac:dyDescent="0.25">
      <c r="A17" s="8" t="s">
        <v>45</v>
      </c>
      <c r="B17" s="2">
        <v>3139</v>
      </c>
    </row>
    <row r="18" spans="1:2" x14ac:dyDescent="0.25">
      <c r="A18" s="8" t="s">
        <v>24</v>
      </c>
      <c r="B18" s="2">
        <v>2847</v>
      </c>
    </row>
    <row r="19" spans="1:2" x14ac:dyDescent="0.25">
      <c r="A19" s="8" t="s">
        <v>57</v>
      </c>
      <c r="B19" s="2">
        <v>2431</v>
      </c>
    </row>
    <row r="20" spans="1:2" x14ac:dyDescent="0.25">
      <c r="A20" s="8" t="s">
        <v>21</v>
      </c>
      <c r="B20" s="2">
        <v>1847</v>
      </c>
    </row>
    <row r="21" spans="1:2" x14ac:dyDescent="0.25">
      <c r="A21" s="8" t="s">
        <v>30</v>
      </c>
      <c r="B21" s="2">
        <v>1823</v>
      </c>
    </row>
    <row r="22" spans="1:2" x14ac:dyDescent="0.25">
      <c r="A22" s="8" t="s">
        <v>13</v>
      </c>
      <c r="B22" s="2">
        <v>1627</v>
      </c>
    </row>
    <row r="23" spans="1:2" x14ac:dyDescent="0.25">
      <c r="A23" s="8" t="s">
        <v>142</v>
      </c>
      <c r="B23" s="2">
        <v>1513</v>
      </c>
    </row>
    <row r="24" spans="1:2" x14ac:dyDescent="0.25">
      <c r="A24" s="8" t="s">
        <v>81</v>
      </c>
      <c r="B24" s="2">
        <v>1500</v>
      </c>
    </row>
    <row r="25" spans="1:2" x14ac:dyDescent="0.25">
      <c r="A25" s="8" t="s">
        <v>63</v>
      </c>
      <c r="B25" s="2">
        <v>-130</v>
      </c>
    </row>
    <row r="26" spans="1:2" x14ac:dyDescent="0.25">
      <c r="A26" s="8" t="s">
        <v>43</v>
      </c>
      <c r="B26" s="2">
        <v>-315</v>
      </c>
    </row>
    <row r="27" spans="1:2" x14ac:dyDescent="0.25">
      <c r="A27" s="8" t="s">
        <v>32</v>
      </c>
      <c r="B27" s="2">
        <v>-401</v>
      </c>
    </row>
    <row r="28" spans="1:2" x14ac:dyDescent="0.25">
      <c r="A28" s="8" t="s">
        <v>9</v>
      </c>
      <c r="B28" s="2">
        <v>-644</v>
      </c>
    </row>
    <row r="29" spans="1:2" x14ac:dyDescent="0.25">
      <c r="A29" s="8" t="s">
        <v>131</v>
      </c>
      <c r="B29" s="2">
        <v>-806</v>
      </c>
    </row>
    <row r="32" spans="1:2" x14ac:dyDescent="0.25">
      <c r="A32" s="7" t="s">
        <v>547</v>
      </c>
      <c r="B32" t="s">
        <v>543</v>
      </c>
    </row>
    <row r="33" spans="1:2" x14ac:dyDescent="0.25">
      <c r="A33" s="8" t="s">
        <v>19</v>
      </c>
      <c r="B33" s="9">
        <v>0.14507891225325542</v>
      </c>
    </row>
    <row r="34" spans="1:2" x14ac:dyDescent="0.25">
      <c r="A34" s="8" t="s">
        <v>10</v>
      </c>
      <c r="B34" s="9">
        <v>8.085397052474208E-2</v>
      </c>
    </row>
    <row r="35" spans="1:2" x14ac:dyDescent="0.25">
      <c r="A35" s="8" t="s">
        <v>82</v>
      </c>
      <c r="B35" s="9">
        <v>7.5179094757408013E-2</v>
      </c>
    </row>
    <row r="36" spans="1:2" x14ac:dyDescent="0.25">
      <c r="A36" s="8" t="s">
        <v>14</v>
      </c>
      <c r="B36" s="9">
        <v>6.1940653047598257E-2</v>
      </c>
    </row>
    <row r="37" spans="1:2" x14ac:dyDescent="0.25">
      <c r="A37" s="8" t="s">
        <v>28</v>
      </c>
      <c r="B37" s="9">
        <v>4.7872262933232324E-2</v>
      </c>
    </row>
    <row r="41" spans="1:2" x14ac:dyDescent="0.25">
      <c r="A41" s="7" t="s">
        <v>547</v>
      </c>
      <c r="B41" t="s">
        <v>543</v>
      </c>
    </row>
    <row r="42" spans="1:2" x14ac:dyDescent="0.25">
      <c r="A42" s="8" t="s">
        <v>549</v>
      </c>
      <c r="B42" s="9">
        <v>9.804696150784388E-2</v>
      </c>
    </row>
    <row r="43" spans="1:2" x14ac:dyDescent="0.25">
      <c r="A43" s="8" t="s">
        <v>550</v>
      </c>
      <c r="B43" s="9">
        <v>7.3686195874446581E-2</v>
      </c>
    </row>
    <row r="44" spans="1:2" x14ac:dyDescent="0.25">
      <c r="A44" s="8" t="s">
        <v>551</v>
      </c>
      <c r="B44" s="9">
        <v>0.10347682119205298</v>
      </c>
    </row>
    <row r="45" spans="1:2" x14ac:dyDescent="0.25">
      <c r="A45" s="8" t="s">
        <v>548</v>
      </c>
      <c r="B45" s="9">
        <v>4.5298866509010847E-2</v>
      </c>
    </row>
    <row r="53" spans="1:3" x14ac:dyDescent="0.25">
      <c r="A53" s="7" t="s">
        <v>547</v>
      </c>
      <c r="B53" t="s">
        <v>557</v>
      </c>
      <c r="C53" t="s">
        <v>556</v>
      </c>
    </row>
    <row r="54" spans="1:3" x14ac:dyDescent="0.25">
      <c r="A54" s="8" t="s">
        <v>10</v>
      </c>
      <c r="B54" s="4">
        <v>684</v>
      </c>
      <c r="C54" s="4">
        <v>226.87280701754386</v>
      </c>
    </row>
    <row r="55" spans="1:3" x14ac:dyDescent="0.25">
      <c r="A55" s="8" t="s">
        <v>19</v>
      </c>
      <c r="B55" s="4">
        <v>163</v>
      </c>
      <c r="C55" s="4">
        <v>533.32515337423308</v>
      </c>
    </row>
    <row r="56" spans="1:3" x14ac:dyDescent="0.25">
      <c r="A56" s="8" t="s">
        <v>82</v>
      </c>
      <c r="B56" s="4">
        <v>202</v>
      </c>
      <c r="C56" s="4">
        <v>243.24752475247524</v>
      </c>
    </row>
    <row r="57" spans="1:3" x14ac:dyDescent="0.25">
      <c r="A57" s="8" t="s">
        <v>14</v>
      </c>
      <c r="B57" s="4">
        <v>120</v>
      </c>
      <c r="C57" s="4">
        <v>649.00833333333333</v>
      </c>
    </row>
    <row r="58" spans="1:3" x14ac:dyDescent="0.25">
      <c r="A58" s="8" t="s">
        <v>28</v>
      </c>
      <c r="B58" s="4">
        <v>331</v>
      </c>
      <c r="C58" s="4">
        <v>207.37462235649548</v>
      </c>
    </row>
    <row r="65" spans="1:2" x14ac:dyDescent="0.25">
      <c r="A65" s="7" t="s">
        <v>547</v>
      </c>
      <c r="B65" t="s">
        <v>555</v>
      </c>
    </row>
    <row r="66" spans="1:2" x14ac:dyDescent="0.25">
      <c r="A66" s="8" t="s">
        <v>10</v>
      </c>
      <c r="B66" s="4">
        <v>684</v>
      </c>
    </row>
    <row r="67" spans="1:2" x14ac:dyDescent="0.25">
      <c r="A67" s="8" t="s">
        <v>28</v>
      </c>
      <c r="B67" s="4">
        <v>331</v>
      </c>
    </row>
    <row r="68" spans="1:2" x14ac:dyDescent="0.25">
      <c r="A68" s="8" t="s">
        <v>82</v>
      </c>
      <c r="B68" s="4">
        <v>202</v>
      </c>
    </row>
    <row r="69" spans="1:2" x14ac:dyDescent="0.25">
      <c r="A69" s="8" t="s">
        <v>19</v>
      </c>
      <c r="B69" s="4">
        <v>163</v>
      </c>
    </row>
    <row r="70" spans="1:2" x14ac:dyDescent="0.25">
      <c r="A70" s="8" t="s">
        <v>14</v>
      </c>
      <c r="B70" s="4">
        <v>120</v>
      </c>
    </row>
  </sheetData>
  <pageMargins left="0.7" right="0.7" top="0.75" bottom="0.75" header="0.3" footer="0.3"/>
  <drawing r:id="rId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RAWDATA</vt:lpstr>
      <vt:lpstr>HANDS_ON SHEET</vt:lpstr>
      <vt:lpstr>KPIs</vt:lpstr>
      <vt:lpstr>CHARTS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Faridah Uthman</dc:creator>
  <cp:lastModifiedBy>Faridah Uthman</cp:lastModifiedBy>
  <dcterms:created xsi:type="dcterms:W3CDTF">2026-10-09T17:21:53Z</dcterms:created>
  <dcterms:modified xsi:type="dcterms:W3CDTF">2026-10-10T10:38:33Z</dcterms:modified>
</cp:coreProperties>
</file>